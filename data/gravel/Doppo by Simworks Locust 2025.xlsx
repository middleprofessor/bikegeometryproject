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3F82DA6-D4F2-B94B-A223-B3440AB96CCC}" xr6:coauthVersionLast="47" xr6:coauthVersionMax="47" xr10:uidLastSave="{00000000-0000-0000-0000-000000000000}"/>
  <bookViews>
    <workbookView xWindow="1720" yWindow="1320" windowWidth="25960" windowHeight="166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" l="1"/>
  <c r="L12" i="1"/>
  <c r="L11" i="1"/>
  <c r="L16" i="1" s="1"/>
  <c r="L10" i="1"/>
  <c r="L9" i="1"/>
  <c r="L8" i="1"/>
  <c r="K13" i="1"/>
  <c r="K12" i="1"/>
  <c r="K11" i="1"/>
  <c r="K16" i="1" s="1"/>
  <c r="K10" i="1"/>
  <c r="K9" i="1"/>
  <c r="K8" i="1"/>
  <c r="J13" i="1"/>
  <c r="J12" i="1"/>
  <c r="J11" i="1"/>
  <c r="J16" i="1" s="1"/>
  <c r="J10" i="1"/>
  <c r="J9" i="1"/>
  <c r="J8" i="1"/>
  <c r="L25" i="1" l="1"/>
  <c r="L18" i="1"/>
  <c r="L19" i="1" s="1"/>
  <c r="L20" i="1" s="1"/>
  <c r="L21" i="1" s="1"/>
  <c r="L22" i="1" s="1"/>
  <c r="E21" i="1" s="1"/>
  <c r="L17" i="1"/>
  <c r="L26" i="1"/>
  <c r="K25" i="1"/>
  <c r="K18" i="1"/>
  <c r="K19" i="1" s="1"/>
  <c r="K20" i="1" s="1"/>
  <c r="K17" i="1"/>
  <c r="K26" i="1"/>
  <c r="J25" i="1"/>
  <c r="J18" i="1"/>
  <c r="J19" i="1" s="1"/>
  <c r="J20" i="1" s="1"/>
  <c r="J17" i="1"/>
  <c r="J26" i="1"/>
  <c r="K27" i="1" l="1"/>
  <c r="K28" i="1" s="1"/>
  <c r="K29" i="1" s="1"/>
  <c r="K30" i="1" s="1"/>
  <c r="K21" i="1"/>
  <c r="K22" i="1" s="1"/>
  <c r="D21" i="1" s="1"/>
  <c r="J27" i="1"/>
  <c r="J28" i="1" s="1"/>
  <c r="J29" i="1" s="1"/>
  <c r="J30" i="1" s="1"/>
  <c r="J21" i="1"/>
  <c r="J22" i="1" s="1"/>
  <c r="C21" i="1" s="1"/>
  <c r="L27" i="1"/>
  <c r="L28" i="1" s="1"/>
  <c r="L29" i="1" s="1"/>
  <c r="L30" i="1" s="1"/>
</calcChain>
</file>

<file path=xl/sharedStrings.xml><?xml version="1.0" encoding="utf-8"?>
<sst xmlns="http://schemas.openxmlformats.org/spreadsheetml/2006/main" count="126" uniqueCount="121">
  <si>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</si>
  <si>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</si>
  <si>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</si>
  <si>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</si>
  <si>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</si>
  <si>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</si>
  <si>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</si>
  <si>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</si>
  <si>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</si>
  <si>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</si>
  <si>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head_tube_length</t>
  </si>
  <si>
    <t>seat_tube_length</t>
  </si>
  <si>
    <t>bottom_bracket_drop</t>
  </si>
  <si>
    <t>wheelbase</t>
  </si>
  <si>
    <t>chainstay_length</t>
  </si>
  <si>
    <t>top_tube_effective_length</t>
  </si>
  <si>
    <t>seat_tube_angle</t>
  </si>
  <si>
    <t>standover</t>
  </si>
  <si>
    <t>stem_length</t>
  </si>
  <si>
    <t>handlebar_width</t>
  </si>
  <si>
    <t>crank_length</t>
  </si>
  <si>
    <t>axle_crown</t>
  </si>
  <si>
    <t>fork_offset_rake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</si>
  <si>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</si>
  <si>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</si>
  <si>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</si>
  <si>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</si>
  <si>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</si>
  <si>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</si>
  <si>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</si>
  <si>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</si>
  <si>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</si>
  <si>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</si>
  <si>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</si>
  <si>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</si>
  <si>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</si>
  <si>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</si>
  <si>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</si>
  <si>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</si>
  <si>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</si>
  <si>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</si>
  <si>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</si>
  <si>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</si>
  <si>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</si>
  <si>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</si>
  <si>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</si>
  <si>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</si>
  <si>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</si>
  <si>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</si>
  <si>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</si>
  <si>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</si>
  <si>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</si>
  <si>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</si>
  <si>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</si>
  <si>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</si>
  <si>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</si>
  <si>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</si>
  <si>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</si>
  <si>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</si>
  <si>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</si>
  <si>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</si>
  <si>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</si>
  <si>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</si>
  <si>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</si>
  <si>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</si>
  <si>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</si>
  <si>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</si>
  <si>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</si>
  <si>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</si>
  <si>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</si>
  <si>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M</t>
  </si>
  <si>
    <t>L</t>
  </si>
  <si>
    <t>XL</t>
  </si>
  <si>
    <t>Reach (mm)</t>
  </si>
  <si>
    <t>Stack (mm)</t>
  </si>
  <si>
    <t>Fork Offset (mm)</t>
  </si>
  <si>
    <t>rigid</t>
  </si>
  <si>
    <t>frame size</t>
  </si>
  <si>
    <t>trail</t>
  </si>
  <si>
    <t>gravel</t>
  </si>
  <si>
    <t>USD</t>
  </si>
  <si>
    <t>Doppo by Simworks</t>
  </si>
  <si>
    <t>BB Drop (mm)</t>
  </si>
  <si>
    <t>flat bar</t>
  </si>
  <si>
    <t>not spec'd</t>
  </si>
  <si>
    <t>https://www.sim.works/collections/locust-doppo-by-simworks</t>
  </si>
  <si>
    <t>Locust</t>
  </si>
  <si>
    <t>https://www.sim.works/cdn/shop/files/DSC08407_d5d9f519-ba04-4795-81d7-8f8f51441512_1296x.jpg?v=1703066663</t>
  </si>
  <si>
    <t>Seat Tube (C-T-T) (mm)</t>
  </si>
  <si>
    <t>Top Tube (Effective) (mm)</t>
  </si>
  <si>
    <t>Chain Stay (mm)</t>
  </si>
  <si>
    <t>Head Tube Angle (°)</t>
  </si>
  <si>
    <t>Seat Tube Angle (°)</t>
  </si>
  <si>
    <t>Standover Height (27.5 × 2.8″) (mm)</t>
  </si>
  <si>
    <t>Fork Length (mm)</t>
  </si>
  <si>
    <t>threaded 73</t>
  </si>
  <si>
    <t>internal</t>
  </si>
  <si>
    <t>a8:e31</t>
  </si>
  <si>
    <t>bb drop</t>
  </si>
  <si>
    <t>hta</t>
  </si>
  <si>
    <t>axle-crown</t>
  </si>
  <si>
    <t>offset</t>
  </si>
  <si>
    <t>crown-race</t>
  </si>
  <si>
    <t>hta rad</t>
  </si>
  <si>
    <t>crown-race.v</t>
  </si>
  <si>
    <t>alpha</t>
  </si>
  <si>
    <t>beta</t>
  </si>
  <si>
    <t>ac.v</t>
  </si>
  <si>
    <t>h.v</t>
  </si>
  <si>
    <t>ht length</t>
  </si>
  <si>
    <t>bike geometry goodnotes</t>
  </si>
  <si>
    <t>delta</t>
  </si>
  <si>
    <t>gamma</t>
  </si>
  <si>
    <t>location</t>
  </si>
  <si>
    <t>Nagoya, Japan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</si>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</sst>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6"/>
      <color theme="1"/>
      <name val="Helvetica"/>
      <family val="2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8"/>
  <sheetViews>
    <sheetView tabSelected="1" topLeftCell="A57" workbookViewId="0">
      <selection activeCell="A72" sqref="A72:B72"/>
    </sheetView>
  </sheetViews>
  <sheetFormatPr baseColWidth="10" defaultRowHeight="20" x14ac:dyDescent="0.3"/>
  <cols>
    <col min="1" max="2" width="19.6640625" customWidth="1"/>
  </cols>
  <sheetData>
    <row r="1" spans="1:12" x14ac:dyDescent="0.3">
      <c r="A1" t="s">
        <v>0</v>
      </c>
      <c r="B1" s="2" t="s">
        <v>81</v>
      </c>
    </row>
    <row r="2" spans="1:12" x14ac:dyDescent="0.3">
      <c r="A2" t="s">
        <v>1</v>
      </c>
      <c r="B2" s="2" t="s">
        <v>86</v>
      </c>
    </row>
    <row r="3" spans="1:12" x14ac:dyDescent="0.3">
      <c r="A3" t="s">
        <v>2</v>
      </c>
      <c r="B3">
        <v>2025</v>
      </c>
    </row>
    <row r="4" spans="1:12" x14ac:dyDescent="0.3">
      <c r="A4" t="s">
        <v>3</v>
      </c>
      <c r="B4" s="1">
        <v>45944</v>
      </c>
    </row>
    <row r="5" spans="1:12" x14ac:dyDescent="0.3">
      <c r="A5" t="s">
        <v>4</v>
      </c>
      <c r="B5" t="s">
        <v>85</v>
      </c>
    </row>
    <row r="6" spans="1:12" x14ac:dyDescent="0.3">
      <c r="B6" t="s">
        <v>87</v>
      </c>
    </row>
    <row r="7" spans="1:12" x14ac:dyDescent="0.3">
      <c r="A7" t="s">
        <v>5</v>
      </c>
      <c r="B7" s="2" t="s">
        <v>97</v>
      </c>
    </row>
    <row r="8" spans="1:12" ht="22" x14ac:dyDescent="0.3">
      <c r="A8" t="s">
        <v>6</v>
      </c>
      <c r="B8" s="2" t="s">
        <v>77</v>
      </c>
      <c r="C8" t="s">
        <v>70</v>
      </c>
      <c r="D8" t="s">
        <v>71</v>
      </c>
      <c r="E8" t="s">
        <v>72</v>
      </c>
      <c r="I8" s="3"/>
      <c r="J8" s="4" t="str">
        <f>C8</f>
        <v>M</v>
      </c>
      <c r="K8" s="4" t="str">
        <f>D8</f>
        <v>L</v>
      </c>
      <c r="L8" s="4" t="str">
        <f>E8</f>
        <v>XL</v>
      </c>
    </row>
    <row r="9" spans="1:12" x14ac:dyDescent="0.3">
      <c r="A9" t="s">
        <v>11</v>
      </c>
      <c r="B9" t="s">
        <v>88</v>
      </c>
      <c r="C9">
        <v>430</v>
      </c>
      <c r="D9">
        <v>460</v>
      </c>
      <c r="E9">
        <v>490</v>
      </c>
      <c r="I9" s="2" t="s">
        <v>8</v>
      </c>
      <c r="J9">
        <f>C15</f>
        <v>593</v>
      </c>
      <c r="K9">
        <f>D15</f>
        <v>598</v>
      </c>
      <c r="L9">
        <f>E15</f>
        <v>629</v>
      </c>
    </row>
    <row r="10" spans="1:12" x14ac:dyDescent="0.3">
      <c r="A10" t="s">
        <v>15</v>
      </c>
      <c r="B10" t="s">
        <v>89</v>
      </c>
      <c r="C10">
        <v>585</v>
      </c>
      <c r="D10">
        <v>610</v>
      </c>
      <c r="E10">
        <v>645</v>
      </c>
      <c r="I10" s="2" t="s">
        <v>98</v>
      </c>
      <c r="J10">
        <f>C11</f>
        <v>60</v>
      </c>
      <c r="K10">
        <f>D11</f>
        <v>60</v>
      </c>
      <c r="L10">
        <f>E11</f>
        <v>60</v>
      </c>
    </row>
    <row r="11" spans="1:12" x14ac:dyDescent="0.3">
      <c r="A11" t="s">
        <v>12</v>
      </c>
      <c r="B11" t="s">
        <v>82</v>
      </c>
      <c r="C11">
        <v>60</v>
      </c>
      <c r="D11">
        <v>60</v>
      </c>
      <c r="E11">
        <v>60</v>
      </c>
      <c r="I11" s="2" t="s">
        <v>99</v>
      </c>
      <c r="J11">
        <f>C13</f>
        <v>69.5</v>
      </c>
      <c r="K11">
        <f>D13</f>
        <v>69.5</v>
      </c>
      <c r="L11">
        <f>E13</f>
        <v>69.5</v>
      </c>
    </row>
    <row r="12" spans="1:12" x14ac:dyDescent="0.3">
      <c r="A12" t="s">
        <v>14</v>
      </c>
      <c r="B12" t="s">
        <v>90</v>
      </c>
      <c r="C12">
        <v>440</v>
      </c>
      <c r="D12">
        <v>440</v>
      </c>
      <c r="E12">
        <v>440</v>
      </c>
      <c r="I12" s="2" t="s">
        <v>100</v>
      </c>
      <c r="J12">
        <f t="shared" ref="J12:L13" si="0">C18</f>
        <v>465</v>
      </c>
      <c r="K12">
        <f t="shared" si="0"/>
        <v>465</v>
      </c>
      <c r="L12">
        <f t="shared" si="0"/>
        <v>465</v>
      </c>
    </row>
    <row r="13" spans="1:12" x14ac:dyDescent="0.3">
      <c r="A13" t="s">
        <v>9</v>
      </c>
      <c r="B13" t="s">
        <v>91</v>
      </c>
      <c r="C13">
        <v>69.5</v>
      </c>
      <c r="D13">
        <v>69.5</v>
      </c>
      <c r="E13">
        <v>69.5</v>
      </c>
      <c r="I13" s="2" t="s">
        <v>101</v>
      </c>
      <c r="J13">
        <f t="shared" si="0"/>
        <v>47</v>
      </c>
      <c r="K13">
        <f t="shared" si="0"/>
        <v>47</v>
      </c>
      <c r="L13">
        <f t="shared" si="0"/>
        <v>47</v>
      </c>
    </row>
    <row r="14" spans="1:12" x14ac:dyDescent="0.3">
      <c r="A14" t="s">
        <v>16</v>
      </c>
      <c r="B14" t="s">
        <v>92</v>
      </c>
      <c r="C14">
        <v>74</v>
      </c>
      <c r="D14">
        <v>74</v>
      </c>
      <c r="E14">
        <v>74</v>
      </c>
      <c r="I14" s="2" t="s">
        <v>102</v>
      </c>
      <c r="J14" s="2">
        <v>10</v>
      </c>
      <c r="K14" s="2">
        <v>10</v>
      </c>
      <c r="L14" s="2">
        <v>10</v>
      </c>
    </row>
    <row r="15" spans="1:12" x14ac:dyDescent="0.3">
      <c r="A15" t="s">
        <v>8</v>
      </c>
      <c r="B15" t="s">
        <v>74</v>
      </c>
      <c r="C15">
        <v>593</v>
      </c>
      <c r="D15">
        <v>598</v>
      </c>
      <c r="E15">
        <v>629</v>
      </c>
    </row>
    <row r="16" spans="1:12" x14ac:dyDescent="0.3">
      <c r="A16" t="s">
        <v>7</v>
      </c>
      <c r="B16" t="s">
        <v>73</v>
      </c>
      <c r="C16">
        <v>413</v>
      </c>
      <c r="D16">
        <v>436</v>
      </c>
      <c r="E16">
        <v>463</v>
      </c>
      <c r="I16" s="2" t="s">
        <v>103</v>
      </c>
      <c r="J16">
        <f>J11*PI()/180</f>
        <v>1.2130038301360591</v>
      </c>
      <c r="K16">
        <f>K11*PI()/180</f>
        <v>1.2130038301360591</v>
      </c>
      <c r="L16">
        <f>L11*PI()/180</f>
        <v>1.2130038301360591</v>
      </c>
    </row>
    <row r="17" spans="1:12" x14ac:dyDescent="0.3">
      <c r="A17" t="s">
        <v>17</v>
      </c>
      <c r="B17" t="s">
        <v>93</v>
      </c>
      <c r="C17">
        <v>749</v>
      </c>
      <c r="D17">
        <v>761</v>
      </c>
      <c r="E17">
        <v>832</v>
      </c>
      <c r="I17" s="2" t="s">
        <v>104</v>
      </c>
      <c r="J17">
        <f>J14*SIN(J16)</f>
        <v>9.3667218924839766</v>
      </c>
      <c r="K17">
        <f>K14*SIN(K16)</f>
        <v>9.3667218924839766</v>
      </c>
      <c r="L17">
        <f>L14*SIN(L16)</f>
        <v>9.3667218924839766</v>
      </c>
    </row>
    <row r="18" spans="1:12" x14ac:dyDescent="0.3">
      <c r="A18" t="s">
        <v>21</v>
      </c>
      <c r="B18" t="s">
        <v>94</v>
      </c>
      <c r="C18">
        <v>465</v>
      </c>
      <c r="D18">
        <v>465</v>
      </c>
      <c r="E18">
        <v>465</v>
      </c>
      <c r="I18" s="2" t="s">
        <v>105</v>
      </c>
      <c r="J18">
        <f>ATAN(J13/J12)</f>
        <v>0.10073316135029935</v>
      </c>
      <c r="K18">
        <f>ATAN(K13/K12)</f>
        <v>0.10073316135029935</v>
      </c>
      <c r="L18">
        <f>ATAN(L13/L12)</f>
        <v>0.10073316135029935</v>
      </c>
    </row>
    <row r="19" spans="1:12" x14ac:dyDescent="0.3">
      <c r="A19" t="s">
        <v>22</v>
      </c>
      <c r="B19" t="s">
        <v>75</v>
      </c>
      <c r="C19">
        <v>47</v>
      </c>
      <c r="D19">
        <v>47</v>
      </c>
      <c r="E19">
        <v>47</v>
      </c>
      <c r="I19" s="2" t="s">
        <v>106</v>
      </c>
      <c r="J19">
        <f>J18 + ( PI()/2 - J16)</f>
        <v>0.45852565800913686</v>
      </c>
      <c r="K19">
        <f>K18 + ( PI()/2 - K16)</f>
        <v>0.45852565800913686</v>
      </c>
      <c r="L19">
        <f>L18 + ( PI()/2 - L16)</f>
        <v>0.45852565800913686</v>
      </c>
    </row>
    <row r="20" spans="1:12" x14ac:dyDescent="0.3">
      <c r="A20" t="s">
        <v>13</v>
      </c>
      <c r="I20" s="2" t="s">
        <v>107</v>
      </c>
      <c r="J20">
        <f>COS(J19)*J12</f>
        <v>416.96831546191919</v>
      </c>
      <c r="K20">
        <f>COS(K19)*K12</f>
        <v>416.96831546191919</v>
      </c>
      <c r="L20">
        <f>COS(L19)*L12</f>
        <v>416.96831546191919</v>
      </c>
    </row>
    <row r="21" spans="1:12" x14ac:dyDescent="0.3">
      <c r="A21" t="s">
        <v>10</v>
      </c>
      <c r="C21">
        <f>J22</f>
        <v>113.87651290382254</v>
      </c>
      <c r="D21">
        <f t="shared" ref="D21:E21" si="1">K22</f>
        <v>119.21455972254158</v>
      </c>
      <c r="E21">
        <f t="shared" si="1"/>
        <v>152.31044999859958</v>
      </c>
      <c r="I21" s="2" t="s">
        <v>108</v>
      </c>
      <c r="J21">
        <f>J9-J10-J17-J20</f>
        <v>106.66496264559686</v>
      </c>
      <c r="K21">
        <f>K9-K10-K17-K20</f>
        <v>111.66496264559686</v>
      </c>
      <c r="L21">
        <f>L9-L10-L17-L20</f>
        <v>142.66496264559686</v>
      </c>
    </row>
    <row r="22" spans="1:12" x14ac:dyDescent="0.3">
      <c r="A22" s="2" t="s">
        <v>78</v>
      </c>
      <c r="I22" s="2" t="s">
        <v>109</v>
      </c>
      <c r="J22">
        <f>J21/SIN(J16)</f>
        <v>113.87651290382254</v>
      </c>
      <c r="K22">
        <f>K21/SIN(K16)</f>
        <v>119.21455972254158</v>
      </c>
      <c r="L22">
        <f>L21/SIN(L16)</f>
        <v>152.31044999859958</v>
      </c>
    </row>
    <row r="23" spans="1:12" x14ac:dyDescent="0.3">
      <c r="A23" t="s">
        <v>23</v>
      </c>
    </row>
    <row r="24" spans="1:12" x14ac:dyDescent="0.3">
      <c r="A24" t="s">
        <v>18</v>
      </c>
      <c r="I24" s="2" t="s">
        <v>110</v>
      </c>
    </row>
    <row r="25" spans="1:12" x14ac:dyDescent="0.3">
      <c r="A25" t="s">
        <v>20</v>
      </c>
      <c r="I25" s="2" t="s">
        <v>106</v>
      </c>
      <c r="J25">
        <f>ACOS(J13/J12)</f>
        <v>1.4695481609054275</v>
      </c>
      <c r="K25">
        <f>ACOS(K13/K12)</f>
        <v>1.4695481609054275</v>
      </c>
      <c r="L25">
        <f>ACOS(L13/L12)</f>
        <v>1.4695481609054275</v>
      </c>
    </row>
    <row r="26" spans="1:12" x14ac:dyDescent="0.3">
      <c r="A26" t="s">
        <v>19</v>
      </c>
      <c r="I26" s="2" t="s">
        <v>111</v>
      </c>
      <c r="J26">
        <f>PI()/2 - J16</f>
        <v>0.3577924966588375</v>
      </c>
      <c r="K26">
        <f>PI()/2 - K16</f>
        <v>0.3577924966588375</v>
      </c>
      <c r="L26">
        <f>PI()/2 - L16</f>
        <v>0.3577924966588375</v>
      </c>
    </row>
    <row r="27" spans="1:12" x14ac:dyDescent="0.3">
      <c r="A27" t="s">
        <v>24</v>
      </c>
      <c r="C27">
        <v>700</v>
      </c>
      <c r="D27">
        <v>700</v>
      </c>
      <c r="E27">
        <v>700</v>
      </c>
      <c r="I27" s="2" t="s">
        <v>112</v>
      </c>
      <c r="J27">
        <f>J25-J26</f>
        <v>1.11175566424659</v>
      </c>
      <c r="K27">
        <f>K25-K26</f>
        <v>1.11175566424659</v>
      </c>
      <c r="L27">
        <f>L25-L26</f>
        <v>1.11175566424659</v>
      </c>
    </row>
    <row r="28" spans="1:12" x14ac:dyDescent="0.3">
      <c r="A28" t="s">
        <v>25</v>
      </c>
      <c r="C28">
        <v>2.4</v>
      </c>
      <c r="D28">
        <v>2.4</v>
      </c>
      <c r="E28">
        <v>2.4</v>
      </c>
      <c r="H28" s="2" t="s">
        <v>84</v>
      </c>
      <c r="I28" s="2" t="s">
        <v>107</v>
      </c>
      <c r="J28">
        <f>J12*SIN(J27)</f>
        <v>416.86226124618588</v>
      </c>
      <c r="K28">
        <f>K12*SIN(K27)</f>
        <v>416.86226124618588</v>
      </c>
      <c r="L28">
        <f>L12*SIN(L27)</f>
        <v>416.86226124618588</v>
      </c>
    </row>
    <row r="29" spans="1:12" x14ac:dyDescent="0.3">
      <c r="A29" t="s">
        <v>26</v>
      </c>
      <c r="C29">
        <v>2.4</v>
      </c>
      <c r="D29">
        <v>2.4</v>
      </c>
      <c r="E29">
        <v>2.4</v>
      </c>
      <c r="I29" s="2" t="s">
        <v>108</v>
      </c>
      <c r="J29">
        <f>J9-J28-J17-J10</f>
        <v>106.77101686133014</v>
      </c>
      <c r="K29">
        <f>K9-K28-K17-K10</f>
        <v>111.77101686133014</v>
      </c>
      <c r="L29">
        <f>L9-L28-L17-L10</f>
        <v>142.77101686133014</v>
      </c>
    </row>
    <row r="30" spans="1:12" x14ac:dyDescent="0.3">
      <c r="A30" t="s">
        <v>27</v>
      </c>
      <c r="I30" s="2" t="s">
        <v>109</v>
      </c>
      <c r="J30">
        <f>J29/SIN(J16)</f>
        <v>113.9897373776039</v>
      </c>
      <c r="K30">
        <f>K29/SIN(K16)</f>
        <v>119.32778419632294</v>
      </c>
      <c r="L30">
        <f>L29/SIN(L16)</f>
        <v>152.42367447238092</v>
      </c>
    </row>
    <row r="31" spans="1:12" x14ac:dyDescent="0.3">
      <c r="A31" t="s">
        <v>28</v>
      </c>
    </row>
    <row r="33" spans="1:2" x14ac:dyDescent="0.3">
      <c r="A33" t="s">
        <v>29</v>
      </c>
      <c r="B33" s="2" t="s">
        <v>30</v>
      </c>
    </row>
    <row r="34" spans="1:2" x14ac:dyDescent="0.3">
      <c r="A34" t="s">
        <v>67</v>
      </c>
      <c r="B34" s="2" t="s">
        <v>79</v>
      </c>
    </row>
    <row r="35" spans="1:2" x14ac:dyDescent="0.3">
      <c r="A35" t="s">
        <v>68</v>
      </c>
      <c r="B35" s="2" t="s">
        <v>83</v>
      </c>
    </row>
    <row r="36" spans="1:2" x14ac:dyDescent="0.3">
      <c r="A36" t="s">
        <v>69</v>
      </c>
      <c r="B36" s="2" t="s">
        <v>76</v>
      </c>
    </row>
    <row r="37" spans="1:2" x14ac:dyDescent="0.3">
      <c r="A37" t="s">
        <v>31</v>
      </c>
      <c r="B37" s="2" t="s">
        <v>32</v>
      </c>
    </row>
    <row r="38" spans="1:2" x14ac:dyDescent="0.3">
      <c r="A38" t="s">
        <v>33</v>
      </c>
      <c r="B38" s="2"/>
    </row>
    <row r="39" spans="1:2" x14ac:dyDescent="0.3">
      <c r="A39" t="s">
        <v>34</v>
      </c>
    </row>
    <row r="40" spans="1:2" x14ac:dyDescent="0.3">
      <c r="A40" t="s">
        <v>35</v>
      </c>
      <c r="B40">
        <v>2.4</v>
      </c>
    </row>
    <row r="41" spans="1:2" x14ac:dyDescent="0.3">
      <c r="A41" t="s">
        <v>36</v>
      </c>
      <c r="B41">
        <v>2.8</v>
      </c>
    </row>
    <row r="42" spans="1:2" x14ac:dyDescent="0.3">
      <c r="A42" t="s">
        <v>37</v>
      </c>
    </row>
    <row r="43" spans="1:2" x14ac:dyDescent="0.3">
      <c r="A43" t="s">
        <v>38</v>
      </c>
      <c r="B43">
        <v>120</v>
      </c>
    </row>
    <row r="44" spans="1:2" x14ac:dyDescent="0.3">
      <c r="A44" t="s">
        <v>39</v>
      </c>
    </row>
    <row r="45" spans="1:2" x14ac:dyDescent="0.3">
      <c r="A45" t="s">
        <v>40</v>
      </c>
    </row>
    <row r="46" spans="1:2" x14ac:dyDescent="0.3">
      <c r="A46" t="s">
        <v>41</v>
      </c>
      <c r="B46" s="2">
        <v>148</v>
      </c>
    </row>
    <row r="47" spans="1:2" x14ac:dyDescent="0.3">
      <c r="A47" t="s">
        <v>42</v>
      </c>
      <c r="B47">
        <v>110</v>
      </c>
    </row>
    <row r="48" spans="1:2" x14ac:dyDescent="0.3">
      <c r="A48" t="s">
        <v>115</v>
      </c>
    </row>
    <row r="49" spans="1:2" x14ac:dyDescent="0.3">
      <c r="A49" t="s">
        <v>116</v>
      </c>
    </row>
    <row r="50" spans="1:2" x14ac:dyDescent="0.3">
      <c r="A50" t="s">
        <v>117</v>
      </c>
    </row>
    <row r="51" spans="1:2" x14ac:dyDescent="0.3">
      <c r="A51" t="s">
        <v>118</v>
      </c>
    </row>
    <row r="52" spans="1:2" x14ac:dyDescent="0.3">
      <c r="A52" t="s">
        <v>119</v>
      </c>
    </row>
    <row r="53" spans="1:2" x14ac:dyDescent="0.3">
      <c r="A53" t="s">
        <v>120</v>
      </c>
    </row>
    <row r="54" spans="1:2" x14ac:dyDescent="0.3">
      <c r="A54" t="s">
        <v>43</v>
      </c>
      <c r="B54" s="2" t="s">
        <v>95</v>
      </c>
    </row>
    <row r="55" spans="1:2" x14ac:dyDescent="0.3">
      <c r="A55" t="s">
        <v>44</v>
      </c>
    </row>
    <row r="56" spans="1:2" x14ac:dyDescent="0.3">
      <c r="A56" t="s">
        <v>45</v>
      </c>
    </row>
    <row r="57" spans="1:2" x14ac:dyDescent="0.3">
      <c r="A57" t="s">
        <v>46</v>
      </c>
      <c r="B57" s="2"/>
    </row>
    <row r="58" spans="1:2" x14ac:dyDescent="0.3">
      <c r="A58" t="s">
        <v>47</v>
      </c>
    </row>
    <row r="59" spans="1:2" x14ac:dyDescent="0.3">
      <c r="A59" t="s">
        <v>48</v>
      </c>
    </row>
    <row r="60" spans="1:2" x14ac:dyDescent="0.3">
      <c r="A60" t="s">
        <v>49</v>
      </c>
    </row>
    <row r="61" spans="1:2" x14ac:dyDescent="0.3">
      <c r="A61" t="s">
        <v>50</v>
      </c>
    </row>
    <row r="62" spans="1:2" x14ac:dyDescent="0.3">
      <c r="A62" t="s">
        <v>51</v>
      </c>
    </row>
    <row r="63" spans="1:2" x14ac:dyDescent="0.3">
      <c r="A63" t="s">
        <v>52</v>
      </c>
      <c r="B63" s="2"/>
    </row>
    <row r="64" spans="1:2" x14ac:dyDescent="0.3">
      <c r="A64" t="s">
        <v>53</v>
      </c>
      <c r="B64" s="2" t="s">
        <v>96</v>
      </c>
    </row>
    <row r="65" spans="1:3" x14ac:dyDescent="0.3">
      <c r="A65" t="s">
        <v>54</v>
      </c>
      <c r="B65" s="2"/>
    </row>
    <row r="66" spans="1:3" x14ac:dyDescent="0.3">
      <c r="A66" t="s">
        <v>55</v>
      </c>
    </row>
    <row r="67" spans="1:3" x14ac:dyDescent="0.3">
      <c r="A67" t="s">
        <v>56</v>
      </c>
      <c r="B67">
        <v>2</v>
      </c>
    </row>
    <row r="68" spans="1:3" x14ac:dyDescent="0.3">
      <c r="A68" t="s">
        <v>57</v>
      </c>
      <c r="B68">
        <v>1</v>
      </c>
    </row>
    <row r="69" spans="1:3" x14ac:dyDescent="0.3">
      <c r="A69" t="s">
        <v>58</v>
      </c>
      <c r="B69" s="2"/>
    </row>
    <row r="70" spans="1:3" x14ac:dyDescent="0.3">
      <c r="A70" t="s">
        <v>59</v>
      </c>
      <c r="B70">
        <v>3</v>
      </c>
    </row>
    <row r="71" spans="1:3" x14ac:dyDescent="0.3">
      <c r="A71" t="s">
        <v>60</v>
      </c>
      <c r="B71" s="2"/>
    </row>
    <row r="72" spans="1:3" x14ac:dyDescent="0.3">
      <c r="A72" t="s">
        <v>61</v>
      </c>
      <c r="B72" s="2"/>
    </row>
    <row r="73" spans="1:3" x14ac:dyDescent="0.3">
      <c r="A73" t="s">
        <v>62</v>
      </c>
      <c r="B73" s="2"/>
    </row>
    <row r="74" spans="1:3" x14ac:dyDescent="0.3">
      <c r="A74" t="s">
        <v>63</v>
      </c>
      <c r="B74">
        <v>1880</v>
      </c>
      <c r="C74" s="2"/>
    </row>
    <row r="75" spans="1:3" x14ac:dyDescent="0.3">
      <c r="A75" t="s">
        <v>64</v>
      </c>
    </row>
    <row r="76" spans="1:3" x14ac:dyDescent="0.3">
      <c r="A76" t="s">
        <v>65</v>
      </c>
      <c r="B76" s="2"/>
    </row>
    <row r="77" spans="1:3" x14ac:dyDescent="0.3">
      <c r="A77" t="s">
        <v>66</v>
      </c>
      <c r="B77" s="2" t="s">
        <v>80</v>
      </c>
    </row>
    <row r="78" spans="1:3" x14ac:dyDescent="0.3">
      <c r="A78" t="s">
        <v>113</v>
      </c>
      <c r="B78" t="s">
        <v>114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2025-11-07T14:42:20Z</dcterms:modified>
</cp:coreProperties>
</file>