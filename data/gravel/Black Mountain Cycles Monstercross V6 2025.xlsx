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DC5023B-50BD-FF49-9BD6-8CAEB54C25CD}" xr6:coauthVersionLast="47" xr6:coauthVersionMax="47" xr10:uidLastSave="{00000000-0000-0000-0000-000000000000}"/>
  <bookViews>
    <workbookView xWindow="980" yWindow="2000" windowWidth="27820" windowHeight="15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C32" i="1"/>
  <c r="D32" i="1"/>
  <c r="E32" i="1"/>
  <c r="F32" i="1"/>
  <c r="D31" i="1"/>
  <c r="E31" i="1"/>
  <c r="F31" i="1"/>
  <c r="C31" i="1"/>
</calcChain>
</file>

<file path=xl/sharedStrings.xml><?xml version="1.0" encoding="utf-8"?>
<sst xmlns="http://schemas.openxmlformats.org/spreadsheetml/2006/main" count="114" uniqueCount="105">
  <si>
    <t>brand</t>
  </si>
  <si>
    <t>model</t>
  </si>
  <si>
    <t>model_year</t>
  </si>
  <si>
    <t>input_date</t>
  </si>
  <si>
    <t>url</t>
  </si>
  <si>
    <t>data_range</t>
  </si>
  <si>
    <t>frame_size</t>
  </si>
  <si>
    <t>56cm</t>
  </si>
  <si>
    <t>seat_tube_length</t>
  </si>
  <si>
    <t>head_tube_angle</t>
  </si>
  <si>
    <t>seat_tube_angle</t>
  </si>
  <si>
    <t>top_tube_effective_length</t>
  </si>
  <si>
    <t>chainstay_length</t>
  </si>
  <si>
    <t>bottom_bracket_drop</t>
  </si>
  <si>
    <t>head_tube_length</t>
  </si>
  <si>
    <t>axle_crown</t>
  </si>
  <si>
    <t>fork_offset_rake</t>
  </si>
  <si>
    <t>trail</t>
  </si>
  <si>
    <t>stack</t>
  </si>
  <si>
    <t>reach</t>
  </si>
  <si>
    <t>standover</t>
  </si>
  <si>
    <t>front_center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</si>
  <si>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</si>
  <si>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</si>
  <si>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</si>
  <si>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</si>
  <si>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</si>
  <si>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</si>
  <si>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</si>
  <si>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</si>
  <si>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</si>
  <si>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</si>
  <si>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</si>
  <si>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</si>
  <si>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</si>
  <si>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</si>
  <si>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</si>
  <si>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</si>
  <si>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</si>
  <si>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</si>
  <si>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</si>
  <si>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</si>
  <si>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</si>
  <si>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</si>
  <si>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</si>
  <si>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</si>
  <si>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</si>
  <si>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</si>
  <si>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</si>
  <si>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</si>
  <si>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</si>
  <si>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</si>
  <si>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</si>
  <si>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</si>
  <si>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</si>
  <si>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</si>
  <si>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</si>
  <si>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</si>
  <si>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</si>
  <si>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</si>
  <si>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</si>
  <si>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</si>
  <si>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</si>
  <si>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</si>
  <si>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</si>
  <si>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</si>
  <si>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</si>
  <si>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</si>
  <si>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</si>
  <si>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</si>
  <si>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</si>
  <si>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</si>
  <si>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</si>
  <si>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</si>
  <si>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Black Mountain Cycles</t>
  </si>
  <si>
    <t>Monstercross V6</t>
  </si>
  <si>
    <t>https://blackmtncycles.com/monstercross-tech-info/</t>
  </si>
  <si>
    <t>50m</t>
  </si>
  <si>
    <t>53cm</t>
  </si>
  <si>
    <t>59cm</t>
  </si>
  <si>
    <t>Seat Tube (c-t)</t>
  </si>
  <si>
    <t>Head Angle</t>
  </si>
  <si>
    <t>Seat Angle</t>
  </si>
  <si>
    <t>Top Tube (effective)</t>
  </si>
  <si>
    <t>Chain Stay*</t>
  </si>
  <si>
    <t>BB Drop</t>
  </si>
  <si>
    <t>Head Tube Length</t>
  </si>
  <si>
    <t>Fork Length</t>
  </si>
  <si>
    <t>Fork Offset</t>
  </si>
  <si>
    <t>Trail</t>
  </si>
  <si>
    <t>Stack</t>
  </si>
  <si>
    <t>Reach</t>
  </si>
  <si>
    <t>Standover</t>
  </si>
  <si>
    <t>Front Center</t>
  </si>
  <si>
    <t>Wheelbase</t>
  </si>
  <si>
    <t>forward position, 18 mm adjust</t>
  </si>
  <si>
    <t>rider_min</t>
  </si>
  <si>
    <t>rider_max</t>
  </si>
  <si>
    <t>threaded 68</t>
  </si>
  <si>
    <t>yes</t>
  </si>
  <si>
    <t>external</t>
  </si>
  <si>
    <t>100 QR</t>
  </si>
  <si>
    <t>130 QR</t>
  </si>
  <si>
    <t>USD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</si>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</sst>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6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1" t="s">
        <v>74</v>
      </c>
    </row>
    <row r="2" spans="1:7" x14ac:dyDescent="0.3">
      <c r="A2" t="s">
        <v>1</v>
      </c>
      <c r="B2" s="1" t="s">
        <v>75</v>
      </c>
    </row>
    <row r="3" spans="1:7" x14ac:dyDescent="0.3">
      <c r="A3" t="s">
        <v>2</v>
      </c>
      <c r="B3">
        <v>2025</v>
      </c>
    </row>
    <row r="4" spans="1:7" x14ac:dyDescent="0.3">
      <c r="A4" t="s">
        <v>3</v>
      </c>
      <c r="B4" s="2">
        <v>45936</v>
      </c>
    </row>
    <row r="5" spans="1:7" x14ac:dyDescent="0.3">
      <c r="A5" t="s">
        <v>4</v>
      </c>
      <c r="B5" t="s">
        <v>76</v>
      </c>
    </row>
    <row r="7" spans="1:7" x14ac:dyDescent="0.3">
      <c r="A7" t="s">
        <v>5</v>
      </c>
      <c r="B7" s="1" t="s">
        <v>104</v>
      </c>
    </row>
    <row r="8" spans="1:7" x14ac:dyDescent="0.3">
      <c r="A8" t="s">
        <v>6</v>
      </c>
      <c r="B8" t="s">
        <v>75</v>
      </c>
      <c r="C8" t="s">
        <v>77</v>
      </c>
      <c r="D8" t="s">
        <v>78</v>
      </c>
      <c r="E8" t="s">
        <v>7</v>
      </c>
      <c r="F8" t="s">
        <v>79</v>
      </c>
    </row>
    <row r="9" spans="1:7" x14ac:dyDescent="0.3">
      <c r="A9" t="s">
        <v>8</v>
      </c>
      <c r="B9" t="s">
        <v>80</v>
      </c>
      <c r="C9">
        <v>500</v>
      </c>
      <c r="D9">
        <v>530</v>
      </c>
      <c r="E9">
        <v>560</v>
      </c>
      <c r="F9">
        <v>590</v>
      </c>
    </row>
    <row r="10" spans="1:7" x14ac:dyDescent="0.3">
      <c r="A10" t="s">
        <v>9</v>
      </c>
      <c r="B10" t="s">
        <v>81</v>
      </c>
      <c r="C10">
        <v>71</v>
      </c>
      <c r="D10">
        <v>71.5</v>
      </c>
      <c r="E10">
        <v>71.5</v>
      </c>
      <c r="F10">
        <v>72</v>
      </c>
    </row>
    <row r="11" spans="1:7" x14ac:dyDescent="0.3">
      <c r="A11" t="s">
        <v>10</v>
      </c>
      <c r="B11" t="s">
        <v>82</v>
      </c>
      <c r="C11">
        <v>74.5</v>
      </c>
      <c r="D11">
        <v>74</v>
      </c>
      <c r="E11">
        <v>73</v>
      </c>
      <c r="F11">
        <v>73</v>
      </c>
    </row>
    <row r="12" spans="1:7" x14ac:dyDescent="0.3">
      <c r="A12" t="s">
        <v>11</v>
      </c>
      <c r="B12" t="s">
        <v>83</v>
      </c>
      <c r="C12">
        <v>520</v>
      </c>
      <c r="D12">
        <v>540</v>
      </c>
      <c r="E12">
        <v>560</v>
      </c>
      <c r="F12">
        <v>585</v>
      </c>
    </row>
    <row r="13" spans="1:7" x14ac:dyDescent="0.3">
      <c r="A13" t="s">
        <v>12</v>
      </c>
      <c r="B13" t="s">
        <v>84</v>
      </c>
      <c r="C13">
        <v>432</v>
      </c>
      <c r="D13">
        <v>432</v>
      </c>
      <c r="E13">
        <v>432</v>
      </c>
      <c r="F13">
        <v>432</v>
      </c>
      <c r="G13" s="1" t="s">
        <v>95</v>
      </c>
    </row>
    <row r="14" spans="1:7" x14ac:dyDescent="0.3">
      <c r="A14" t="s">
        <v>13</v>
      </c>
      <c r="B14" t="s">
        <v>85</v>
      </c>
      <c r="C14">
        <v>76</v>
      </c>
      <c r="D14">
        <v>76</v>
      </c>
      <c r="E14">
        <v>76</v>
      </c>
      <c r="F14">
        <v>74</v>
      </c>
    </row>
    <row r="15" spans="1:7" x14ac:dyDescent="0.3">
      <c r="A15" t="s">
        <v>14</v>
      </c>
      <c r="B15" t="s">
        <v>86</v>
      </c>
      <c r="C15">
        <v>95</v>
      </c>
      <c r="D15">
        <v>125</v>
      </c>
      <c r="E15">
        <v>160</v>
      </c>
      <c r="F15">
        <v>185</v>
      </c>
    </row>
    <row r="16" spans="1:7" x14ac:dyDescent="0.3">
      <c r="A16" t="s">
        <v>15</v>
      </c>
      <c r="B16" t="s">
        <v>87</v>
      </c>
      <c r="C16">
        <v>400</v>
      </c>
      <c r="D16">
        <v>400</v>
      </c>
      <c r="E16">
        <v>400</v>
      </c>
      <c r="F16">
        <v>400</v>
      </c>
    </row>
    <row r="17" spans="1:6" x14ac:dyDescent="0.3">
      <c r="A17" t="s">
        <v>16</v>
      </c>
      <c r="B17" t="s">
        <v>88</v>
      </c>
      <c r="C17">
        <v>55</v>
      </c>
      <c r="D17">
        <v>55</v>
      </c>
      <c r="E17">
        <v>55</v>
      </c>
      <c r="F17">
        <v>50</v>
      </c>
    </row>
    <row r="18" spans="1:6" x14ac:dyDescent="0.3">
      <c r="A18" t="s">
        <v>17</v>
      </c>
      <c r="B18" t="s">
        <v>89</v>
      </c>
      <c r="C18">
        <v>64</v>
      </c>
      <c r="D18">
        <v>60.8</v>
      </c>
      <c r="E18">
        <v>60.8</v>
      </c>
      <c r="F18">
        <v>62.8</v>
      </c>
    </row>
    <row r="19" spans="1:6" x14ac:dyDescent="0.3">
      <c r="A19" t="s">
        <v>18</v>
      </c>
      <c r="B19" t="s">
        <v>90</v>
      </c>
      <c r="C19">
        <v>538</v>
      </c>
      <c r="D19">
        <v>569</v>
      </c>
      <c r="E19">
        <v>603</v>
      </c>
      <c r="F19">
        <v>628</v>
      </c>
    </row>
    <row r="20" spans="1:6" x14ac:dyDescent="0.3">
      <c r="A20" t="s">
        <v>19</v>
      </c>
      <c r="B20" t="s">
        <v>91</v>
      </c>
      <c r="C20">
        <v>369</v>
      </c>
      <c r="D20">
        <v>375</v>
      </c>
      <c r="E20">
        <v>375</v>
      </c>
      <c r="F20">
        <v>392</v>
      </c>
    </row>
    <row r="21" spans="1:6" x14ac:dyDescent="0.3">
      <c r="A21" t="s">
        <v>20</v>
      </c>
      <c r="B21" t="s">
        <v>92</v>
      </c>
      <c r="C21">
        <v>769</v>
      </c>
      <c r="D21">
        <v>796</v>
      </c>
      <c r="E21">
        <v>823</v>
      </c>
      <c r="F21">
        <v>852</v>
      </c>
    </row>
    <row r="22" spans="1:6" x14ac:dyDescent="0.3">
      <c r="A22" t="s">
        <v>21</v>
      </c>
      <c r="B22" t="s">
        <v>93</v>
      </c>
      <c r="C22">
        <v>591</v>
      </c>
      <c r="D22">
        <v>603</v>
      </c>
      <c r="E22">
        <v>614</v>
      </c>
      <c r="F22">
        <v>629</v>
      </c>
    </row>
    <row r="23" spans="1:6" x14ac:dyDescent="0.3">
      <c r="A23" t="s">
        <v>22</v>
      </c>
      <c r="B23" t="s">
        <v>94</v>
      </c>
      <c r="C23">
        <v>1011</v>
      </c>
      <c r="D23">
        <v>1023</v>
      </c>
      <c r="E23">
        <v>1034</v>
      </c>
      <c r="F23">
        <v>1050</v>
      </c>
    </row>
    <row r="24" spans="1:6" x14ac:dyDescent="0.3">
      <c r="A24" t="s">
        <v>23</v>
      </c>
      <c r="B24" t="s">
        <v>23</v>
      </c>
    </row>
    <row r="25" spans="1:6" x14ac:dyDescent="0.3">
      <c r="A25" t="s">
        <v>24</v>
      </c>
      <c r="B25" t="s">
        <v>24</v>
      </c>
    </row>
    <row r="26" spans="1:6" x14ac:dyDescent="0.3">
      <c r="A26" t="s">
        <v>25</v>
      </c>
      <c r="B26" t="s">
        <v>25</v>
      </c>
    </row>
    <row r="27" spans="1:6" x14ac:dyDescent="0.3">
      <c r="A27" t="s">
        <v>26</v>
      </c>
      <c r="E27">
        <f>5/2.205*1000</f>
        <v>2267.5736961451248</v>
      </c>
    </row>
    <row r="28" spans="1:6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28</v>
      </c>
      <c r="B29" t="s">
        <v>28</v>
      </c>
      <c r="C29">
        <v>45</v>
      </c>
      <c r="D29">
        <v>45</v>
      </c>
      <c r="E29">
        <v>45</v>
      </c>
      <c r="F29">
        <v>45</v>
      </c>
    </row>
    <row r="30" spans="1:6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</row>
    <row r="31" spans="1:6" x14ac:dyDescent="0.3">
      <c r="A31" s="1" t="s">
        <v>96</v>
      </c>
      <c r="C31">
        <f>C33*2.54</f>
        <v>154.94</v>
      </c>
      <c r="D31">
        <f t="shared" ref="D31:F32" si="0">D33*2.54</f>
        <v>162.56</v>
      </c>
      <c r="E31">
        <f t="shared" si="0"/>
        <v>170.18</v>
      </c>
      <c r="F31">
        <f t="shared" si="0"/>
        <v>177.8</v>
      </c>
    </row>
    <row r="32" spans="1:6" x14ac:dyDescent="0.3">
      <c r="A32" s="1" t="s">
        <v>97</v>
      </c>
      <c r="C32">
        <f>C34*2.54</f>
        <v>165.1</v>
      </c>
      <c r="D32">
        <f t="shared" si="0"/>
        <v>172.72</v>
      </c>
      <c r="E32">
        <f t="shared" si="0"/>
        <v>180.34</v>
      </c>
      <c r="F32">
        <f t="shared" si="0"/>
        <v>185.42000000000002</v>
      </c>
    </row>
    <row r="33" spans="1:6" x14ac:dyDescent="0.3">
      <c r="C33">
        <v>61</v>
      </c>
      <c r="D33">
        <v>64</v>
      </c>
      <c r="E33">
        <v>67</v>
      </c>
      <c r="F33">
        <v>70</v>
      </c>
    </row>
    <row r="34" spans="1:6" x14ac:dyDescent="0.3">
      <c r="A34" t="s">
        <v>30</v>
      </c>
      <c r="B34" t="s">
        <v>31</v>
      </c>
      <c r="C34">
        <v>65</v>
      </c>
      <c r="D34">
        <v>68</v>
      </c>
      <c r="E34">
        <v>71</v>
      </c>
      <c r="F34">
        <v>73</v>
      </c>
    </row>
    <row r="35" spans="1:6" x14ac:dyDescent="0.3">
      <c r="A35" t="s">
        <v>68</v>
      </c>
      <c r="B35" t="s">
        <v>69</v>
      </c>
    </row>
    <row r="36" spans="1:6" x14ac:dyDescent="0.3">
      <c r="A36" t="s">
        <v>70</v>
      </c>
      <c r="B36" t="s">
        <v>71</v>
      </c>
    </row>
    <row r="37" spans="1:6" x14ac:dyDescent="0.3">
      <c r="A37" t="s">
        <v>72</v>
      </c>
      <c r="B37" t="s">
        <v>73</v>
      </c>
    </row>
    <row r="38" spans="1:6" x14ac:dyDescent="0.3">
      <c r="A38" t="s">
        <v>32</v>
      </c>
      <c r="B38" t="s">
        <v>33</v>
      </c>
    </row>
    <row r="39" spans="1:6" x14ac:dyDescent="0.3">
      <c r="A39" t="s">
        <v>34</v>
      </c>
    </row>
    <row r="40" spans="1:6" x14ac:dyDescent="0.3">
      <c r="A40" t="s">
        <v>35</v>
      </c>
      <c r="B40">
        <v>18</v>
      </c>
    </row>
    <row r="41" spans="1:6" x14ac:dyDescent="0.3">
      <c r="A41" t="s">
        <v>36</v>
      </c>
      <c r="B41">
        <v>50</v>
      </c>
    </row>
    <row r="42" spans="1:6" x14ac:dyDescent="0.3">
      <c r="A42" t="s">
        <v>37</v>
      </c>
    </row>
    <row r="43" spans="1:6" x14ac:dyDescent="0.3">
      <c r="A43" t="s">
        <v>38</v>
      </c>
    </row>
    <row r="44" spans="1:6" x14ac:dyDescent="0.3">
      <c r="A44" t="s">
        <v>39</v>
      </c>
    </row>
    <row r="45" spans="1:6" x14ac:dyDescent="0.3">
      <c r="A45" t="s">
        <v>40</v>
      </c>
    </row>
    <row r="46" spans="1:6" x14ac:dyDescent="0.3">
      <c r="A46" t="s">
        <v>41</v>
      </c>
    </row>
    <row r="47" spans="1:6" x14ac:dyDescent="0.3">
      <c r="A47" t="s">
        <v>42</v>
      </c>
      <c r="B47" s="1" t="s">
        <v>102</v>
      </c>
    </row>
    <row r="48" spans="1:6" x14ac:dyDescent="0.3">
      <c r="A48" t="s">
        <v>43</v>
      </c>
      <c r="B48" s="1" t="s">
        <v>101</v>
      </c>
    </row>
    <row r="49" spans="1:2" x14ac:dyDescent="0.3">
      <c r="A49" t="s">
        <v>44</v>
      </c>
      <c r="B49" s="1" t="s">
        <v>98</v>
      </c>
    </row>
    <row r="50" spans="1:2" x14ac:dyDescent="0.3">
      <c r="A50" t="s">
        <v>45</v>
      </c>
    </row>
    <row r="51" spans="1:2" x14ac:dyDescent="0.3">
      <c r="A51" t="s">
        <v>46</v>
      </c>
      <c r="B51">
        <v>27.2</v>
      </c>
    </row>
    <row r="52" spans="1:2" x14ac:dyDescent="0.3">
      <c r="A52" t="s">
        <v>47</v>
      </c>
      <c r="B52" s="1" t="s">
        <v>99</v>
      </c>
    </row>
    <row r="53" spans="1:2" x14ac:dyDescent="0.3">
      <c r="A53" t="s">
        <v>48</v>
      </c>
      <c r="B53">
        <v>42</v>
      </c>
    </row>
    <row r="54" spans="1:2" x14ac:dyDescent="0.3">
      <c r="A54" t="s">
        <v>49</v>
      </c>
      <c r="B54">
        <v>50</v>
      </c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  <c r="B58" s="1" t="s">
        <v>100</v>
      </c>
    </row>
    <row r="59" spans="1:2" x14ac:dyDescent="0.3">
      <c r="A59" t="s">
        <v>54</v>
      </c>
      <c r="B59" s="1" t="s">
        <v>100</v>
      </c>
    </row>
    <row r="60" spans="1:2" x14ac:dyDescent="0.3">
      <c r="A60" t="s">
        <v>55</v>
      </c>
    </row>
    <row r="61" spans="1:2" x14ac:dyDescent="0.3">
      <c r="A61" t="s">
        <v>56</v>
      </c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2" x14ac:dyDescent="0.3">
      <c r="A65" t="s">
        <v>60</v>
      </c>
    </row>
    <row r="66" spans="1:2" x14ac:dyDescent="0.3">
      <c r="A66" t="s">
        <v>61</v>
      </c>
    </row>
    <row r="67" spans="1:2" x14ac:dyDescent="0.3">
      <c r="A67" t="s">
        <v>62</v>
      </c>
    </row>
    <row r="68" spans="1:2" x14ac:dyDescent="0.3">
      <c r="A68" t="s">
        <v>63</v>
      </c>
      <c r="B68" s="1" t="s">
        <v>99</v>
      </c>
    </row>
    <row r="69" spans="1:2" x14ac:dyDescent="0.3">
      <c r="A69" t="s">
        <v>64</v>
      </c>
      <c r="B69">
        <v>895</v>
      </c>
    </row>
    <row r="70" spans="1:2" x14ac:dyDescent="0.3">
      <c r="A70" t="s">
        <v>65</v>
      </c>
    </row>
    <row r="71" spans="1:2" x14ac:dyDescent="0.3">
      <c r="A71" t="s">
        <v>66</v>
      </c>
    </row>
    <row r="72" spans="1:2" x14ac:dyDescent="0.3">
      <c r="A72" t="s">
        <v>67</v>
      </c>
      <c r="B72" s="1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2025-10-08T14:08:47Z</dcterms:modified>
</cp:coreProperties>
</file>