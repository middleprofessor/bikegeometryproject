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2CF5F8A-9E71-744C-8EE6-E49C274AFCFE}" xr6:coauthVersionLast="47" xr6:coauthVersionMax="47" xr10:uidLastSave="{00000000-0000-0000-0000-000000000000}"/>
  <bookViews>
    <workbookView xWindow="25480" yWindow="-1936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E21" i="1"/>
  <c r="F21" i="1"/>
  <c r="C21" i="1"/>
</calcChain>
</file>

<file path=xl/sharedStrings.xml><?xml version="1.0" encoding="utf-8"?>
<sst xmlns="http://schemas.openxmlformats.org/spreadsheetml/2006/main" count="107" uniqueCount="106">
  <si>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</si>
  <si>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</si>
  <si>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</si>
  <si>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</si>
  <si>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</si>
  <si>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</si>
  <si>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</si>
  <si>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</si>
  <si>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</si>
  <si>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</si>
  <si>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</si>
  <si>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</si>
  <si>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</si>
  <si>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</si>
  <si>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</si>
  <si>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</si>
  <si>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</si>
  <si>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</si>
  <si>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</si>
  <si>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</si>
  <si>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</si>
  <si>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</si>
  <si>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</si>
  <si>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</si>
  <si>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</si>
  <si>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</si>
  <si>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</si>
  <si>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</si>
  <si>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</si>
  <si>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</si>
  <si>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</si>
  <si>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</si>
  <si>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</si>
  <si>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</si>
  <si>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</si>
  <si>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</si>
  <si>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</si>
  <si>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</si>
  <si>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</si>
  <si>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</si>
  <si>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</si>
  <si>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</si>
  <si>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</si>
  <si>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</si>
  <si>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</si>
  <si>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</si>
  <si>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</si>
  <si>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</si>
  <si>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</si>
  <si>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</si>
  <si>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</si>
  <si>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</si>
  <si>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</si>
  <si>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</si>
  <si>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</si>
  <si>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</si>
  <si>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</si>
  <si>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</si>
  <si>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</si>
  <si>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</si>
  <si>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</si>
  <si>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</si>
  <si>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</si>
  <si>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</si>
  <si>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</si>
  <si>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</si>
  <si>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</si>
  <si>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</si>
  <si>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</si>
  <si>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</si>
  <si>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</si>
  <si>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yes</t>
  </si>
  <si>
    <t>trail</t>
  </si>
  <si>
    <t>rider_min_spec</t>
  </si>
  <si>
    <t>rider_max_spec</t>
  </si>
  <si>
    <t>S</t>
  </si>
  <si>
    <t>M</t>
  </si>
  <si>
    <t>L</t>
  </si>
  <si>
    <t>XL</t>
  </si>
  <si>
    <t>SEAT TUBE (A1)</t>
  </si>
  <si>
    <t>TOP TUBE (B)</t>
  </si>
  <si>
    <t>REACH (R)</t>
  </si>
  <si>
    <t>STACK (S)</t>
  </si>
  <si>
    <t>SEAT TUBE ANGLE (C)</t>
  </si>
  <si>
    <t>STEERING TUBE ANGLE (D)</t>
  </si>
  <si>
    <t>CHAIN-STAY LENGTH (E)</t>
  </si>
  <si>
    <t>BB TO FORK LENGTH (F)</t>
  </si>
  <si>
    <t>HEAD TUBE (H)</t>
  </si>
  <si>
    <t>HANDLEBAR WIDTH OUT/OUT (M)</t>
  </si>
  <si>
    <t>STEM LENGTH (N)</t>
  </si>
  <si>
    <t>Basso</t>
  </si>
  <si>
    <t>bb_height</t>
  </si>
  <si>
    <t>front_center</t>
  </si>
  <si>
    <t>carbon</t>
  </si>
  <si>
    <t>USD</t>
  </si>
  <si>
    <t>drop bar</t>
  </si>
  <si>
    <t>CRANK LENGTH (O)</t>
  </si>
  <si>
    <t>Tera</t>
  </si>
  <si>
    <t>https://bassobikes.com/en/bikes/gravel-bikes/tera-gravel</t>
  </si>
  <si>
    <t>frame size</t>
  </si>
  <si>
    <t>semi-integrated</t>
  </si>
  <si>
    <t>https://bikeinsights.com/bikes/5fadbc8d1f81da001787dcd5-basso-bikes-tera</t>
  </si>
  <si>
    <t>a8:f35</t>
  </si>
  <si>
    <t>https://cdn.s2api.it/prod/2024/09/Tera_Nightleaf_GRX-610-1x_MX25.webp</t>
  </si>
  <si>
    <t>location</t>
  </si>
  <si>
    <t>San Zenone degli Ezzelini, Province of Treviso, 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</si>
</sst>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000000"/>
      <name val="Futur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  <xf numFmtId="0" fontId="5" fillId="0" borderId="0" xfId="0" applyFont="1"/>
    <xf numFmtId="0" fontId="4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"/>
  <sheetViews>
    <sheetView tabSelected="1" topLeftCell="A62" zoomScaleNormal="100" workbookViewId="0">
      <selection activeCell="A76" sqref="A76:B76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0" x14ac:dyDescent="0.3">
      <c r="A1" s="1" t="s">
        <v>0</v>
      </c>
      <c r="B1" s="1" t="s">
        <v>90</v>
      </c>
    </row>
    <row r="2" spans="1:10" x14ac:dyDescent="0.3">
      <c r="A2" s="1" t="s">
        <v>1</v>
      </c>
      <c r="B2" s="1" t="s">
        <v>97</v>
      </c>
    </row>
    <row r="3" spans="1:10" x14ac:dyDescent="0.3">
      <c r="A3" s="1" t="s">
        <v>2</v>
      </c>
      <c r="B3" s="1">
        <v>2025</v>
      </c>
    </row>
    <row r="4" spans="1:10" x14ac:dyDescent="0.3">
      <c r="A4" s="1" t="s">
        <v>3</v>
      </c>
      <c r="B4" s="2">
        <v>45907</v>
      </c>
    </row>
    <row r="5" spans="1:10" x14ac:dyDescent="0.3">
      <c r="A5" s="1" t="s">
        <v>4</v>
      </c>
      <c r="B5" s="1" t="s">
        <v>98</v>
      </c>
    </row>
    <row r="6" spans="1:10" x14ac:dyDescent="0.3">
      <c r="B6" s="1" t="s">
        <v>103</v>
      </c>
      <c r="C6" s="3"/>
      <c r="D6" s="3"/>
      <c r="E6" s="3"/>
      <c r="F6" s="3"/>
      <c r="G6" s="3"/>
      <c r="H6" s="3"/>
      <c r="I6" s="3"/>
      <c r="J6" s="3"/>
    </row>
    <row r="7" spans="1:10" x14ac:dyDescent="0.3">
      <c r="A7" s="1" t="s">
        <v>5</v>
      </c>
      <c r="B7" s="1" t="s">
        <v>102</v>
      </c>
      <c r="C7" s="3"/>
      <c r="D7" s="3"/>
      <c r="E7" s="3"/>
      <c r="F7" s="3"/>
      <c r="G7" s="3"/>
      <c r="H7" s="3"/>
      <c r="I7" s="3"/>
      <c r="J7" s="3"/>
    </row>
    <row r="8" spans="1:10" x14ac:dyDescent="0.3">
      <c r="A8" s="1" t="s">
        <v>6</v>
      </c>
      <c r="B8" s="1" t="s">
        <v>99</v>
      </c>
      <c r="C8" s="1" t="s">
        <v>75</v>
      </c>
      <c r="D8" s="7" t="s">
        <v>76</v>
      </c>
      <c r="E8" s="6" t="s">
        <v>77</v>
      </c>
      <c r="F8" s="6" t="s">
        <v>78</v>
      </c>
    </row>
    <row r="9" spans="1:10" x14ac:dyDescent="0.3">
      <c r="A9" s="1" t="s">
        <v>7</v>
      </c>
      <c r="B9" s="7" t="s">
        <v>79</v>
      </c>
      <c r="C9" s="7">
        <v>430</v>
      </c>
      <c r="D9" s="7">
        <v>490</v>
      </c>
      <c r="E9" s="7">
        <v>540</v>
      </c>
      <c r="F9" s="7">
        <v>570</v>
      </c>
    </row>
    <row r="10" spans="1:10" x14ac:dyDescent="0.3">
      <c r="A10" s="1" t="s">
        <v>8</v>
      </c>
      <c r="B10" s="7" t="s">
        <v>80</v>
      </c>
      <c r="C10" s="7">
        <v>501</v>
      </c>
      <c r="D10" s="7">
        <v>530</v>
      </c>
      <c r="E10" s="7">
        <v>560</v>
      </c>
      <c r="F10" s="7">
        <v>590</v>
      </c>
    </row>
    <row r="11" spans="1:10" x14ac:dyDescent="0.3">
      <c r="A11" s="1" t="s">
        <v>17</v>
      </c>
      <c r="B11" s="7" t="s">
        <v>81</v>
      </c>
      <c r="C11" s="7">
        <v>340</v>
      </c>
      <c r="D11" s="7">
        <v>359</v>
      </c>
      <c r="E11" s="7">
        <v>384</v>
      </c>
      <c r="F11" s="7">
        <v>408</v>
      </c>
    </row>
    <row r="12" spans="1:10" x14ac:dyDescent="0.3">
      <c r="A12" s="1" t="s">
        <v>16</v>
      </c>
      <c r="B12" s="7" t="s">
        <v>82</v>
      </c>
      <c r="C12" s="7">
        <v>545</v>
      </c>
      <c r="D12" s="7">
        <v>574</v>
      </c>
      <c r="E12" s="7">
        <v>592</v>
      </c>
      <c r="F12" s="7">
        <v>607</v>
      </c>
    </row>
    <row r="13" spans="1:10" x14ac:dyDescent="0.3">
      <c r="A13" s="1" t="s">
        <v>10</v>
      </c>
      <c r="B13" s="7" t="s">
        <v>83</v>
      </c>
      <c r="C13" s="7">
        <v>73.5</v>
      </c>
      <c r="D13" s="7">
        <v>73.5</v>
      </c>
      <c r="E13" s="7">
        <v>73.5</v>
      </c>
      <c r="F13" s="7">
        <v>73.5</v>
      </c>
    </row>
    <row r="14" spans="1:10" x14ac:dyDescent="0.3">
      <c r="A14" s="1" t="s">
        <v>11</v>
      </c>
      <c r="B14" s="7" t="s">
        <v>84</v>
      </c>
      <c r="C14" s="7">
        <v>70</v>
      </c>
      <c r="D14" s="7">
        <v>70</v>
      </c>
      <c r="E14" s="7">
        <v>70</v>
      </c>
      <c r="F14" s="7">
        <v>70</v>
      </c>
    </row>
    <row r="15" spans="1:10" x14ac:dyDescent="0.3">
      <c r="A15" s="1" t="s">
        <v>12</v>
      </c>
      <c r="B15" s="7" t="s">
        <v>85</v>
      </c>
      <c r="C15" s="7">
        <v>425</v>
      </c>
      <c r="D15" s="7">
        <v>425</v>
      </c>
      <c r="E15" s="7">
        <v>425</v>
      </c>
      <c r="F15" s="7">
        <v>425</v>
      </c>
    </row>
    <row r="16" spans="1:10" x14ac:dyDescent="0.3">
      <c r="A16" s="1" t="s">
        <v>92</v>
      </c>
      <c r="B16" s="7" t="s">
        <v>86</v>
      </c>
      <c r="C16" s="7">
        <v>572</v>
      </c>
      <c r="D16" s="7">
        <v>602</v>
      </c>
      <c r="E16" s="7">
        <v>633</v>
      </c>
      <c r="F16" s="7">
        <v>661</v>
      </c>
    </row>
    <row r="17" spans="1:11" x14ac:dyDescent="0.3">
      <c r="A17" s="1" t="s">
        <v>9</v>
      </c>
      <c r="B17" s="7" t="s">
        <v>87</v>
      </c>
      <c r="C17" s="7">
        <v>130</v>
      </c>
      <c r="D17" s="7">
        <v>160</v>
      </c>
      <c r="E17" s="7">
        <v>180</v>
      </c>
      <c r="F17" s="7">
        <v>195</v>
      </c>
    </row>
    <row r="18" spans="1:11" x14ac:dyDescent="0.3">
      <c r="A18" s="1" t="s">
        <v>20</v>
      </c>
      <c r="B18" s="7" t="s">
        <v>88</v>
      </c>
      <c r="C18" s="7">
        <v>420</v>
      </c>
      <c r="D18" s="7">
        <v>440</v>
      </c>
      <c r="E18" s="7">
        <v>460</v>
      </c>
      <c r="F18" s="7">
        <v>480</v>
      </c>
      <c r="G18" s="7"/>
      <c r="H18" s="7"/>
      <c r="I18" s="7"/>
      <c r="J18" s="7"/>
      <c r="K18" s="7"/>
    </row>
    <row r="19" spans="1:11" x14ac:dyDescent="0.3">
      <c r="A19" s="1" t="s">
        <v>21</v>
      </c>
      <c r="B19" s="7" t="s">
        <v>89</v>
      </c>
      <c r="C19" s="7">
        <v>90</v>
      </c>
      <c r="D19" s="7">
        <v>100</v>
      </c>
      <c r="E19" s="7">
        <v>100</v>
      </c>
      <c r="F19" s="7">
        <v>100</v>
      </c>
    </row>
    <row r="20" spans="1:11" x14ac:dyDescent="0.3">
      <c r="A20" s="1" t="s">
        <v>19</v>
      </c>
      <c r="B20" s="1" t="s">
        <v>96</v>
      </c>
      <c r="C20" s="1">
        <v>170</v>
      </c>
      <c r="D20" s="1">
        <v>172.5</v>
      </c>
      <c r="E20" s="1">
        <v>172.5</v>
      </c>
      <c r="F20" s="7">
        <v>175</v>
      </c>
    </row>
    <row r="21" spans="1:11" x14ac:dyDescent="0.3">
      <c r="A21" s="1" t="s">
        <v>14</v>
      </c>
      <c r="C21" s="1">
        <f>SQRT(C15^2 - C23^2) + SQRT(C16^2 - C23^2)</f>
        <v>986.89628370439925</v>
      </c>
      <c r="D21" s="1">
        <f t="shared" ref="D21:F21" si="0">SQRT(D15^2 - D23^2) + SQRT(D16^2 - D23^2)</f>
        <v>1017.1120404882171</v>
      </c>
      <c r="E21" s="1">
        <f t="shared" si="0"/>
        <v>1048.3132944330946</v>
      </c>
      <c r="F21" s="1">
        <f t="shared" si="0"/>
        <v>1076.4787024277848</v>
      </c>
    </row>
    <row r="22" spans="1:11" x14ac:dyDescent="0.3">
      <c r="A22" s="1" t="s">
        <v>91</v>
      </c>
    </row>
    <row r="23" spans="1:11" x14ac:dyDescent="0.3">
      <c r="A23" s="1" t="s">
        <v>13</v>
      </c>
      <c r="C23" s="1">
        <v>70</v>
      </c>
      <c r="D23" s="1">
        <v>70</v>
      </c>
      <c r="E23" s="1">
        <v>70</v>
      </c>
      <c r="F23" s="1">
        <v>70</v>
      </c>
      <c r="G23" s="1" t="s">
        <v>101</v>
      </c>
    </row>
    <row r="24" spans="1:11" x14ac:dyDescent="0.3">
      <c r="A24" s="1" t="s">
        <v>18</v>
      </c>
    </row>
    <row r="25" spans="1:11" x14ac:dyDescent="0.3">
      <c r="A25" s="1" t="s">
        <v>15</v>
      </c>
      <c r="H25" s="8"/>
    </row>
    <row r="26" spans="1:11" x14ac:dyDescent="0.3">
      <c r="A26" s="1" t="s">
        <v>22</v>
      </c>
      <c r="H26" s="8"/>
    </row>
    <row r="27" spans="1:11" x14ac:dyDescent="0.3">
      <c r="A27" s="1" t="s">
        <v>72</v>
      </c>
      <c r="H27" s="8"/>
    </row>
    <row r="28" spans="1:11" x14ac:dyDescent="0.3">
      <c r="A28" s="1" t="s">
        <v>23</v>
      </c>
      <c r="H28" s="8"/>
    </row>
    <row r="29" spans="1:11" x14ac:dyDescent="0.3">
      <c r="A29" s="1" t="s">
        <v>24</v>
      </c>
      <c r="C29" s="4">
        <v>700</v>
      </c>
      <c r="D29" s="4">
        <v>700</v>
      </c>
      <c r="E29" s="4">
        <v>700</v>
      </c>
      <c r="F29" s="4">
        <v>700</v>
      </c>
      <c r="G29" s="4"/>
      <c r="H29" s="8"/>
      <c r="I29" s="4"/>
      <c r="J29" s="4"/>
    </row>
    <row r="30" spans="1:11" x14ac:dyDescent="0.3">
      <c r="A30" s="1" t="s">
        <v>25</v>
      </c>
      <c r="C30" s="4">
        <v>45</v>
      </c>
      <c r="D30" s="4">
        <v>45</v>
      </c>
      <c r="E30" s="4">
        <v>45</v>
      </c>
      <c r="F30" s="4">
        <v>45</v>
      </c>
      <c r="G30" s="4"/>
      <c r="H30" s="8"/>
      <c r="I30" s="4"/>
      <c r="J30" s="4"/>
    </row>
    <row r="31" spans="1:11" x14ac:dyDescent="0.3">
      <c r="A31" s="1" t="s">
        <v>26</v>
      </c>
      <c r="C31" s="1">
        <v>45</v>
      </c>
      <c r="D31" s="1">
        <v>45</v>
      </c>
      <c r="E31" s="1">
        <v>45</v>
      </c>
      <c r="F31" s="1">
        <v>45</v>
      </c>
      <c r="G31" s="4"/>
      <c r="H31" s="8"/>
    </row>
    <row r="32" spans="1:11" x14ac:dyDescent="0.3">
      <c r="A32" s="1" t="s">
        <v>27</v>
      </c>
      <c r="G32" s="4"/>
      <c r="H32" s="8"/>
    </row>
    <row r="33" spans="1:8" x14ac:dyDescent="0.3">
      <c r="A33" s="1" t="s">
        <v>28</v>
      </c>
      <c r="G33" s="4"/>
      <c r="H33" s="8"/>
    </row>
    <row r="34" spans="1:8" x14ac:dyDescent="0.3">
      <c r="A34" s="1" t="s">
        <v>73</v>
      </c>
      <c r="G34" s="4"/>
      <c r="H34" s="8"/>
    </row>
    <row r="35" spans="1:8" x14ac:dyDescent="0.3">
      <c r="A35" s="1" t="s">
        <v>74</v>
      </c>
      <c r="G35" s="4"/>
      <c r="H35" s="8"/>
    </row>
    <row r="36" spans="1:8" x14ac:dyDescent="0.3">
      <c r="C36" s="6"/>
      <c r="D36" s="6"/>
      <c r="E36" s="6"/>
      <c r="F36" s="6"/>
      <c r="G36" s="4"/>
      <c r="H36" s="8"/>
    </row>
    <row r="37" spans="1:8" x14ac:dyDescent="0.3">
      <c r="A37" s="1" t="s">
        <v>29</v>
      </c>
      <c r="B37" s="1" t="s">
        <v>30</v>
      </c>
      <c r="C37" s="7"/>
      <c r="D37" s="7"/>
      <c r="E37" s="7"/>
      <c r="F37" s="6"/>
      <c r="G37" s="4"/>
      <c r="H37" s="8"/>
    </row>
    <row r="38" spans="1:8" x14ac:dyDescent="0.3">
      <c r="A38" s="1" t="s">
        <v>66</v>
      </c>
      <c r="B38" s="1" t="s">
        <v>67</v>
      </c>
      <c r="C38" s="7"/>
      <c r="D38" s="7"/>
      <c r="E38" s="7"/>
      <c r="F38" s="7"/>
      <c r="G38" s="4"/>
      <c r="H38" s="8"/>
    </row>
    <row r="39" spans="1:8" x14ac:dyDescent="0.3">
      <c r="A39" s="1" t="s">
        <v>68</v>
      </c>
      <c r="B39" s="1" t="s">
        <v>95</v>
      </c>
      <c r="G39" s="4"/>
      <c r="H39" s="8"/>
    </row>
    <row r="40" spans="1:8" x14ac:dyDescent="0.3">
      <c r="A40" s="1" t="s">
        <v>69</v>
      </c>
      <c r="B40" s="1" t="s">
        <v>70</v>
      </c>
      <c r="G40" s="4"/>
      <c r="H40" s="8"/>
    </row>
    <row r="41" spans="1:8" x14ac:dyDescent="0.3">
      <c r="A41" s="1" t="s">
        <v>31</v>
      </c>
      <c r="B41" s="1" t="s">
        <v>93</v>
      </c>
      <c r="G41" s="4"/>
      <c r="H41" s="8"/>
    </row>
    <row r="42" spans="1:8" x14ac:dyDescent="0.3">
      <c r="A42" s="1" t="s">
        <v>32</v>
      </c>
      <c r="G42" s="4"/>
      <c r="H42" s="8"/>
    </row>
    <row r="43" spans="1:8" x14ac:dyDescent="0.3">
      <c r="A43" s="1" t="s">
        <v>33</v>
      </c>
      <c r="G43" s="4"/>
      <c r="H43" s="8"/>
    </row>
    <row r="44" spans="1:8" x14ac:dyDescent="0.3">
      <c r="A44" s="1" t="s">
        <v>34</v>
      </c>
      <c r="B44" s="1">
        <v>45</v>
      </c>
      <c r="G44" s="4"/>
      <c r="H44" s="8"/>
    </row>
    <row r="45" spans="1:8" x14ac:dyDescent="0.3">
      <c r="A45" s="1" t="s">
        <v>35</v>
      </c>
      <c r="B45" s="5"/>
      <c r="G45" s="4"/>
      <c r="H45" s="8"/>
    </row>
    <row r="46" spans="1:8" x14ac:dyDescent="0.3">
      <c r="A46" s="1" t="s">
        <v>36</v>
      </c>
      <c r="G46" s="4"/>
      <c r="H46" s="8"/>
    </row>
    <row r="47" spans="1:8" x14ac:dyDescent="0.3">
      <c r="A47" s="1" t="s">
        <v>37</v>
      </c>
      <c r="G47" s="4"/>
      <c r="H47" s="8"/>
    </row>
    <row r="48" spans="1:8" x14ac:dyDescent="0.3">
      <c r="A48" s="1" t="s">
        <v>38</v>
      </c>
      <c r="G48" s="4"/>
      <c r="H48" s="8"/>
    </row>
    <row r="49" spans="1:8" x14ac:dyDescent="0.3">
      <c r="A49" s="1" t="s">
        <v>39</v>
      </c>
      <c r="B49" s="1">
        <v>10</v>
      </c>
      <c r="G49" s="4"/>
      <c r="H49" s="8"/>
    </row>
    <row r="50" spans="1:8" x14ac:dyDescent="0.3">
      <c r="A50" s="1" t="s">
        <v>40</v>
      </c>
      <c r="B50" s="1">
        <v>142</v>
      </c>
      <c r="G50" s="4"/>
      <c r="H50" s="8"/>
    </row>
    <row r="51" spans="1:8" x14ac:dyDescent="0.3">
      <c r="A51" s="1" t="s">
        <v>41</v>
      </c>
      <c r="B51" s="1">
        <v>100</v>
      </c>
      <c r="G51" s="4"/>
      <c r="H51" s="8"/>
    </row>
    <row r="52" spans="1:8" x14ac:dyDescent="0.3">
      <c r="A52" s="1" t="s">
        <v>42</v>
      </c>
      <c r="G52" s="4"/>
      <c r="H52" s="8"/>
    </row>
    <row r="53" spans="1:8" x14ac:dyDescent="0.3">
      <c r="A53" s="1" t="s">
        <v>43</v>
      </c>
      <c r="G53" s="4"/>
      <c r="H53" s="8"/>
    </row>
    <row r="54" spans="1:8" x14ac:dyDescent="0.3">
      <c r="A54" s="1" t="s">
        <v>44</v>
      </c>
      <c r="G54" s="4"/>
      <c r="H54" s="8"/>
    </row>
    <row r="55" spans="1:8" x14ac:dyDescent="0.3">
      <c r="A55" s="1" t="s">
        <v>45</v>
      </c>
      <c r="B55" s="1" t="s">
        <v>71</v>
      </c>
      <c r="G55" s="4"/>
      <c r="H55" s="8"/>
    </row>
    <row r="56" spans="1:8" x14ac:dyDescent="0.3">
      <c r="A56" s="1" t="s">
        <v>46</v>
      </c>
    </row>
    <row r="57" spans="1:8" x14ac:dyDescent="0.3">
      <c r="A57" s="1" t="s">
        <v>47</v>
      </c>
    </row>
    <row r="58" spans="1:8" x14ac:dyDescent="0.3">
      <c r="A58" s="1" t="s">
        <v>48</v>
      </c>
    </row>
    <row r="59" spans="1:8" x14ac:dyDescent="0.3">
      <c r="A59" s="1" t="s">
        <v>49</v>
      </c>
    </row>
    <row r="60" spans="1:8" x14ac:dyDescent="0.3">
      <c r="A60" s="1" t="s">
        <v>50</v>
      </c>
    </row>
    <row r="61" spans="1:8" x14ac:dyDescent="0.3">
      <c r="A61" s="1" t="s">
        <v>51</v>
      </c>
      <c r="B61" s="1" t="s">
        <v>100</v>
      </c>
    </row>
    <row r="62" spans="1:8" x14ac:dyDescent="0.3">
      <c r="A62" s="1" t="s">
        <v>52</v>
      </c>
    </row>
    <row r="63" spans="1:8" x14ac:dyDescent="0.3">
      <c r="A63" s="1" t="s">
        <v>53</v>
      </c>
    </row>
    <row r="64" spans="1:8" x14ac:dyDescent="0.3">
      <c r="A64" s="1" t="s">
        <v>54</v>
      </c>
    </row>
    <row r="65" spans="1:2" x14ac:dyDescent="0.3">
      <c r="A65" s="1" t="s">
        <v>55</v>
      </c>
      <c r="B65" s="1">
        <v>2</v>
      </c>
    </row>
    <row r="66" spans="1:2" x14ac:dyDescent="0.3">
      <c r="A66" s="1" t="s">
        <v>56</v>
      </c>
      <c r="B66" s="1">
        <v>1</v>
      </c>
    </row>
    <row r="67" spans="1:2" x14ac:dyDescent="0.3">
      <c r="A67" s="1" t="s">
        <v>57</v>
      </c>
      <c r="B67" s="1" t="s">
        <v>71</v>
      </c>
    </row>
    <row r="68" spans="1:2" x14ac:dyDescent="0.3">
      <c r="A68" s="1" t="s">
        <v>58</v>
      </c>
    </row>
    <row r="69" spans="1:2" x14ac:dyDescent="0.3">
      <c r="A69" s="1" t="s">
        <v>59</v>
      </c>
    </row>
    <row r="70" spans="1:2" x14ac:dyDescent="0.3">
      <c r="A70" s="1" t="s">
        <v>60</v>
      </c>
    </row>
    <row r="71" spans="1:2" x14ac:dyDescent="0.3">
      <c r="A71" s="1" t="s">
        <v>61</v>
      </c>
    </row>
    <row r="72" spans="1:2" x14ac:dyDescent="0.3">
      <c r="A72" s="1" t="s">
        <v>62</v>
      </c>
      <c r="B72" s="1">
        <v>2225</v>
      </c>
    </row>
    <row r="73" spans="1:2" x14ac:dyDescent="0.3">
      <c r="A73" s="1" t="s">
        <v>63</v>
      </c>
      <c r="B73" s="1">
        <v>3195</v>
      </c>
    </row>
    <row r="74" spans="1:2" x14ac:dyDescent="0.3">
      <c r="A74" s="1" t="s">
        <v>64</v>
      </c>
    </row>
    <row r="75" spans="1:2" x14ac:dyDescent="0.3">
      <c r="A75" s="1" t="s">
        <v>65</v>
      </c>
      <c r="B75" s="1" t="s">
        <v>94</v>
      </c>
    </row>
    <row r="76" spans="1:2" x14ac:dyDescent="0.3">
      <c r="A76" s="1" t="s">
        <v>104</v>
      </c>
      <c r="B76" s="1" t="s">
        <v>105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2025-10-17T11:10:02Z</dcterms:modified>
</cp:coreProperties>
</file>