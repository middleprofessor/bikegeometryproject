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BA698E7-84CF-D841-98F8-51FDCBBD7FC9}" xr6:coauthVersionLast="47" xr6:coauthVersionMax="47" xr10:uidLastSave="{00000000-0000-0000-0000-000000000000}"/>
  <bookViews>
    <workbookView xWindow="9220" yWindow="302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  <c r="D23" i="1"/>
  <c r="E23" i="1"/>
  <c r="F23" i="1"/>
  <c r="G23" i="1"/>
  <c r="C14" i="1"/>
  <c r="C12" i="1"/>
  <c r="C11" i="1"/>
  <c r="C13" i="1"/>
  <c r="C15" i="1"/>
  <c r="C16" i="1"/>
  <c r="C17" i="1"/>
  <c r="C18" i="1"/>
  <c r="C19" i="1"/>
  <c r="C20" i="1"/>
  <c r="C21" i="1"/>
  <c r="C22" i="1"/>
  <c r="C23" i="1"/>
  <c r="C10" i="1"/>
</calcChain>
</file>

<file path=xl/sharedStrings.xml><?xml version="1.0" encoding="utf-8"?>
<sst xmlns="http://schemas.openxmlformats.org/spreadsheetml/2006/main" count="188" uniqueCount="144">
  <si>
    <t>brand</t>
  </si>
  <si>
    <t>Trek</t>
  </si>
  <si>
    <t>model</t>
  </si>
  <si>
    <t>model year</t>
  </si>
  <si>
    <t>2025</t>
  </si>
  <si>
    <t>input date</t>
  </si>
  <si>
    <t>URL</t>
  </si>
  <si>
    <t>data_range</t>
  </si>
  <si>
    <t>frame_size</t>
  </si>
  <si>
    <t>S</t>
  </si>
  <si>
    <t>M</t>
  </si>
  <si>
    <t>ML</t>
  </si>
  <si>
    <t>L</t>
  </si>
  <si>
    <t>XL</t>
  </si>
  <si>
    <t>wheel_size</t>
  </si>
  <si>
    <t>Wheel size</t>
  </si>
  <si>
    <t>seat_tube_length</t>
  </si>
  <si>
    <t>seat_tube_angle</t>
  </si>
  <si>
    <t>head_tube_length</t>
  </si>
  <si>
    <t>head_tube_angle</t>
  </si>
  <si>
    <t>top_tube_effective_length</t>
  </si>
  <si>
    <t>bottom_bracket_drop</t>
  </si>
  <si>
    <t>chainstay_length</t>
  </si>
  <si>
    <t>fork_offset_rake</t>
  </si>
  <si>
    <t>wheelbase</t>
  </si>
  <si>
    <t>standover</t>
  </si>
  <si>
    <t>reach</t>
  </si>
  <si>
    <t>stack</t>
  </si>
  <si>
    <t>axle_crown</t>
  </si>
  <si>
    <t>handlebar_width</t>
  </si>
  <si>
    <t>stem_length</t>
  </si>
  <si>
    <t>crank_length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</si>
  <si>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</si>
  <si>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</si>
  <si>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</si>
  <si>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</si>
  <si>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</si>
  <si>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</si>
  <si>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</si>
  <si>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</si>
  <si>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</si>
  <si>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</si>
  <si>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</si>
  <si>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</si>
  <si>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</si>
  <si>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</si>
  <si>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</si>
  <si>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</si>
  <si>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</si>
  <si>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</si>
  <si>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</si>
  <si>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</si>
  <si>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</si>
  <si>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</si>
  <si>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</si>
  <si>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</si>
  <si>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</si>
  <si>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</si>
  <si>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</si>
  <si>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</si>
  <si>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</si>
  <si>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</si>
  <si>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</si>
  <si>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</si>
  <si>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</si>
  <si>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</si>
  <si>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</si>
  <si>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</si>
  <si>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</si>
  <si>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</si>
  <si>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</si>
  <si>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</si>
  <si>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</si>
  <si>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</si>
  <si>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</si>
  <si>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</si>
  <si>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</si>
  <si>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</si>
  <si>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Frame size letter</t>
  </si>
  <si>
    <t>USD</t>
  </si>
  <si>
    <t>frame_weight</t>
  </si>
  <si>
    <t>location</t>
  </si>
  <si>
    <t>Waterloo, Wisconsin, USA</t>
  </si>
  <si>
    <t>head_tube_d</t>
  </si>
  <si>
    <t>headset_upper</t>
  </si>
  <si>
    <t>headset_lower</t>
  </si>
  <si>
    <t>fork_steerer</t>
  </si>
  <si>
    <t>fork_steerer_d</t>
  </si>
  <si>
    <t>fork_material</t>
  </si>
  <si>
    <t>Procaliber</t>
  </si>
  <si>
    <t>hardtail</t>
  </si>
  <si>
    <t>flat bar</t>
  </si>
  <si>
    <t>suspension</t>
  </si>
  <si>
    <t>https://www.trekbikes.com/us/en_US/bikes/mountain-bikes/cross-country-mountain-bikes/procaliber/c/B312/</t>
  </si>
  <si>
    <t>https://res.cloudinary.com/trekbikes/image/upload/b_rgb:FFFFFF,c_pad,dpr_2.0,f_auto,h_750,q_auto,w_1000/c_pad,h_750,w_1000/Procaliber95-25-47223-B-Primary?pgw=1</t>
  </si>
  <si>
    <t>A — Seat tube</t>
  </si>
  <si>
    <t>B — Seat tube angle</t>
  </si>
  <si>
    <t>Effective seat tube angle</t>
  </si>
  <si>
    <t>C — Head tube length</t>
  </si>
  <si>
    <t>D — Head angle</t>
  </si>
  <si>
    <t>E — Effective top tube</t>
  </si>
  <si>
    <t>F — Bottom bracket height</t>
  </si>
  <si>
    <t>G — Bottom bracket drop</t>
  </si>
  <si>
    <t>H — Chainstay length</t>
  </si>
  <si>
    <t>I — Offset</t>
  </si>
  <si>
    <t>K — Wheelbase</t>
  </si>
  <si>
    <t>L — Standover</t>
  </si>
  <si>
    <t>M — Frame reach</t>
  </si>
  <si>
    <t>N — Frame stack</t>
  </si>
  <si>
    <t>29"</t>
  </si>
  <si>
    <t>71.0°</t>
  </si>
  <si>
    <t>74.3°</t>
  </si>
  <si>
    <t>67.0°</t>
  </si>
  <si>
    <t>71.5°</t>
  </si>
  <si>
    <t>72.0°</t>
  </si>
  <si>
    <t>72.5°</t>
  </si>
  <si>
    <t>73.0°</t>
  </si>
  <si>
    <t>bb_height</t>
  </si>
  <si>
    <t>seat_tube_angle_actual</t>
  </si>
  <si>
    <t>fork_travel</t>
  </si>
  <si>
    <t>fork_sag</t>
  </si>
  <si>
    <t>a8:g34</t>
  </si>
  <si>
    <t>internal</t>
  </si>
  <si>
    <t>Size</t>
  </si>
  <si>
    <t>Rider Height</t>
  </si>
  <si>
    <t>Inseam</t>
  </si>
  <si>
    <t>155 - 165 cm</t>
  </si>
  <si>
    <t>5'1" - 5'5"</t>
  </si>
  <si>
    <t>74 - 78 cm</t>
  </si>
  <si>
    <t>29" - 31"</t>
  </si>
  <si>
    <t>165 - 177 cm</t>
  </si>
  <si>
    <t>5'5" - 5'10"</t>
  </si>
  <si>
    <t>79 - 83 cm</t>
  </si>
  <si>
    <t>31" - 33"</t>
  </si>
  <si>
    <t>173 - 180 cm</t>
  </si>
  <si>
    <t>5'8" - 5'11"</t>
  </si>
  <si>
    <t>81 - 86 cm</t>
  </si>
  <si>
    <t>32" - 34"</t>
  </si>
  <si>
    <t>177 - 188 cm</t>
  </si>
  <si>
    <t>5'10" - 6'2"</t>
  </si>
  <si>
    <t>84 - 89 cm</t>
  </si>
  <si>
    <t>33" - 35"</t>
  </si>
  <si>
    <t>188 - 195 cm</t>
  </si>
  <si>
    <t>6'2" - 6'5"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</si>
</sst>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1"/>
  <sheetViews>
    <sheetView tabSelected="1" topLeftCell="A37" workbookViewId="0">
      <selection activeCell="B60" sqref="B60"/>
    </sheetView>
  </sheetViews>
  <sheetFormatPr baseColWidth="10" defaultRowHeight="20" x14ac:dyDescent="0.3"/>
  <cols>
    <col min="1" max="1" width="19.6640625" customWidth="1"/>
    <col min="2" max="2" width="24.33203125" customWidth="1"/>
  </cols>
  <sheetData>
    <row r="1" spans="1:30" x14ac:dyDescent="0.3">
      <c r="A1" t="s">
        <v>0</v>
      </c>
      <c r="B1" t="s">
        <v>1</v>
      </c>
    </row>
    <row r="2" spans="1:30" x14ac:dyDescent="0.3">
      <c r="A2" t="s">
        <v>2</v>
      </c>
      <c r="B2" s="1" t="s">
        <v>89</v>
      </c>
    </row>
    <row r="3" spans="1:30" x14ac:dyDescent="0.3">
      <c r="A3" t="s">
        <v>3</v>
      </c>
      <c r="B3" t="s">
        <v>4</v>
      </c>
    </row>
    <row r="4" spans="1:30" x14ac:dyDescent="0.3">
      <c r="A4" t="s">
        <v>5</v>
      </c>
      <c r="B4" s="2">
        <v>46003</v>
      </c>
    </row>
    <row r="5" spans="1:30" x14ac:dyDescent="0.3">
      <c r="A5" t="s">
        <v>6</v>
      </c>
      <c r="B5" t="s">
        <v>93</v>
      </c>
    </row>
    <row r="6" spans="1:30" x14ac:dyDescent="0.3">
      <c r="B6" t="s">
        <v>94</v>
      </c>
    </row>
    <row r="7" spans="1:30" x14ac:dyDescent="0.3">
      <c r="A7" t="s">
        <v>7</v>
      </c>
      <c r="B7" s="1" t="s">
        <v>121</v>
      </c>
    </row>
    <row r="8" spans="1:30" x14ac:dyDescent="0.3">
      <c r="A8" t="s">
        <v>8</v>
      </c>
      <c r="B8" s="3" t="s">
        <v>78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O8" s="3" t="s">
        <v>78</v>
      </c>
      <c r="P8" s="3" t="s">
        <v>15</v>
      </c>
      <c r="Q8" s="3" t="s">
        <v>95</v>
      </c>
      <c r="R8" s="3" t="s">
        <v>96</v>
      </c>
      <c r="S8" s="3" t="s">
        <v>97</v>
      </c>
      <c r="T8" s="3" t="s">
        <v>98</v>
      </c>
      <c r="U8" s="3" t="s">
        <v>99</v>
      </c>
      <c r="V8" s="3" t="s">
        <v>100</v>
      </c>
      <c r="W8" s="3" t="s">
        <v>101</v>
      </c>
      <c r="X8" s="3" t="s">
        <v>102</v>
      </c>
      <c r="Y8" s="3" t="s">
        <v>103</v>
      </c>
      <c r="Z8" s="3" t="s">
        <v>104</v>
      </c>
      <c r="AA8" s="3" t="s">
        <v>105</v>
      </c>
      <c r="AB8" s="3" t="s">
        <v>106</v>
      </c>
      <c r="AC8" s="3" t="s">
        <v>107</v>
      </c>
      <c r="AD8" s="3" t="s">
        <v>108</v>
      </c>
    </row>
    <row r="9" spans="1:30" x14ac:dyDescent="0.3">
      <c r="A9" t="s">
        <v>14</v>
      </c>
      <c r="B9" s="3" t="s">
        <v>15</v>
      </c>
      <c r="C9" s="4">
        <v>29</v>
      </c>
      <c r="D9" s="4">
        <v>29</v>
      </c>
      <c r="E9" s="4">
        <v>29</v>
      </c>
      <c r="F9" s="4">
        <v>29</v>
      </c>
      <c r="G9" s="4">
        <v>29</v>
      </c>
      <c r="I9" s="4">
        <v>29</v>
      </c>
      <c r="J9" s="4">
        <v>29</v>
      </c>
      <c r="K9" s="4">
        <v>29</v>
      </c>
      <c r="L9" s="4">
        <v>29</v>
      </c>
      <c r="M9" s="4">
        <v>29</v>
      </c>
      <c r="O9" s="4" t="s">
        <v>9</v>
      </c>
      <c r="P9" s="4" t="s">
        <v>109</v>
      </c>
      <c r="Q9" s="4">
        <v>39</v>
      </c>
      <c r="R9" s="4" t="s">
        <v>110</v>
      </c>
      <c r="S9" s="4" t="s">
        <v>111</v>
      </c>
      <c r="T9" s="4">
        <v>9</v>
      </c>
      <c r="U9" s="4" t="s">
        <v>112</v>
      </c>
      <c r="V9" s="4">
        <v>57.7</v>
      </c>
      <c r="W9" s="4">
        <v>30.9</v>
      </c>
      <c r="X9" s="4">
        <v>6.4</v>
      </c>
      <c r="Y9" s="4">
        <v>43</v>
      </c>
      <c r="Z9" s="4">
        <v>4.3</v>
      </c>
      <c r="AA9" s="4">
        <v>111</v>
      </c>
      <c r="AB9" s="4">
        <v>74.7</v>
      </c>
      <c r="AC9" s="4">
        <v>40.5</v>
      </c>
      <c r="AD9" s="4">
        <v>61.4</v>
      </c>
    </row>
    <row r="10" spans="1:30" x14ac:dyDescent="0.3">
      <c r="A10" t="s">
        <v>16</v>
      </c>
      <c r="B10" s="3" t="s">
        <v>95</v>
      </c>
      <c r="C10" s="4">
        <f>I10*10</f>
        <v>390</v>
      </c>
      <c r="D10" s="4">
        <f t="shared" ref="D10:G10" si="0">J10*10</f>
        <v>420</v>
      </c>
      <c r="E10" s="4">
        <f t="shared" si="0"/>
        <v>440</v>
      </c>
      <c r="F10" s="4">
        <f t="shared" si="0"/>
        <v>460</v>
      </c>
      <c r="G10" s="4">
        <f t="shared" si="0"/>
        <v>510</v>
      </c>
      <c r="I10" s="4">
        <v>39</v>
      </c>
      <c r="J10" s="4">
        <v>42</v>
      </c>
      <c r="K10" s="4">
        <v>44</v>
      </c>
      <c r="L10" s="4">
        <v>46</v>
      </c>
      <c r="M10" s="4">
        <v>51</v>
      </c>
      <c r="O10" s="4" t="s">
        <v>10</v>
      </c>
      <c r="P10" s="4" t="s">
        <v>109</v>
      </c>
      <c r="Q10" s="4">
        <v>42</v>
      </c>
      <c r="R10" s="4" t="s">
        <v>113</v>
      </c>
      <c r="S10" s="4" t="s">
        <v>111</v>
      </c>
      <c r="T10" s="4">
        <v>9</v>
      </c>
      <c r="U10" s="4" t="s">
        <v>112</v>
      </c>
      <c r="V10" s="4">
        <v>59.8</v>
      </c>
      <c r="W10" s="4">
        <v>30.9</v>
      </c>
      <c r="X10" s="4">
        <v>6.4</v>
      </c>
      <c r="Y10" s="4">
        <v>43</v>
      </c>
      <c r="Z10" s="4">
        <v>4.3</v>
      </c>
      <c r="AA10" s="4">
        <v>113.5</v>
      </c>
      <c r="AB10" s="4">
        <v>74.900000000000006</v>
      </c>
      <c r="AC10" s="4">
        <v>43</v>
      </c>
      <c r="AD10" s="4">
        <v>61.4</v>
      </c>
    </row>
    <row r="11" spans="1:30" x14ac:dyDescent="0.3">
      <c r="A11" s="1" t="s">
        <v>118</v>
      </c>
      <c r="B11" s="3" t="s">
        <v>96</v>
      </c>
      <c r="C11" s="4">
        <f>I11</f>
        <v>71</v>
      </c>
      <c r="D11" s="4">
        <f t="shared" ref="D11:G12" si="1">J11</f>
        <v>71.5</v>
      </c>
      <c r="E11" s="4">
        <f t="shared" si="1"/>
        <v>72</v>
      </c>
      <c r="F11" s="4">
        <f t="shared" si="1"/>
        <v>72.5</v>
      </c>
      <c r="G11" s="4">
        <f t="shared" si="1"/>
        <v>73</v>
      </c>
      <c r="I11" s="4">
        <v>71</v>
      </c>
      <c r="J11" s="4">
        <v>71.5</v>
      </c>
      <c r="K11" s="4">
        <v>72</v>
      </c>
      <c r="L11" s="4">
        <v>72.5</v>
      </c>
      <c r="M11" s="4">
        <v>73</v>
      </c>
      <c r="O11" s="4" t="s">
        <v>11</v>
      </c>
      <c r="P11" s="4" t="s">
        <v>109</v>
      </c>
      <c r="Q11" s="4">
        <v>44</v>
      </c>
      <c r="R11" s="4" t="s">
        <v>114</v>
      </c>
      <c r="S11" s="4" t="s">
        <v>111</v>
      </c>
      <c r="T11" s="4">
        <v>9</v>
      </c>
      <c r="U11" s="4" t="s">
        <v>112</v>
      </c>
      <c r="V11" s="4">
        <v>61.3</v>
      </c>
      <c r="W11" s="4">
        <v>30.9</v>
      </c>
      <c r="X11" s="4">
        <v>6.4</v>
      </c>
      <c r="Y11" s="4">
        <v>43.5</v>
      </c>
      <c r="Z11" s="4">
        <v>4.3</v>
      </c>
      <c r="AA11" s="4">
        <v>115.5</v>
      </c>
      <c r="AB11" s="4">
        <v>75.8</v>
      </c>
      <c r="AC11" s="4">
        <v>44.5</v>
      </c>
      <c r="AD11" s="4">
        <v>61.4</v>
      </c>
    </row>
    <row r="12" spans="1:30" x14ac:dyDescent="0.3">
      <c r="A12" t="s">
        <v>17</v>
      </c>
      <c r="B12" s="3" t="s">
        <v>97</v>
      </c>
      <c r="C12" s="4">
        <f>I12</f>
        <v>74.3</v>
      </c>
      <c r="D12" s="4">
        <f t="shared" si="1"/>
        <v>74.3</v>
      </c>
      <c r="E12" s="4">
        <f t="shared" si="1"/>
        <v>74.3</v>
      </c>
      <c r="F12" s="4">
        <f t="shared" si="1"/>
        <v>74.3</v>
      </c>
      <c r="G12" s="4">
        <f t="shared" si="1"/>
        <v>74.3</v>
      </c>
      <c r="I12" s="4">
        <v>74.3</v>
      </c>
      <c r="J12" s="4">
        <v>74.3</v>
      </c>
      <c r="K12" s="4">
        <v>74.3</v>
      </c>
      <c r="L12" s="4">
        <v>74.3</v>
      </c>
      <c r="M12" s="4">
        <v>74.3</v>
      </c>
      <c r="O12" s="4" t="s">
        <v>12</v>
      </c>
      <c r="P12" s="4" t="s">
        <v>109</v>
      </c>
      <c r="Q12" s="4">
        <v>46</v>
      </c>
      <c r="R12" s="4" t="s">
        <v>115</v>
      </c>
      <c r="S12" s="4" t="s">
        <v>111</v>
      </c>
      <c r="T12" s="4">
        <v>9</v>
      </c>
      <c r="U12" s="4" t="s">
        <v>112</v>
      </c>
      <c r="V12" s="4">
        <v>62.8</v>
      </c>
      <c r="W12" s="4">
        <v>30.9</v>
      </c>
      <c r="X12" s="4">
        <v>6.4</v>
      </c>
      <c r="Y12" s="4">
        <v>43.5</v>
      </c>
      <c r="Z12" s="4">
        <v>4.3</v>
      </c>
      <c r="AA12" s="4">
        <v>117.1</v>
      </c>
      <c r="AB12" s="4">
        <v>76.3</v>
      </c>
      <c r="AC12" s="4">
        <v>46</v>
      </c>
      <c r="AD12" s="4">
        <v>61.4</v>
      </c>
    </row>
    <row r="13" spans="1:30" x14ac:dyDescent="0.3">
      <c r="A13" t="s">
        <v>18</v>
      </c>
      <c r="B13" s="3" t="s">
        <v>98</v>
      </c>
      <c r="C13" s="4">
        <f t="shared" ref="C13:C23" si="2">I13*10</f>
        <v>90</v>
      </c>
      <c r="D13" s="4">
        <f t="shared" ref="D13:D23" si="3">J13*10</f>
        <v>90</v>
      </c>
      <c r="E13" s="4">
        <f t="shared" ref="E13:E23" si="4">K13*10</f>
        <v>90</v>
      </c>
      <c r="F13" s="4">
        <f t="shared" ref="F13:F23" si="5">L13*10</f>
        <v>90</v>
      </c>
      <c r="G13" s="4">
        <f t="shared" ref="G13:G23" si="6">M13*10</f>
        <v>120</v>
      </c>
      <c r="I13" s="4">
        <v>9</v>
      </c>
      <c r="J13" s="4">
        <v>9</v>
      </c>
      <c r="K13" s="4">
        <v>9</v>
      </c>
      <c r="L13" s="4">
        <v>9</v>
      </c>
      <c r="M13" s="4">
        <v>12</v>
      </c>
      <c r="O13" s="4" t="s">
        <v>13</v>
      </c>
      <c r="P13" s="4" t="s">
        <v>109</v>
      </c>
      <c r="Q13" s="4">
        <v>51</v>
      </c>
      <c r="R13" s="4" t="s">
        <v>116</v>
      </c>
      <c r="S13" s="4" t="s">
        <v>111</v>
      </c>
      <c r="T13" s="4">
        <v>12</v>
      </c>
      <c r="U13" s="4" t="s">
        <v>112</v>
      </c>
      <c r="V13" s="4">
        <v>67.7</v>
      </c>
      <c r="W13" s="4">
        <v>30.9</v>
      </c>
      <c r="X13" s="4">
        <v>6.4</v>
      </c>
      <c r="Y13" s="4">
        <v>44</v>
      </c>
      <c r="Z13" s="4">
        <v>4.3</v>
      </c>
      <c r="AA13" s="4">
        <v>122.7</v>
      </c>
      <c r="AB13" s="4">
        <v>79.099999999999994</v>
      </c>
      <c r="AC13" s="4">
        <v>50</v>
      </c>
      <c r="AD13" s="4">
        <v>64.2</v>
      </c>
    </row>
    <row r="14" spans="1:30" x14ac:dyDescent="0.3">
      <c r="A14" t="s">
        <v>19</v>
      </c>
      <c r="B14" s="3" t="s">
        <v>99</v>
      </c>
      <c r="C14" s="4">
        <f>I14</f>
        <v>67</v>
      </c>
      <c r="D14" s="4">
        <f t="shared" ref="D14:G14" si="7">J14</f>
        <v>67</v>
      </c>
      <c r="E14" s="4">
        <f t="shared" si="7"/>
        <v>67</v>
      </c>
      <c r="F14" s="4">
        <f t="shared" si="7"/>
        <v>67</v>
      </c>
      <c r="G14" s="4">
        <f t="shared" si="7"/>
        <v>67</v>
      </c>
      <c r="I14" s="4">
        <v>67</v>
      </c>
      <c r="J14" s="4">
        <v>67</v>
      </c>
      <c r="K14" s="4">
        <v>67</v>
      </c>
      <c r="L14" s="4">
        <v>67</v>
      </c>
      <c r="M14" s="4">
        <v>67</v>
      </c>
    </row>
    <row r="15" spans="1:30" x14ac:dyDescent="0.3">
      <c r="A15" t="s">
        <v>20</v>
      </c>
      <c r="B15" s="3" t="s">
        <v>100</v>
      </c>
      <c r="C15" s="4">
        <f t="shared" si="2"/>
        <v>577</v>
      </c>
      <c r="D15" s="4">
        <f t="shared" ref="D15:D23" si="8">J15*10</f>
        <v>598</v>
      </c>
      <c r="E15" s="4">
        <f t="shared" ref="E15:E23" si="9">K15*10</f>
        <v>613</v>
      </c>
      <c r="F15" s="4">
        <f t="shared" ref="F15:F23" si="10">L15*10</f>
        <v>628</v>
      </c>
      <c r="G15" s="4">
        <f t="shared" ref="G15:G23" si="11">M15*10</f>
        <v>677</v>
      </c>
      <c r="I15" s="4">
        <v>57.7</v>
      </c>
      <c r="J15" s="4">
        <v>59.8</v>
      </c>
      <c r="K15" s="4">
        <v>61.3</v>
      </c>
      <c r="L15" s="4">
        <v>62.8</v>
      </c>
      <c r="M15" s="4">
        <v>67.7</v>
      </c>
    </row>
    <row r="16" spans="1:30" x14ac:dyDescent="0.3">
      <c r="A16" s="1" t="s">
        <v>117</v>
      </c>
      <c r="B16" s="3" t="s">
        <v>101</v>
      </c>
      <c r="C16" s="4">
        <f t="shared" si="2"/>
        <v>309</v>
      </c>
      <c r="D16" s="4">
        <f t="shared" si="8"/>
        <v>309</v>
      </c>
      <c r="E16" s="4">
        <f t="shared" si="9"/>
        <v>309</v>
      </c>
      <c r="F16" s="4">
        <f t="shared" si="10"/>
        <v>309</v>
      </c>
      <c r="G16" s="4">
        <f t="shared" si="11"/>
        <v>309</v>
      </c>
      <c r="I16" s="4">
        <v>30.9</v>
      </c>
      <c r="J16" s="4">
        <v>30.9</v>
      </c>
      <c r="K16" s="4">
        <v>30.9</v>
      </c>
      <c r="L16" s="4">
        <v>30.9</v>
      </c>
      <c r="M16" s="4">
        <v>30.9</v>
      </c>
    </row>
    <row r="17" spans="1:13" x14ac:dyDescent="0.3">
      <c r="A17" t="s">
        <v>21</v>
      </c>
      <c r="B17" s="3" t="s">
        <v>102</v>
      </c>
      <c r="C17" s="4">
        <f t="shared" si="2"/>
        <v>64</v>
      </c>
      <c r="D17" s="4">
        <f t="shared" si="8"/>
        <v>64</v>
      </c>
      <c r="E17" s="4">
        <f t="shared" si="9"/>
        <v>64</v>
      </c>
      <c r="F17" s="4">
        <f t="shared" si="10"/>
        <v>64</v>
      </c>
      <c r="G17" s="4">
        <f t="shared" si="11"/>
        <v>64</v>
      </c>
      <c r="I17" s="4">
        <v>6.4</v>
      </c>
      <c r="J17" s="4">
        <v>6.4</v>
      </c>
      <c r="K17" s="4">
        <v>6.4</v>
      </c>
      <c r="L17" s="4">
        <v>6.4</v>
      </c>
      <c r="M17" s="4">
        <v>6.4</v>
      </c>
    </row>
    <row r="18" spans="1:13" x14ac:dyDescent="0.3">
      <c r="A18" t="s">
        <v>22</v>
      </c>
      <c r="B18" s="3" t="s">
        <v>103</v>
      </c>
      <c r="C18" s="4">
        <f t="shared" si="2"/>
        <v>430</v>
      </c>
      <c r="D18" s="4">
        <f t="shared" si="8"/>
        <v>430</v>
      </c>
      <c r="E18" s="4">
        <f t="shared" si="9"/>
        <v>435</v>
      </c>
      <c r="F18" s="4">
        <f t="shared" si="10"/>
        <v>435</v>
      </c>
      <c r="G18" s="4">
        <f t="shared" si="11"/>
        <v>440</v>
      </c>
      <c r="I18" s="4">
        <v>43</v>
      </c>
      <c r="J18" s="4">
        <v>43</v>
      </c>
      <c r="K18" s="4">
        <v>43.5</v>
      </c>
      <c r="L18" s="4">
        <v>43.5</v>
      </c>
      <c r="M18" s="4">
        <v>44</v>
      </c>
    </row>
    <row r="19" spans="1:13" x14ac:dyDescent="0.3">
      <c r="A19" t="s">
        <v>23</v>
      </c>
      <c r="B19" s="3" t="s">
        <v>104</v>
      </c>
      <c r="C19" s="4">
        <f t="shared" si="2"/>
        <v>43</v>
      </c>
      <c r="D19" s="4">
        <f t="shared" si="8"/>
        <v>43</v>
      </c>
      <c r="E19" s="4">
        <f t="shared" si="9"/>
        <v>43</v>
      </c>
      <c r="F19" s="4">
        <f t="shared" si="10"/>
        <v>43</v>
      </c>
      <c r="G19" s="4">
        <f t="shared" si="11"/>
        <v>43</v>
      </c>
      <c r="I19" s="4">
        <v>4.3</v>
      </c>
      <c r="J19" s="4">
        <v>4.3</v>
      </c>
      <c r="K19" s="4">
        <v>4.3</v>
      </c>
      <c r="L19" s="4">
        <v>4.3</v>
      </c>
      <c r="M19" s="4">
        <v>4.3</v>
      </c>
    </row>
    <row r="20" spans="1:13" x14ac:dyDescent="0.3">
      <c r="A20" t="s">
        <v>24</v>
      </c>
      <c r="B20" s="3" t="s">
        <v>105</v>
      </c>
      <c r="C20" s="4">
        <f t="shared" si="2"/>
        <v>1110</v>
      </c>
      <c r="D20" s="4">
        <f t="shared" si="8"/>
        <v>1135</v>
      </c>
      <c r="E20" s="4">
        <f t="shared" si="9"/>
        <v>1155</v>
      </c>
      <c r="F20" s="4">
        <f t="shared" si="10"/>
        <v>1171</v>
      </c>
      <c r="G20" s="4">
        <f t="shared" si="11"/>
        <v>1227</v>
      </c>
      <c r="I20" s="4">
        <v>111</v>
      </c>
      <c r="J20" s="4">
        <v>113.5</v>
      </c>
      <c r="K20" s="4">
        <v>115.5</v>
      </c>
      <c r="L20" s="4">
        <v>117.1</v>
      </c>
      <c r="M20" s="4">
        <v>122.7</v>
      </c>
    </row>
    <row r="21" spans="1:13" x14ac:dyDescent="0.3">
      <c r="A21" t="s">
        <v>25</v>
      </c>
      <c r="B21" s="3" t="s">
        <v>106</v>
      </c>
      <c r="C21" s="4">
        <f t="shared" si="2"/>
        <v>747</v>
      </c>
      <c r="D21" s="4">
        <f t="shared" si="8"/>
        <v>749</v>
      </c>
      <c r="E21" s="4">
        <f t="shared" si="9"/>
        <v>758</v>
      </c>
      <c r="F21" s="4">
        <f t="shared" si="10"/>
        <v>763</v>
      </c>
      <c r="G21" s="4">
        <f t="shared" si="11"/>
        <v>791</v>
      </c>
      <c r="I21" s="4">
        <v>74.7</v>
      </c>
      <c r="J21" s="4">
        <v>74.900000000000006</v>
      </c>
      <c r="K21" s="4">
        <v>75.8</v>
      </c>
      <c r="L21" s="4">
        <v>76.3</v>
      </c>
      <c r="M21" s="4">
        <v>79.099999999999994</v>
      </c>
    </row>
    <row r="22" spans="1:13" x14ac:dyDescent="0.3">
      <c r="A22" t="s">
        <v>26</v>
      </c>
      <c r="B22" s="3" t="s">
        <v>107</v>
      </c>
      <c r="C22" s="4">
        <f t="shared" si="2"/>
        <v>405</v>
      </c>
      <c r="D22" s="4">
        <f t="shared" si="8"/>
        <v>430</v>
      </c>
      <c r="E22" s="4">
        <f t="shared" si="9"/>
        <v>445</v>
      </c>
      <c r="F22" s="4">
        <f t="shared" si="10"/>
        <v>460</v>
      </c>
      <c r="G22" s="4">
        <f t="shared" si="11"/>
        <v>500</v>
      </c>
      <c r="I22" s="4">
        <v>40.5</v>
      </c>
      <c r="J22" s="4">
        <v>43</v>
      </c>
      <c r="K22" s="4">
        <v>44.5</v>
      </c>
      <c r="L22" s="4">
        <v>46</v>
      </c>
      <c r="M22" s="4">
        <v>50</v>
      </c>
    </row>
    <row r="23" spans="1:13" x14ac:dyDescent="0.3">
      <c r="A23" t="s">
        <v>27</v>
      </c>
      <c r="B23" s="3" t="s">
        <v>108</v>
      </c>
      <c r="C23" s="4">
        <f t="shared" si="2"/>
        <v>614</v>
      </c>
      <c r="D23" s="4">
        <f t="shared" si="8"/>
        <v>614</v>
      </c>
      <c r="E23" s="4">
        <f t="shared" si="9"/>
        <v>614</v>
      </c>
      <c r="F23" s="4">
        <f t="shared" si="10"/>
        <v>614</v>
      </c>
      <c r="G23" s="4">
        <f t="shared" si="11"/>
        <v>642</v>
      </c>
      <c r="I23" s="4">
        <v>61.4</v>
      </c>
      <c r="J23" s="4">
        <v>61.4</v>
      </c>
      <c r="K23" s="4">
        <v>61.4</v>
      </c>
      <c r="L23" s="4">
        <v>61.4</v>
      </c>
      <c r="M23" s="4">
        <v>64.2</v>
      </c>
    </row>
    <row r="24" spans="1:13" x14ac:dyDescent="0.3">
      <c r="A24" t="s">
        <v>28</v>
      </c>
      <c r="C24">
        <v>530</v>
      </c>
      <c r="D24">
        <v>530</v>
      </c>
      <c r="E24">
        <v>530</v>
      </c>
      <c r="F24">
        <v>530</v>
      </c>
      <c r="G24">
        <v>530</v>
      </c>
    </row>
    <row r="25" spans="1:13" x14ac:dyDescent="0.3">
      <c r="A25" s="1" t="s">
        <v>119</v>
      </c>
      <c r="C25">
        <v>120</v>
      </c>
      <c r="D25">
        <v>120</v>
      </c>
      <c r="E25">
        <v>120</v>
      </c>
      <c r="F25">
        <v>120</v>
      </c>
      <c r="G25">
        <v>120</v>
      </c>
    </row>
    <row r="26" spans="1:13" x14ac:dyDescent="0.3">
      <c r="A26" s="1" t="s">
        <v>120</v>
      </c>
    </row>
    <row r="27" spans="1:13" x14ac:dyDescent="0.3">
      <c r="A27" t="s">
        <v>29</v>
      </c>
    </row>
    <row r="28" spans="1:13" x14ac:dyDescent="0.3">
      <c r="A28" t="s">
        <v>30</v>
      </c>
    </row>
    <row r="29" spans="1:13" x14ac:dyDescent="0.3">
      <c r="A29" s="1" t="s">
        <v>80</v>
      </c>
      <c r="D29">
        <v>1200</v>
      </c>
    </row>
    <row r="30" spans="1:13" x14ac:dyDescent="0.3">
      <c r="A30" t="s">
        <v>31</v>
      </c>
      <c r="B30" t="s">
        <v>31</v>
      </c>
    </row>
    <row r="31" spans="1:13" x14ac:dyDescent="0.3">
      <c r="A31" t="s">
        <v>32</v>
      </c>
      <c r="B31" t="s">
        <v>32</v>
      </c>
      <c r="C31">
        <v>2.4</v>
      </c>
      <c r="D31">
        <v>2.4</v>
      </c>
      <c r="E31">
        <v>2.4</v>
      </c>
      <c r="F31">
        <v>2.4</v>
      </c>
      <c r="G31">
        <v>2.4</v>
      </c>
    </row>
    <row r="32" spans="1:13" x14ac:dyDescent="0.3">
      <c r="A32" t="s">
        <v>33</v>
      </c>
      <c r="B32" t="s">
        <v>33</v>
      </c>
      <c r="C32">
        <v>2.4</v>
      </c>
      <c r="D32">
        <v>2.4</v>
      </c>
      <c r="E32">
        <v>2.4</v>
      </c>
      <c r="F32">
        <v>2.4</v>
      </c>
      <c r="G32">
        <v>2.4</v>
      </c>
    </row>
    <row r="33" spans="1:7" x14ac:dyDescent="0.3">
      <c r="A33" t="s">
        <v>34</v>
      </c>
      <c r="B33" t="s">
        <v>34</v>
      </c>
      <c r="C33">
        <v>155</v>
      </c>
      <c r="D33">
        <v>165</v>
      </c>
      <c r="E33">
        <v>173</v>
      </c>
      <c r="F33">
        <v>177</v>
      </c>
      <c r="G33">
        <v>188</v>
      </c>
    </row>
    <row r="34" spans="1:7" x14ac:dyDescent="0.3">
      <c r="A34" t="s">
        <v>35</v>
      </c>
      <c r="B34" t="s">
        <v>35</v>
      </c>
      <c r="C34">
        <v>165</v>
      </c>
      <c r="D34">
        <v>177</v>
      </c>
      <c r="E34">
        <v>180</v>
      </c>
      <c r="F34">
        <v>188</v>
      </c>
      <c r="G34">
        <v>915</v>
      </c>
    </row>
    <row r="36" spans="1:7" x14ac:dyDescent="0.3">
      <c r="A36" t="s">
        <v>36</v>
      </c>
      <c r="B36" t="s">
        <v>37</v>
      </c>
      <c r="C36" s="1"/>
      <c r="D36" s="5" t="s">
        <v>123</v>
      </c>
      <c r="E36" s="5" t="s">
        <v>124</v>
      </c>
      <c r="F36" s="5" t="s">
        <v>125</v>
      </c>
    </row>
    <row r="37" spans="1:7" x14ac:dyDescent="0.3">
      <c r="A37" t="s">
        <v>75</v>
      </c>
      <c r="B37" s="1" t="s">
        <v>90</v>
      </c>
      <c r="D37" s="6" t="s">
        <v>9</v>
      </c>
      <c r="E37" s="4" t="s">
        <v>126</v>
      </c>
      <c r="F37" s="4" t="s">
        <v>128</v>
      </c>
    </row>
    <row r="38" spans="1:7" x14ac:dyDescent="0.3">
      <c r="A38" t="s">
        <v>76</v>
      </c>
      <c r="B38" s="1" t="s">
        <v>91</v>
      </c>
      <c r="D38" s="6"/>
      <c r="E38" s="4" t="s">
        <v>127</v>
      </c>
      <c r="F38" s="4" t="s">
        <v>129</v>
      </c>
    </row>
    <row r="39" spans="1:7" x14ac:dyDescent="0.3">
      <c r="A39" t="s">
        <v>77</v>
      </c>
      <c r="B39" s="1" t="s">
        <v>92</v>
      </c>
      <c r="D39" s="6" t="s">
        <v>10</v>
      </c>
      <c r="E39" s="4" t="s">
        <v>130</v>
      </c>
      <c r="F39" s="4" t="s">
        <v>132</v>
      </c>
    </row>
    <row r="40" spans="1:7" x14ac:dyDescent="0.3">
      <c r="A40" t="s">
        <v>38</v>
      </c>
      <c r="B40" t="s">
        <v>39</v>
      </c>
      <c r="D40" s="6"/>
      <c r="E40" s="4" t="s">
        <v>131</v>
      </c>
      <c r="F40" s="4" t="s">
        <v>133</v>
      </c>
    </row>
    <row r="41" spans="1:7" x14ac:dyDescent="0.3">
      <c r="A41" t="s">
        <v>40</v>
      </c>
      <c r="B41" t="s">
        <v>41</v>
      </c>
      <c r="D41" s="6" t="s">
        <v>11</v>
      </c>
      <c r="E41" s="4" t="s">
        <v>134</v>
      </c>
      <c r="F41" s="4" t="s">
        <v>136</v>
      </c>
    </row>
    <row r="42" spans="1:7" x14ac:dyDescent="0.3">
      <c r="A42" t="s">
        <v>42</v>
      </c>
      <c r="D42" s="6"/>
      <c r="E42" s="4" t="s">
        <v>135</v>
      </c>
      <c r="F42" s="4" t="s">
        <v>137</v>
      </c>
    </row>
    <row r="43" spans="1:7" x14ac:dyDescent="0.3">
      <c r="A43" t="s">
        <v>43</v>
      </c>
      <c r="B43">
        <v>2.4</v>
      </c>
      <c r="D43" s="6" t="s">
        <v>12</v>
      </c>
      <c r="E43" s="4" t="s">
        <v>138</v>
      </c>
      <c r="F43" s="4" t="s">
        <v>140</v>
      </c>
    </row>
    <row r="44" spans="1:7" x14ac:dyDescent="0.3">
      <c r="A44" t="s">
        <v>44</v>
      </c>
      <c r="D44" s="6"/>
      <c r="E44" s="4" t="s">
        <v>139</v>
      </c>
      <c r="F44" s="4" t="s">
        <v>141</v>
      </c>
    </row>
    <row r="45" spans="1:7" x14ac:dyDescent="0.3">
      <c r="A45" t="s">
        <v>45</v>
      </c>
      <c r="B45">
        <v>120</v>
      </c>
      <c r="D45" s="6" t="s">
        <v>13</v>
      </c>
      <c r="E45" s="4" t="s">
        <v>142</v>
      </c>
    </row>
    <row r="46" spans="1:7" x14ac:dyDescent="0.3">
      <c r="A46" t="s">
        <v>46</v>
      </c>
      <c r="B46">
        <v>120</v>
      </c>
      <c r="D46" s="6"/>
      <c r="E46" s="4" t="s">
        <v>143</v>
      </c>
    </row>
    <row r="47" spans="1:7" x14ac:dyDescent="0.3">
      <c r="A47" t="s">
        <v>47</v>
      </c>
    </row>
    <row r="48" spans="1:7" x14ac:dyDescent="0.3">
      <c r="A48" t="s">
        <v>48</v>
      </c>
    </row>
    <row r="49" spans="1:2" x14ac:dyDescent="0.3">
      <c r="A49" t="s">
        <v>49</v>
      </c>
      <c r="B49">
        <v>148</v>
      </c>
    </row>
    <row r="50" spans="1:2" x14ac:dyDescent="0.3">
      <c r="A50" t="s">
        <v>50</v>
      </c>
      <c r="B50">
        <v>110</v>
      </c>
    </row>
    <row r="51" spans="1:2" x14ac:dyDescent="0.3">
      <c r="A51" t="s">
        <v>83</v>
      </c>
    </row>
    <row r="52" spans="1:2" x14ac:dyDescent="0.3">
      <c r="A52" t="s">
        <v>84</v>
      </c>
    </row>
    <row r="53" spans="1:2" x14ac:dyDescent="0.3">
      <c r="A53" t="s">
        <v>85</v>
      </c>
    </row>
    <row r="54" spans="1:2" x14ac:dyDescent="0.3">
      <c r="A54" t="s">
        <v>86</v>
      </c>
    </row>
    <row r="55" spans="1:2" x14ac:dyDescent="0.3">
      <c r="A55" t="s">
        <v>87</v>
      </c>
    </row>
    <row r="56" spans="1:2" x14ac:dyDescent="0.3">
      <c r="A56" t="s">
        <v>88</v>
      </c>
    </row>
    <row r="57" spans="1:2" x14ac:dyDescent="0.3">
      <c r="A57" t="s">
        <v>51</v>
      </c>
      <c r="B57" s="1"/>
    </row>
    <row r="58" spans="1:2" x14ac:dyDescent="0.3">
      <c r="A58" t="s">
        <v>52</v>
      </c>
    </row>
    <row r="59" spans="1:2" x14ac:dyDescent="0.3">
      <c r="A59" t="s">
        <v>53</v>
      </c>
      <c r="B59">
        <v>31.6</v>
      </c>
    </row>
    <row r="60" spans="1:2" x14ac:dyDescent="0.3">
      <c r="A60" t="s">
        <v>54</v>
      </c>
    </row>
    <row r="61" spans="1:2" x14ac:dyDescent="0.3">
      <c r="A61" t="s">
        <v>55</v>
      </c>
      <c r="B61">
        <v>38</v>
      </c>
    </row>
    <row r="62" spans="1:2" x14ac:dyDescent="0.3">
      <c r="A62" t="s">
        <v>56</v>
      </c>
    </row>
    <row r="63" spans="1:2" x14ac:dyDescent="0.3">
      <c r="A63" t="s">
        <v>57</v>
      </c>
    </row>
    <row r="64" spans="1:2" x14ac:dyDescent="0.3">
      <c r="A64" t="s">
        <v>58</v>
      </c>
      <c r="B64">
        <v>180</v>
      </c>
    </row>
    <row r="65" spans="1:2" x14ac:dyDescent="0.3">
      <c r="A65" t="s">
        <v>59</v>
      </c>
    </row>
    <row r="66" spans="1:2" x14ac:dyDescent="0.3">
      <c r="A66" t="s">
        <v>60</v>
      </c>
      <c r="B66" s="1" t="s">
        <v>122</v>
      </c>
    </row>
    <row r="67" spans="1:2" x14ac:dyDescent="0.3">
      <c r="A67" t="s">
        <v>61</v>
      </c>
      <c r="B67" s="1" t="s">
        <v>122</v>
      </c>
    </row>
    <row r="68" spans="1:2" x14ac:dyDescent="0.3">
      <c r="A68" t="s">
        <v>62</v>
      </c>
    </row>
    <row r="69" spans="1:2" x14ac:dyDescent="0.3">
      <c r="A69" t="s">
        <v>63</v>
      </c>
    </row>
    <row r="70" spans="1:2" x14ac:dyDescent="0.3">
      <c r="A70" t="s">
        <v>64</v>
      </c>
    </row>
    <row r="71" spans="1:2" x14ac:dyDescent="0.3">
      <c r="A71" t="s">
        <v>65</v>
      </c>
    </row>
    <row r="72" spans="1:2" x14ac:dyDescent="0.3">
      <c r="A72" t="s">
        <v>66</v>
      </c>
    </row>
    <row r="73" spans="1:2" x14ac:dyDescent="0.3">
      <c r="A73" t="s">
        <v>67</v>
      </c>
    </row>
    <row r="74" spans="1:2" x14ac:dyDescent="0.3">
      <c r="A74" t="s">
        <v>68</v>
      </c>
      <c r="B74" s="1"/>
    </row>
    <row r="75" spans="1:2" x14ac:dyDescent="0.3">
      <c r="A75" t="s">
        <v>69</v>
      </c>
    </row>
    <row r="76" spans="1:2" x14ac:dyDescent="0.3">
      <c r="A76" t="s">
        <v>70</v>
      </c>
    </row>
    <row r="77" spans="1:2" x14ac:dyDescent="0.3">
      <c r="A77" t="s">
        <v>71</v>
      </c>
      <c r="B77">
        <v>2199</v>
      </c>
    </row>
    <row r="78" spans="1:2" x14ac:dyDescent="0.3">
      <c r="A78" t="s">
        <v>72</v>
      </c>
      <c r="B78">
        <v>2699</v>
      </c>
    </row>
    <row r="79" spans="1:2" x14ac:dyDescent="0.3">
      <c r="A79" t="s">
        <v>73</v>
      </c>
    </row>
    <row r="80" spans="1:2" x14ac:dyDescent="0.3">
      <c r="A80" t="s">
        <v>74</v>
      </c>
      <c r="B80" s="1" t="s">
        <v>79</v>
      </c>
    </row>
    <row r="81" spans="1:2" x14ac:dyDescent="0.3">
      <c r="A81" t="s">
        <v>81</v>
      </c>
      <c r="B81" t="s">
        <v>82</v>
      </c>
    </row>
  </sheetData>
  <mergeCells count="5">
    <mergeCell ref="D37:D38"/>
    <mergeCell ref="D39:D40"/>
    <mergeCell ref="D41:D42"/>
    <mergeCell ref="D43:D44"/>
    <mergeCell ref="D45:D46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2025-07-26T16:23:52Z</dcterms:created>
  <dcterms:modified xsi:type="dcterms:W3CDTF">2025-12-13T00:33:50Z</dcterms:modified>
</cp:coreProperties>
</file>