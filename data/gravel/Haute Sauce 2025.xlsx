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CDD2826-AA6E-D540-9984-D8E5D20D07BF}" xr6:coauthVersionLast="47" xr6:coauthVersionMax="47" xr10:uidLastSave="{00000000-0000-0000-0000-000000000000}"/>
  <bookViews>
    <workbookView xWindow="10280" yWindow="7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H30" i="1"/>
  <c r="I30" i="1"/>
  <c r="J30" i="1"/>
  <c r="K30" i="1"/>
  <c r="D25" i="1"/>
  <c r="E25" i="1"/>
  <c r="F25" i="1"/>
  <c r="G25" i="1"/>
  <c r="H25" i="1"/>
  <c r="I25" i="1"/>
  <c r="J25" i="1"/>
  <c r="K25" i="1"/>
  <c r="C25" i="1"/>
  <c r="C30" i="1" s="1"/>
  <c r="E24" i="1"/>
  <c r="F24" i="1"/>
  <c r="G24" i="1"/>
  <c r="H24" i="1"/>
  <c r="I24" i="1"/>
  <c r="J24" i="1"/>
  <c r="K24" i="1"/>
  <c r="D24" i="1"/>
  <c r="C24" i="1"/>
  <c r="D20" i="1"/>
  <c r="E20" i="1"/>
  <c r="F20" i="1"/>
  <c r="G20" i="1"/>
  <c r="H20" i="1"/>
  <c r="I20" i="1"/>
  <c r="J20" i="1"/>
  <c r="K20" i="1"/>
  <c r="C20" i="1"/>
</calcChain>
</file>

<file path=xl/sharedStrings.xml><?xml version="1.0" encoding="utf-8"?>
<sst xmlns="http://schemas.openxmlformats.org/spreadsheetml/2006/main" count="172" uniqueCount="151">
  <si>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</si>
  <si>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</si>
  <si>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</si>
  <si>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</si>
  <si>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</si>
  <si>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</si>
  <si>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</si>
  <si>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</si>
  <si>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</si>
  <si>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</si>
  <si>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</si>
  <si>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</si>
  <si>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</si>
  <si>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</si>
  <si>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</si>
  <si>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</si>
  <si>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</si>
  <si>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</si>
  <si>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</si>
  <si>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</si>
  <si>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</si>
  <si>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</si>
  <si>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</si>
  <si>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</si>
  <si>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</si>
  <si>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</si>
  <si>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</si>
  <si>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</si>
  <si>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</si>
  <si>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</si>
  <si>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</si>
  <si>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</si>
  <si>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</si>
  <si>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</si>
  <si>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</si>
  <si>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</si>
  <si>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</si>
  <si>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</si>
  <si>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</si>
  <si>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</si>
  <si>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</si>
  <si>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</si>
  <si>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</si>
  <si>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</si>
  <si>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</si>
  <si>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</si>
  <si>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</si>
  <si>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</si>
  <si>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</si>
  <si>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</si>
  <si>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</si>
  <si>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</si>
  <si>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</si>
  <si>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</si>
  <si>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</si>
  <si>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</si>
  <si>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</si>
  <si>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</si>
  <si>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</si>
  <si>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</si>
  <si>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</si>
  <si>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</si>
  <si>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</si>
  <si>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</si>
  <si>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</si>
  <si>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</si>
  <si>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</si>
  <si>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</si>
  <si>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</si>
  <si>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</si>
  <si>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</si>
  <si>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</si>
  <si>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</si>
  <si>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trail</t>
  </si>
  <si>
    <t>rider_min_spec</t>
  </si>
  <si>
    <t>rider_max_spec</t>
  </si>
  <si>
    <t>threaded</t>
  </si>
  <si>
    <t>Size 0</t>
  </si>
  <si>
    <t>Size 0.5</t>
  </si>
  <si>
    <t>Size 1</t>
  </si>
  <si>
    <t>Size 2</t>
  </si>
  <si>
    <t>Size 3</t>
  </si>
  <si>
    <t>Size 4</t>
  </si>
  <si>
    <t>Size 5</t>
  </si>
  <si>
    <t>Size 6</t>
  </si>
  <si>
    <t>Size 7</t>
  </si>
  <si>
    <t>Xtra Small (650b)</t>
  </si>
  <si>
    <t>Small (650b)</t>
  </si>
  <si>
    <t>Small</t>
  </si>
  <si>
    <t>Schmedium</t>
  </si>
  <si>
    <t>Medium</t>
  </si>
  <si>
    <t>Marge</t>
  </si>
  <si>
    <t>Large</t>
  </si>
  <si>
    <t>Xtra Large</t>
  </si>
  <si>
    <t>Ultra Large</t>
  </si>
  <si>
    <t>Top tube length (effective)</t>
  </si>
  <si>
    <t>Seat tube length (c-t)</t>
  </si>
  <si>
    <t>Head angle</t>
  </si>
  <si>
    <t>Seat angle</t>
  </si>
  <si>
    <t>Head tube length</t>
  </si>
  <si>
    <t>Reach</t>
  </si>
  <si>
    <t>Stack</t>
  </si>
  <si>
    <t>Sugg. Crank Length</t>
  </si>
  <si>
    <t>BB drop</t>
  </si>
  <si>
    <t>BB height</t>
  </si>
  <si>
    <t>Chainstay Length Range</t>
  </si>
  <si>
    <t>416-435</t>
  </si>
  <si>
    <t>426-445</t>
  </si>
  <si>
    <t>Fork length (axle-crown)</t>
  </si>
  <si>
    <t>Fork offset (rake)</t>
  </si>
  <si>
    <t>L</t>
  </si>
  <si>
    <t>Trail</t>
  </si>
  <si>
    <t>M</t>
  </si>
  <si>
    <t>Wheelbase Range</t>
  </si>
  <si>
    <t>989-1008</t>
  </si>
  <si>
    <t>1003-1022</t>
  </si>
  <si>
    <t>1013-1032</t>
  </si>
  <si>
    <t>1029-1048</t>
  </si>
  <si>
    <t>1045-1064</t>
  </si>
  <si>
    <t>1061-1080</t>
  </si>
  <si>
    <t>1076-1095</t>
  </si>
  <si>
    <t>1097-1116</t>
  </si>
  <si>
    <t>1105-1124</t>
  </si>
  <si>
    <t>Tire Size</t>
  </si>
  <si>
    <t>650x47</t>
  </si>
  <si>
    <t>650x50</t>
  </si>
  <si>
    <t>700x50</t>
  </si>
  <si>
    <t>Ritchey WCS Tapered Adv Fork</t>
  </si>
  <si>
    <t>Uses No.6 Composites Adventure Fork OR ENVE Adventure Fork</t>
  </si>
  <si>
    <t>Frame size</t>
  </si>
  <si>
    <t>Standover (BB→80mm)</t>
  </si>
  <si>
    <t>bb_height</t>
  </si>
  <si>
    <t>tire_size</t>
  </si>
  <si>
    <t>titanium</t>
  </si>
  <si>
    <t>https://haute.bike/pages/get-lost-in-the-sauce</t>
  </si>
  <si>
    <t>Haute</t>
  </si>
  <si>
    <t>Sauce</t>
  </si>
  <si>
    <t>internal</t>
  </si>
  <si>
    <t>both</t>
  </si>
  <si>
    <t>XS</t>
  </si>
  <si>
    <t>S</t>
  </si>
  <si>
    <t>M/L</t>
  </si>
  <si>
    <t>S/M</t>
  </si>
  <si>
    <t>XL</t>
  </si>
  <si>
    <t>XXL</t>
  </si>
  <si>
    <t>XS/S</t>
  </si>
  <si>
    <t>a8:k36</t>
  </si>
  <si>
    <t>https://haute.bike/cdn/shop/files/SIDEmade-bike-show-2023-haute-swood_10-2000x1334.jpg?v=1694551759&amp;width=1070</t>
  </si>
  <si>
    <t>location</t>
  </si>
  <si>
    <t>Richmond, Virginia, USA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</si>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</sst>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"/>
  <sheetViews>
    <sheetView tabSelected="1" topLeftCell="A62" workbookViewId="0">
      <selection activeCell="B76" sqref="B7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135</v>
      </c>
    </row>
    <row r="2" spans="1:11" x14ac:dyDescent="0.3">
      <c r="A2" s="1" t="s">
        <v>1</v>
      </c>
      <c r="B2" s="1" t="s">
        <v>136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45901</v>
      </c>
    </row>
    <row r="5" spans="1:11" x14ac:dyDescent="0.3">
      <c r="A5" s="1" t="s">
        <v>4</v>
      </c>
      <c r="B5" s="1" t="s">
        <v>134</v>
      </c>
    </row>
    <row r="6" spans="1:11" x14ac:dyDescent="0.3">
      <c r="B6" s="1" t="s">
        <v>147</v>
      </c>
      <c r="C6" s="3" t="s">
        <v>77</v>
      </c>
      <c r="D6" s="3" t="s">
        <v>78</v>
      </c>
      <c r="E6" s="3" t="s">
        <v>79</v>
      </c>
      <c r="F6" s="3" t="s">
        <v>80</v>
      </c>
      <c r="G6" s="3" t="s">
        <v>81</v>
      </c>
      <c r="H6" s="3" t="s">
        <v>82</v>
      </c>
      <c r="I6" s="3" t="s">
        <v>83</v>
      </c>
      <c r="J6" s="3" t="s">
        <v>84</v>
      </c>
      <c r="K6" s="3" t="s">
        <v>85</v>
      </c>
    </row>
    <row r="7" spans="1:11" x14ac:dyDescent="0.3">
      <c r="A7" s="1" t="s">
        <v>5</v>
      </c>
      <c r="B7" s="1" t="s">
        <v>146</v>
      </c>
      <c r="C7" s="3" t="s">
        <v>86</v>
      </c>
      <c r="D7" s="3" t="s">
        <v>87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3" t="s">
        <v>93</v>
      </c>
      <c r="K7" s="3" t="s">
        <v>94</v>
      </c>
    </row>
    <row r="8" spans="1:11" x14ac:dyDescent="0.3">
      <c r="A8" s="1" t="s">
        <v>6</v>
      </c>
      <c r="B8" s="5" t="s">
        <v>129</v>
      </c>
      <c r="C8" s="1" t="s">
        <v>139</v>
      </c>
      <c r="D8" s="1" t="s">
        <v>145</v>
      </c>
      <c r="E8" s="1" t="s">
        <v>140</v>
      </c>
      <c r="F8" s="1" t="s">
        <v>142</v>
      </c>
      <c r="G8" s="1" t="s">
        <v>112</v>
      </c>
      <c r="H8" s="1" t="s">
        <v>141</v>
      </c>
      <c r="I8" s="1" t="s">
        <v>110</v>
      </c>
      <c r="J8" s="1" t="s">
        <v>143</v>
      </c>
      <c r="K8" s="1" t="s">
        <v>144</v>
      </c>
    </row>
    <row r="9" spans="1:11" x14ac:dyDescent="0.3">
      <c r="A9" s="1" t="s">
        <v>8</v>
      </c>
      <c r="B9" s="1" t="s">
        <v>95</v>
      </c>
      <c r="C9" s="1">
        <v>500</v>
      </c>
      <c r="D9" s="1">
        <v>518</v>
      </c>
      <c r="E9" s="1">
        <v>516</v>
      </c>
      <c r="F9" s="1">
        <v>537</v>
      </c>
      <c r="G9" s="1">
        <v>556</v>
      </c>
      <c r="H9" s="1">
        <v>571</v>
      </c>
      <c r="I9" s="1">
        <v>586</v>
      </c>
      <c r="J9" s="1">
        <v>605</v>
      </c>
      <c r="K9" s="1">
        <v>627</v>
      </c>
    </row>
    <row r="10" spans="1:11" x14ac:dyDescent="0.3">
      <c r="A10" s="1" t="s">
        <v>7</v>
      </c>
      <c r="B10" s="1" t="s">
        <v>96</v>
      </c>
      <c r="C10" s="1">
        <v>385</v>
      </c>
      <c r="D10" s="1">
        <v>400</v>
      </c>
      <c r="E10" s="1">
        <v>400</v>
      </c>
      <c r="F10" s="1">
        <v>425</v>
      </c>
      <c r="G10" s="1">
        <v>450</v>
      </c>
      <c r="H10" s="1">
        <v>475</v>
      </c>
      <c r="I10" s="1">
        <v>500</v>
      </c>
      <c r="J10" s="1">
        <v>525</v>
      </c>
      <c r="K10" s="1">
        <v>550</v>
      </c>
    </row>
    <row r="11" spans="1:11" x14ac:dyDescent="0.3">
      <c r="A11" s="1" t="s">
        <v>11</v>
      </c>
      <c r="B11" s="1" t="s">
        <v>97</v>
      </c>
      <c r="C11" s="1">
        <v>69</v>
      </c>
      <c r="D11" s="1">
        <v>69</v>
      </c>
      <c r="E11" s="1">
        <v>69</v>
      </c>
      <c r="F11" s="1">
        <v>69</v>
      </c>
      <c r="G11" s="1">
        <v>69</v>
      </c>
      <c r="H11" s="1">
        <v>69</v>
      </c>
      <c r="I11" s="1">
        <v>69</v>
      </c>
      <c r="J11" s="1">
        <v>69</v>
      </c>
      <c r="K11" s="1">
        <v>69.5</v>
      </c>
    </row>
    <row r="12" spans="1:11" x14ac:dyDescent="0.3">
      <c r="A12" s="1" t="s">
        <v>10</v>
      </c>
      <c r="B12" s="1" t="s">
        <v>98</v>
      </c>
      <c r="C12" s="1">
        <v>74.5</v>
      </c>
      <c r="D12" s="1">
        <v>74</v>
      </c>
      <c r="E12" s="1">
        <v>74</v>
      </c>
      <c r="F12" s="1">
        <v>73.5</v>
      </c>
      <c r="G12" s="1">
        <v>73</v>
      </c>
      <c r="H12" s="1">
        <v>73</v>
      </c>
      <c r="I12" s="1">
        <v>73</v>
      </c>
      <c r="J12" s="1">
        <v>73</v>
      </c>
      <c r="K12" s="1">
        <v>72.5</v>
      </c>
    </row>
    <row r="13" spans="1:11" x14ac:dyDescent="0.3">
      <c r="A13" s="1" t="s">
        <v>9</v>
      </c>
      <c r="B13" s="1" t="s">
        <v>99</v>
      </c>
      <c r="C13" s="1">
        <v>90</v>
      </c>
      <c r="D13" s="1">
        <v>110</v>
      </c>
      <c r="E13" s="1">
        <v>110</v>
      </c>
      <c r="F13" s="1">
        <v>130</v>
      </c>
      <c r="G13" s="1">
        <v>143</v>
      </c>
      <c r="H13" s="1">
        <v>160</v>
      </c>
      <c r="I13" s="1">
        <v>176</v>
      </c>
      <c r="J13" s="1">
        <v>190</v>
      </c>
      <c r="K13" s="1">
        <v>210</v>
      </c>
    </row>
    <row r="14" spans="1:11" x14ac:dyDescent="0.3">
      <c r="A14" s="1" t="s">
        <v>17</v>
      </c>
      <c r="B14" s="1" t="s">
        <v>100</v>
      </c>
      <c r="C14" s="1">
        <v>358</v>
      </c>
      <c r="D14" s="1">
        <v>365</v>
      </c>
      <c r="E14" s="1">
        <v>360</v>
      </c>
      <c r="F14" s="1">
        <v>370</v>
      </c>
      <c r="G14" s="1">
        <v>380</v>
      </c>
      <c r="H14" s="1">
        <v>390</v>
      </c>
      <c r="I14" s="1">
        <v>400</v>
      </c>
      <c r="J14" s="1">
        <v>410</v>
      </c>
      <c r="K14" s="1">
        <v>415</v>
      </c>
    </row>
    <row r="15" spans="1:11" x14ac:dyDescent="0.3">
      <c r="A15" s="1" t="s">
        <v>16</v>
      </c>
      <c r="B15" s="1" t="s">
        <v>101</v>
      </c>
      <c r="C15" s="1">
        <v>505</v>
      </c>
      <c r="D15" s="1">
        <v>524</v>
      </c>
      <c r="E15" s="1">
        <v>540</v>
      </c>
      <c r="F15" s="1">
        <v>555</v>
      </c>
      <c r="G15" s="1">
        <v>570</v>
      </c>
      <c r="H15" s="1">
        <v>585</v>
      </c>
      <c r="I15" s="1">
        <v>600</v>
      </c>
      <c r="J15" s="1">
        <v>627</v>
      </c>
      <c r="K15" s="1">
        <v>650</v>
      </c>
    </row>
    <row r="16" spans="1:11" x14ac:dyDescent="0.3">
      <c r="A16" s="1" t="s">
        <v>15</v>
      </c>
      <c r="B16" s="1" t="s">
        <v>130</v>
      </c>
      <c r="C16" s="1">
        <v>694</v>
      </c>
      <c r="D16" s="1">
        <v>709</v>
      </c>
      <c r="E16" s="1">
        <v>700</v>
      </c>
      <c r="F16" s="1">
        <v>719</v>
      </c>
      <c r="G16" s="1">
        <v>740</v>
      </c>
      <c r="H16" s="1">
        <v>760</v>
      </c>
      <c r="I16" s="1">
        <v>782</v>
      </c>
      <c r="J16" s="1">
        <v>824</v>
      </c>
      <c r="K16" s="1">
        <v>847</v>
      </c>
    </row>
    <row r="17" spans="1:20" x14ac:dyDescent="0.3">
      <c r="A17" s="1" t="s">
        <v>19</v>
      </c>
      <c r="B17" s="1" t="s">
        <v>102</v>
      </c>
      <c r="C17" s="1">
        <v>160</v>
      </c>
      <c r="D17" s="1">
        <v>160</v>
      </c>
      <c r="E17" s="1">
        <v>170</v>
      </c>
      <c r="F17" s="1">
        <v>170</v>
      </c>
      <c r="G17" s="1">
        <v>170</v>
      </c>
      <c r="H17" s="1">
        <v>170</v>
      </c>
      <c r="I17" s="1">
        <v>172.5</v>
      </c>
      <c r="J17" s="1">
        <v>175</v>
      </c>
      <c r="K17" s="1">
        <v>175</v>
      </c>
    </row>
    <row r="18" spans="1:20" x14ac:dyDescent="0.3">
      <c r="A18" s="1" t="s">
        <v>13</v>
      </c>
      <c r="B18" s="1" t="s">
        <v>103</v>
      </c>
      <c r="C18" s="1">
        <v>60</v>
      </c>
      <c r="D18" s="1">
        <v>60</v>
      </c>
      <c r="E18" s="1">
        <v>72</v>
      </c>
      <c r="F18" s="1">
        <v>72</v>
      </c>
      <c r="G18" s="1">
        <v>72</v>
      </c>
      <c r="H18" s="1">
        <v>72</v>
      </c>
      <c r="I18" s="1">
        <v>72</v>
      </c>
      <c r="J18" s="1">
        <v>72</v>
      </c>
      <c r="K18" s="1">
        <v>72</v>
      </c>
    </row>
    <row r="19" spans="1:20" x14ac:dyDescent="0.3">
      <c r="A19" s="1" t="s">
        <v>131</v>
      </c>
      <c r="B19" s="1" t="s">
        <v>104</v>
      </c>
      <c r="C19" s="1">
        <v>284</v>
      </c>
      <c r="D19" s="1">
        <v>284</v>
      </c>
      <c r="E19" s="1">
        <v>288</v>
      </c>
      <c r="F19" s="1">
        <v>288</v>
      </c>
      <c r="G19" s="1">
        <v>288</v>
      </c>
      <c r="H19" s="1">
        <v>288</v>
      </c>
      <c r="I19" s="1">
        <v>288</v>
      </c>
      <c r="J19" s="1">
        <v>288</v>
      </c>
      <c r="K19" s="1">
        <v>288</v>
      </c>
    </row>
    <row r="20" spans="1:20" x14ac:dyDescent="0.3">
      <c r="A20" s="1" t="s">
        <v>12</v>
      </c>
      <c r="B20" s="1" t="s">
        <v>105</v>
      </c>
      <c r="C20" s="1">
        <f>VALUE(LEFT(L20,3))</f>
        <v>416</v>
      </c>
      <c r="D20" s="1">
        <f t="shared" ref="D20:K20" si="0">VALUE(LEFT(M20,3))</f>
        <v>416</v>
      </c>
      <c r="E20" s="1">
        <f t="shared" si="0"/>
        <v>426</v>
      </c>
      <c r="F20" s="1">
        <f t="shared" si="0"/>
        <v>426</v>
      </c>
      <c r="G20" s="1">
        <f t="shared" si="0"/>
        <v>426</v>
      </c>
      <c r="H20" s="1">
        <f t="shared" si="0"/>
        <v>426</v>
      </c>
      <c r="I20" s="1">
        <f t="shared" si="0"/>
        <v>426</v>
      </c>
      <c r="J20" s="1">
        <f t="shared" si="0"/>
        <v>426</v>
      </c>
      <c r="K20" s="1">
        <f t="shared" si="0"/>
        <v>426</v>
      </c>
      <c r="L20" s="1" t="s">
        <v>106</v>
      </c>
      <c r="M20" s="1" t="s">
        <v>106</v>
      </c>
      <c r="N20" s="1" t="s">
        <v>107</v>
      </c>
      <c r="O20" s="1" t="s">
        <v>107</v>
      </c>
      <c r="P20" s="1" t="s">
        <v>107</v>
      </c>
      <c r="Q20" s="1" t="s">
        <v>107</v>
      </c>
      <c r="R20" s="1" t="s">
        <v>107</v>
      </c>
      <c r="S20" s="1" t="s">
        <v>107</v>
      </c>
      <c r="T20" s="1" t="s">
        <v>107</v>
      </c>
    </row>
    <row r="21" spans="1:20" x14ac:dyDescent="0.3">
      <c r="A21" s="1" t="s">
        <v>22</v>
      </c>
      <c r="B21" s="1" t="s">
        <v>108</v>
      </c>
      <c r="C21" s="1">
        <v>395</v>
      </c>
      <c r="D21" s="1">
        <v>395</v>
      </c>
      <c r="E21" s="1">
        <v>398</v>
      </c>
      <c r="F21" s="1">
        <v>398</v>
      </c>
      <c r="G21" s="1">
        <v>398</v>
      </c>
      <c r="H21" s="1">
        <v>398</v>
      </c>
      <c r="I21" s="1">
        <v>398</v>
      </c>
      <c r="J21" s="1">
        <v>415</v>
      </c>
      <c r="K21" s="1">
        <v>415</v>
      </c>
    </row>
    <row r="22" spans="1:20" x14ac:dyDescent="0.3">
      <c r="A22" s="1" t="s">
        <v>18</v>
      </c>
      <c r="B22" s="1" t="s">
        <v>109</v>
      </c>
      <c r="C22" s="1">
        <v>45</v>
      </c>
      <c r="D22" s="1">
        <v>45</v>
      </c>
      <c r="E22" s="1">
        <v>50</v>
      </c>
      <c r="F22" s="1">
        <v>50</v>
      </c>
      <c r="G22" s="1">
        <v>50</v>
      </c>
      <c r="H22" s="1">
        <v>50</v>
      </c>
      <c r="I22" s="1">
        <v>50</v>
      </c>
      <c r="J22" s="1">
        <v>50</v>
      </c>
      <c r="K22" s="1">
        <v>50</v>
      </c>
    </row>
    <row r="23" spans="1:20" x14ac:dyDescent="0.3">
      <c r="A23" s="1" t="s">
        <v>73</v>
      </c>
      <c r="B23" s="1" t="s">
        <v>111</v>
      </c>
      <c r="C23" s="1">
        <v>84</v>
      </c>
      <c r="D23" s="1">
        <v>84</v>
      </c>
      <c r="E23" s="1">
        <v>85</v>
      </c>
      <c r="F23" s="1">
        <v>85</v>
      </c>
      <c r="G23" s="1">
        <v>85</v>
      </c>
      <c r="H23" s="1">
        <v>85</v>
      </c>
      <c r="I23" s="1">
        <v>85</v>
      </c>
      <c r="J23" s="1">
        <v>87</v>
      </c>
      <c r="K23" s="1">
        <v>81</v>
      </c>
    </row>
    <row r="24" spans="1:20" x14ac:dyDescent="0.3">
      <c r="A24" s="1" t="s">
        <v>14</v>
      </c>
      <c r="B24" s="1" t="s">
        <v>113</v>
      </c>
      <c r="C24" s="1">
        <f>VALUE(LEFT(L24,3))</f>
        <v>989</v>
      </c>
      <c r="D24" s="1">
        <f>VALUE(LEFT(M24,4))</f>
        <v>1003</v>
      </c>
      <c r="E24" s="1">
        <f t="shared" ref="E24:K24" si="1">VALUE(LEFT(N24,4))</f>
        <v>1013</v>
      </c>
      <c r="F24" s="1">
        <f t="shared" si="1"/>
        <v>1029</v>
      </c>
      <c r="G24" s="1">
        <f t="shared" si="1"/>
        <v>1045</v>
      </c>
      <c r="H24" s="1">
        <f t="shared" si="1"/>
        <v>1061</v>
      </c>
      <c r="I24" s="1">
        <f t="shared" si="1"/>
        <v>1076</v>
      </c>
      <c r="J24" s="1">
        <f t="shared" si="1"/>
        <v>1097</v>
      </c>
      <c r="K24" s="1">
        <f t="shared" si="1"/>
        <v>1105</v>
      </c>
      <c r="L24" s="1" t="s">
        <v>114</v>
      </c>
      <c r="M24" s="1" t="s">
        <v>115</v>
      </c>
      <c r="N24" s="1" t="s">
        <v>116</v>
      </c>
      <c r="O24" s="1" t="s">
        <v>117</v>
      </c>
      <c r="P24" s="1" t="s">
        <v>118</v>
      </c>
      <c r="Q24" s="1" t="s">
        <v>119</v>
      </c>
      <c r="R24" s="1" t="s">
        <v>120</v>
      </c>
      <c r="S24" s="1" t="s">
        <v>121</v>
      </c>
      <c r="T24" s="1" t="s">
        <v>122</v>
      </c>
    </row>
    <row r="25" spans="1:20" x14ac:dyDescent="0.3">
      <c r="A25" s="1" t="s">
        <v>132</v>
      </c>
      <c r="B25" s="1" t="s">
        <v>123</v>
      </c>
      <c r="C25" s="1">
        <f>VALUE(LEFT(L25,3))</f>
        <v>650</v>
      </c>
      <c r="D25" s="1">
        <f t="shared" ref="D25:K25" si="2">VALUE(LEFT(M25,3))</f>
        <v>650</v>
      </c>
      <c r="E25" s="1">
        <f t="shared" si="2"/>
        <v>700</v>
      </c>
      <c r="F25" s="1">
        <f t="shared" si="2"/>
        <v>700</v>
      </c>
      <c r="G25" s="1">
        <f t="shared" si="2"/>
        <v>700</v>
      </c>
      <c r="H25" s="1">
        <f t="shared" si="2"/>
        <v>700</v>
      </c>
      <c r="I25" s="1">
        <f t="shared" si="2"/>
        <v>700</v>
      </c>
      <c r="J25" s="1">
        <f t="shared" si="2"/>
        <v>700</v>
      </c>
      <c r="K25" s="1">
        <f t="shared" si="2"/>
        <v>700</v>
      </c>
      <c r="L25" s="1" t="s">
        <v>124</v>
      </c>
      <c r="M25" s="1" t="s">
        <v>125</v>
      </c>
      <c r="N25" s="1" t="s">
        <v>126</v>
      </c>
      <c r="O25" s="1" t="s">
        <v>126</v>
      </c>
      <c r="P25" s="1" t="s">
        <v>126</v>
      </c>
      <c r="Q25" s="1" t="s">
        <v>126</v>
      </c>
      <c r="R25" s="1" t="s">
        <v>126</v>
      </c>
      <c r="S25" s="1" t="s">
        <v>126</v>
      </c>
      <c r="T25" s="1" t="s">
        <v>126</v>
      </c>
    </row>
    <row r="26" spans="1:20" x14ac:dyDescent="0.3">
      <c r="A26" s="1" t="s">
        <v>70</v>
      </c>
      <c r="B26" s="1" t="s">
        <v>70</v>
      </c>
      <c r="L26" s="1" t="s">
        <v>127</v>
      </c>
      <c r="M26" s="1" t="s">
        <v>128</v>
      </c>
    </row>
    <row r="27" spans="1:20" x14ac:dyDescent="0.3">
      <c r="A27" s="1" t="s">
        <v>20</v>
      </c>
    </row>
    <row r="28" spans="1:20" x14ac:dyDescent="0.3">
      <c r="A28" s="1" t="s">
        <v>21</v>
      </c>
    </row>
    <row r="29" spans="1:20" x14ac:dyDescent="0.3">
      <c r="A29" s="1" t="s">
        <v>23</v>
      </c>
    </row>
    <row r="30" spans="1:20" x14ac:dyDescent="0.3">
      <c r="A30" s="1" t="s">
        <v>24</v>
      </c>
      <c r="C30" s="4">
        <f>C25</f>
        <v>650</v>
      </c>
      <c r="D30" s="4">
        <f t="shared" ref="D30:K30" si="3">D25</f>
        <v>650</v>
      </c>
      <c r="E30" s="4">
        <f t="shared" si="3"/>
        <v>700</v>
      </c>
      <c r="F30" s="4">
        <f t="shared" si="3"/>
        <v>700</v>
      </c>
      <c r="G30" s="4">
        <f t="shared" si="3"/>
        <v>700</v>
      </c>
      <c r="H30" s="4">
        <f t="shared" si="3"/>
        <v>700</v>
      </c>
      <c r="I30" s="4">
        <f t="shared" si="3"/>
        <v>700</v>
      </c>
      <c r="J30" s="4">
        <f t="shared" si="3"/>
        <v>700</v>
      </c>
      <c r="K30" s="4">
        <f t="shared" si="3"/>
        <v>700</v>
      </c>
    </row>
    <row r="31" spans="1:20" x14ac:dyDescent="0.3">
      <c r="A31" s="1" t="s">
        <v>25</v>
      </c>
      <c r="C31" s="4">
        <v>40</v>
      </c>
      <c r="D31" s="4">
        <v>40</v>
      </c>
      <c r="E31" s="4">
        <v>40</v>
      </c>
      <c r="F31" s="4">
        <v>40</v>
      </c>
      <c r="G31" s="4">
        <v>40</v>
      </c>
      <c r="H31" s="4">
        <v>40</v>
      </c>
      <c r="I31" s="4">
        <v>40</v>
      </c>
      <c r="J31" s="4">
        <v>40</v>
      </c>
      <c r="K31" s="4">
        <v>40</v>
      </c>
    </row>
    <row r="32" spans="1:20" x14ac:dyDescent="0.3">
      <c r="A32" s="1" t="s">
        <v>26</v>
      </c>
      <c r="C32" s="1">
        <v>50</v>
      </c>
      <c r="D32" s="1">
        <v>50</v>
      </c>
      <c r="E32" s="1">
        <v>50</v>
      </c>
      <c r="F32" s="1">
        <v>50</v>
      </c>
      <c r="G32" s="1">
        <v>50</v>
      </c>
      <c r="H32" s="1">
        <v>50</v>
      </c>
      <c r="I32" s="1">
        <v>50</v>
      </c>
      <c r="J32" s="1">
        <v>50</v>
      </c>
      <c r="K32" s="1">
        <v>50</v>
      </c>
    </row>
    <row r="33" spans="1:8" x14ac:dyDescent="0.3">
      <c r="A33" s="1" t="s">
        <v>27</v>
      </c>
    </row>
    <row r="34" spans="1:8" x14ac:dyDescent="0.3">
      <c r="A34" s="1" t="s">
        <v>28</v>
      </c>
    </row>
    <row r="35" spans="1:8" x14ac:dyDescent="0.3">
      <c r="A35" s="1" t="s">
        <v>74</v>
      </c>
    </row>
    <row r="36" spans="1:8" x14ac:dyDescent="0.3">
      <c r="A36" s="1" t="s">
        <v>75</v>
      </c>
    </row>
    <row r="38" spans="1:8" x14ac:dyDescent="0.3">
      <c r="A38" s="1" t="s">
        <v>29</v>
      </c>
      <c r="B38" s="1" t="s">
        <v>30</v>
      </c>
      <c r="H38" s="4"/>
    </row>
    <row r="39" spans="1:8" x14ac:dyDescent="0.3">
      <c r="A39" s="1" t="s">
        <v>66</v>
      </c>
      <c r="B39" s="1" t="s">
        <v>67</v>
      </c>
      <c r="C39" s="4"/>
      <c r="D39" s="4"/>
      <c r="E39" s="4"/>
      <c r="F39" s="4"/>
      <c r="G39" s="4"/>
    </row>
    <row r="40" spans="1:8" x14ac:dyDescent="0.3">
      <c r="A40" s="1" t="s">
        <v>68</v>
      </c>
      <c r="B40" s="1" t="s">
        <v>69</v>
      </c>
    </row>
    <row r="41" spans="1:8" x14ac:dyDescent="0.3">
      <c r="A41" s="1" t="s">
        <v>70</v>
      </c>
      <c r="B41" s="1" t="s">
        <v>71</v>
      </c>
    </row>
    <row r="42" spans="1:8" x14ac:dyDescent="0.3">
      <c r="A42" s="1" t="s">
        <v>31</v>
      </c>
      <c r="B42" s="1" t="s">
        <v>133</v>
      </c>
    </row>
    <row r="43" spans="1:8" x14ac:dyDescent="0.3">
      <c r="A43" s="1" t="s">
        <v>32</v>
      </c>
      <c r="B43" s="1" t="s">
        <v>72</v>
      </c>
    </row>
    <row r="44" spans="1:8" x14ac:dyDescent="0.3">
      <c r="A44" s="1" t="s">
        <v>33</v>
      </c>
      <c r="B44" s="1">
        <v>19</v>
      </c>
    </row>
    <row r="45" spans="1:8" x14ac:dyDescent="0.3">
      <c r="A45" s="1" t="s">
        <v>34</v>
      </c>
      <c r="B45" s="1">
        <v>50</v>
      </c>
    </row>
    <row r="46" spans="1:8" x14ac:dyDescent="0.3">
      <c r="A46" s="1" t="s">
        <v>35</v>
      </c>
    </row>
    <row r="47" spans="1:8" x14ac:dyDescent="0.3">
      <c r="A47" s="1" t="s">
        <v>36</v>
      </c>
      <c r="B47" s="1">
        <v>30</v>
      </c>
    </row>
    <row r="48" spans="1:8" x14ac:dyDescent="0.3">
      <c r="A48" s="1" t="s">
        <v>37</v>
      </c>
    </row>
    <row r="49" spans="1:2" x14ac:dyDescent="0.3">
      <c r="A49" s="1" t="s">
        <v>38</v>
      </c>
    </row>
    <row r="50" spans="1:2" x14ac:dyDescent="0.3">
      <c r="A50" s="1" t="s">
        <v>39</v>
      </c>
    </row>
    <row r="51" spans="1:2" x14ac:dyDescent="0.3">
      <c r="A51" s="1" t="s">
        <v>40</v>
      </c>
      <c r="B51" s="1">
        <v>142</v>
      </c>
    </row>
    <row r="52" spans="1:2" x14ac:dyDescent="0.3">
      <c r="A52" s="1" t="s">
        <v>41</v>
      </c>
      <c r="B52" s="1">
        <v>100</v>
      </c>
    </row>
    <row r="53" spans="1:2" x14ac:dyDescent="0.3">
      <c r="A53" s="1" t="s">
        <v>42</v>
      </c>
      <c r="B53" s="1" t="s">
        <v>76</v>
      </c>
    </row>
    <row r="54" spans="1:2" x14ac:dyDescent="0.3">
      <c r="A54" s="1" t="s">
        <v>43</v>
      </c>
    </row>
    <row r="55" spans="1:2" x14ac:dyDescent="0.3">
      <c r="A55" s="1" t="s">
        <v>44</v>
      </c>
      <c r="B55" s="1">
        <v>27.2</v>
      </c>
    </row>
    <row r="56" spans="1:2" x14ac:dyDescent="0.3">
      <c r="A56" s="1" t="s">
        <v>45</v>
      </c>
      <c r="B56" s="1" t="s">
        <v>72</v>
      </c>
    </row>
    <row r="57" spans="1:2" x14ac:dyDescent="0.3">
      <c r="A57" s="1" t="s">
        <v>46</v>
      </c>
      <c r="B57" s="1">
        <v>44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  <c r="B60" s="1">
        <v>180</v>
      </c>
    </row>
    <row r="61" spans="1:2" x14ac:dyDescent="0.3">
      <c r="A61" s="1" t="s">
        <v>50</v>
      </c>
    </row>
    <row r="62" spans="1:2" x14ac:dyDescent="0.3">
      <c r="A62" s="1" t="s">
        <v>51</v>
      </c>
      <c r="B62" s="1" t="s">
        <v>138</v>
      </c>
    </row>
    <row r="63" spans="1:2" x14ac:dyDescent="0.3">
      <c r="A63" s="1" t="s">
        <v>52</v>
      </c>
      <c r="B63" s="1" t="s">
        <v>137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  <c r="B66" s="1">
        <v>2</v>
      </c>
    </row>
    <row r="67" spans="1:2" x14ac:dyDescent="0.3">
      <c r="A67" s="1" t="s">
        <v>56</v>
      </c>
      <c r="B67" s="1">
        <v>1</v>
      </c>
    </row>
    <row r="68" spans="1:2" x14ac:dyDescent="0.3">
      <c r="A68" s="1" t="s">
        <v>57</v>
      </c>
      <c r="B68" s="1" t="s">
        <v>72</v>
      </c>
    </row>
    <row r="69" spans="1:2" x14ac:dyDescent="0.3">
      <c r="A69" s="1" t="s">
        <v>58</v>
      </c>
      <c r="B69" s="1" t="s">
        <v>72</v>
      </c>
    </row>
    <row r="70" spans="1:2" x14ac:dyDescent="0.3">
      <c r="A70" s="1" t="s">
        <v>59</v>
      </c>
      <c r="B70" s="1" t="s">
        <v>72</v>
      </c>
    </row>
    <row r="71" spans="1:2" x14ac:dyDescent="0.3">
      <c r="A71" s="1" t="s">
        <v>60</v>
      </c>
      <c r="B71" s="1" t="s">
        <v>72</v>
      </c>
    </row>
    <row r="72" spans="1:2" x14ac:dyDescent="0.3">
      <c r="A72" s="1" t="s">
        <v>61</v>
      </c>
      <c r="B72" s="1" t="s">
        <v>72</v>
      </c>
    </row>
    <row r="73" spans="1:2" x14ac:dyDescent="0.3">
      <c r="A73" s="1" t="s">
        <v>62</v>
      </c>
      <c r="B73" s="1">
        <v>1799</v>
      </c>
    </row>
    <row r="74" spans="1:2" x14ac:dyDescent="0.3">
      <c r="A74" s="1" t="s">
        <v>63</v>
      </c>
      <c r="B74" s="1">
        <v>3599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150</v>
      </c>
    </row>
    <row r="77" spans="1:2" x14ac:dyDescent="0.3">
      <c r="A77" s="1" t="s">
        <v>148</v>
      </c>
      <c r="B77" s="1" t="s">
        <v>149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2025-10-17T16:07:07Z</dcterms:modified>
</cp:coreProperties>
</file>