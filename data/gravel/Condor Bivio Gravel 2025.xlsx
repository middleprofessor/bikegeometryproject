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25CCF04-8257-5E40-9394-CB9289645BBD}" xr6:coauthVersionLast="47" xr6:coauthVersionMax="47" xr10:uidLastSave="{00000000-0000-0000-0000-000000000000}"/>
  <bookViews>
    <workbookView xWindow="3960" yWindow="1780" windowWidth="2484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/>
  <c r="F16" i="1"/>
  <c r="G16" i="1"/>
  <c r="H16" i="1"/>
  <c r="C16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C8" i="1"/>
  <c r="C13" i="1"/>
  <c r="C12" i="1"/>
  <c r="C20" i="1"/>
  <c r="C10" i="1"/>
  <c r="C11" i="1"/>
  <c r="C14" i="1"/>
  <c r="C15" i="1"/>
  <c r="C17" i="1"/>
  <c r="C18" i="1"/>
  <c r="C19" i="1"/>
  <c r="C9" i="1"/>
</calcChain>
</file>

<file path=xl/sharedStrings.xml><?xml version="1.0" encoding="utf-8"?>
<sst xmlns="http://schemas.openxmlformats.org/spreadsheetml/2006/main" count="162" uniqueCount="120">
  <si>
    <t>brand</t>
  </si>
  <si>
    <t>model</t>
  </si>
  <si>
    <t>model_year</t>
  </si>
  <si>
    <t>input_date</t>
  </si>
  <si>
    <t>url</t>
  </si>
  <si>
    <t>data_range</t>
  </si>
  <si>
    <t>frame_size</t>
  </si>
  <si>
    <t>stack</t>
  </si>
  <si>
    <t>reach</t>
  </si>
  <si>
    <t>seat_tube_length</t>
  </si>
  <si>
    <t>top_tube_effective_length</t>
  </si>
  <si>
    <t>head_tube_angle</t>
  </si>
  <si>
    <t>seat_tube_angle</t>
  </si>
  <si>
    <t>head_tube_length</t>
  </si>
  <si>
    <t>bottom_bracket_drop</t>
  </si>
  <si>
    <t>chainstay_length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</si>
  <si>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</si>
  <si>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</si>
  <si>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</si>
  <si>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</si>
  <si>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</si>
  <si>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</si>
  <si>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</si>
  <si>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</si>
  <si>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</si>
  <si>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</si>
  <si>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</si>
  <si>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</si>
  <si>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</si>
  <si>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</si>
  <si>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</si>
  <si>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</si>
  <si>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</si>
  <si>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</si>
  <si>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</si>
  <si>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</si>
  <si>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</si>
  <si>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</si>
  <si>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</si>
  <si>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</si>
  <si>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</si>
  <si>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</si>
  <si>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</si>
  <si>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</si>
  <si>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</si>
  <si>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</si>
  <si>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</si>
  <si>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</si>
  <si>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</si>
  <si>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</si>
  <si>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</si>
  <si>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</si>
  <si>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</si>
  <si>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</si>
  <si>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</si>
  <si>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</si>
  <si>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</si>
  <si>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</si>
  <si>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</si>
  <si>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</si>
  <si>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</si>
  <si>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</si>
  <si>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</si>
  <si>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</si>
  <si>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</si>
  <si>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</si>
  <si>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</si>
  <si>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</si>
  <si>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</si>
  <si>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</si>
  <si>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</si>
  <si>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</si>
  <si>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</si>
  <si>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</si>
  <si>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</si>
  <si>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</si>
  <si>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</si>
  <si>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steel</t>
  </si>
  <si>
    <t>frame size</t>
  </si>
  <si>
    <t>Condor</t>
  </si>
  <si>
    <t>Bivio Gravel</t>
  </si>
  <si>
    <t>gravel</t>
  </si>
  <si>
    <t>drop bar</t>
  </si>
  <si>
    <t>rigid</t>
  </si>
  <si>
    <t>Rider height guide (cm)</t>
  </si>
  <si>
    <t>150–160</t>
  </si>
  <si>
    <t>160–168</t>
  </si>
  <si>
    <t>168–175</t>
  </si>
  <si>
    <t>175–183</t>
  </si>
  <si>
    <t>183–190</t>
  </si>
  <si>
    <t>190–198</t>
  </si>
  <si>
    <t>Rider height guide (in)</t>
  </si>
  <si>
    <t>4'11"–5'3"</t>
  </si>
  <si>
    <t>5'3"–5'6"</t>
  </si>
  <si>
    <t>5'6"–5'9"</t>
  </si>
  <si>
    <t>5'9"–6'0"</t>
  </si>
  <si>
    <t>6'0"–6'3"</t>
  </si>
  <si>
    <t>6'3"–6'6"</t>
  </si>
  <si>
    <t>Seat tube (centre to centre) [A] (cm)</t>
  </si>
  <si>
    <t>Seat tube (centre to top) [B] (cm)</t>
  </si>
  <si>
    <t>Top tube (horizontal) [C] (cm)</t>
  </si>
  <si>
    <t>Seat tube angle [D] (cm)</t>
  </si>
  <si>
    <t>Head tube angle [E] (cm)</t>
  </si>
  <si>
    <t>Head tube length [F] (cm)</t>
  </si>
  <si>
    <t>Chainstay length [G] (cm)</t>
  </si>
  <si>
    <t>Bottom bracket drop (mm)</t>
  </si>
  <si>
    <t>Stack (cm)</t>
  </si>
  <si>
    <t>Reach (cm)</t>
  </si>
  <si>
    <t>Fork length (cm)</t>
  </si>
  <si>
    <t>Fork offset (mm)</t>
  </si>
  <si>
    <t>https://www.condorcycles.com/en-us/products/condor-bivio-gravel-thru-axle-frameset?variant=47034208125249</t>
  </si>
  <si>
    <t>carbon</t>
  </si>
  <si>
    <t>seat_tube_cc</t>
  </si>
  <si>
    <t>yes</t>
  </si>
  <si>
    <t>threaded</t>
  </si>
  <si>
    <t>ZS44</t>
  </si>
  <si>
    <t>EC44</t>
  </si>
  <si>
    <t>https://www.condorcycles.com/cdn/shop/files/0000034786_1200x.png?v=1761211891</t>
  </si>
  <si>
    <t>a8:h31</t>
  </si>
  <si>
    <t>London,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</si>
</sst>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rgb="FF262626"/>
      <name val="Arial"/>
      <family val="2"/>
    </font>
    <font>
      <sz val="16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"/>
  <sheetViews>
    <sheetView tabSelected="1" topLeftCell="A69" zoomScale="93" workbookViewId="0">
      <selection activeCell="B78" sqref="B78"/>
    </sheetView>
  </sheetViews>
  <sheetFormatPr baseColWidth="10" defaultRowHeight="20" x14ac:dyDescent="0.3"/>
  <cols>
    <col min="1" max="2" width="19.6640625" customWidth="1"/>
  </cols>
  <sheetData>
    <row r="1" spans="1:24" x14ac:dyDescent="0.3">
      <c r="A1" t="s">
        <v>0</v>
      </c>
      <c r="B1" s="2" t="s">
        <v>79</v>
      </c>
    </row>
    <row r="2" spans="1:24" x14ac:dyDescent="0.3">
      <c r="A2" t="s">
        <v>1</v>
      </c>
      <c r="B2" s="2" t="s">
        <v>80</v>
      </c>
    </row>
    <row r="3" spans="1:24" x14ac:dyDescent="0.3">
      <c r="A3" t="s">
        <v>2</v>
      </c>
      <c r="B3">
        <v>2025</v>
      </c>
    </row>
    <row r="4" spans="1:24" x14ac:dyDescent="0.3">
      <c r="A4" t="s">
        <v>3</v>
      </c>
      <c r="B4" s="1">
        <v>45970</v>
      </c>
    </row>
    <row r="5" spans="1:24" x14ac:dyDescent="0.3">
      <c r="A5" t="s">
        <v>4</v>
      </c>
      <c r="B5" t="s">
        <v>110</v>
      </c>
    </row>
    <row r="6" spans="1:24" x14ac:dyDescent="0.3">
      <c r="B6" t="s">
        <v>117</v>
      </c>
    </row>
    <row r="7" spans="1:24" ht="22" x14ac:dyDescent="0.3">
      <c r="A7" t="s">
        <v>5</v>
      </c>
      <c r="B7" s="2" t="s">
        <v>118</v>
      </c>
      <c r="J7" s="2" t="s">
        <v>78</v>
      </c>
      <c r="K7" t="s">
        <v>84</v>
      </c>
      <c r="L7" t="s">
        <v>91</v>
      </c>
      <c r="M7" t="s">
        <v>98</v>
      </c>
      <c r="N7" s="4" t="s">
        <v>99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  <c r="T7" t="s">
        <v>105</v>
      </c>
      <c r="U7" t="s">
        <v>106</v>
      </c>
      <c r="V7" t="s">
        <v>107</v>
      </c>
      <c r="W7" t="s">
        <v>108</v>
      </c>
      <c r="X7" t="s">
        <v>109</v>
      </c>
    </row>
    <row r="8" spans="1:24" ht="22" x14ac:dyDescent="0.3">
      <c r="A8" t="s">
        <v>6</v>
      </c>
      <c r="B8" s="2" t="s">
        <v>78</v>
      </c>
      <c r="C8">
        <f t="shared" ref="C8:H8" si="0">K15</f>
        <v>46</v>
      </c>
      <c r="D8">
        <f t="shared" si="0"/>
        <v>49</v>
      </c>
      <c r="E8">
        <f t="shared" si="0"/>
        <v>52</v>
      </c>
      <c r="F8">
        <f t="shared" si="0"/>
        <v>55</v>
      </c>
      <c r="G8">
        <f t="shared" si="0"/>
        <v>58</v>
      </c>
      <c r="H8">
        <f t="shared" si="0"/>
        <v>61</v>
      </c>
      <c r="J8">
        <v>46</v>
      </c>
      <c r="K8" t="s">
        <v>85</v>
      </c>
      <c r="L8" t="s">
        <v>92</v>
      </c>
      <c r="M8">
        <v>41</v>
      </c>
      <c r="N8" s="4">
        <v>46</v>
      </c>
      <c r="O8">
        <v>51.3</v>
      </c>
      <c r="P8">
        <v>74</v>
      </c>
      <c r="Q8">
        <v>71</v>
      </c>
      <c r="R8">
        <v>9</v>
      </c>
      <c r="S8">
        <v>43</v>
      </c>
      <c r="T8">
        <v>70</v>
      </c>
      <c r="U8">
        <v>51.6</v>
      </c>
      <c r="V8">
        <v>36.5</v>
      </c>
      <c r="W8">
        <v>39.799999999999997</v>
      </c>
      <c r="X8">
        <v>50</v>
      </c>
    </row>
    <row r="9" spans="1:24" ht="22" x14ac:dyDescent="0.3">
      <c r="A9" s="2" t="s">
        <v>112</v>
      </c>
      <c r="B9" t="s">
        <v>98</v>
      </c>
      <c r="C9" s="2">
        <f t="shared" ref="C9:H11" si="1">K18*10</f>
        <v>410</v>
      </c>
      <c r="D9" s="2">
        <f t="shared" si="1"/>
        <v>440</v>
      </c>
      <c r="E9" s="2">
        <f t="shared" si="1"/>
        <v>470</v>
      </c>
      <c r="F9" s="2">
        <f t="shared" si="1"/>
        <v>500</v>
      </c>
      <c r="G9" s="2">
        <f t="shared" si="1"/>
        <v>530</v>
      </c>
      <c r="H9" s="2">
        <f t="shared" si="1"/>
        <v>560</v>
      </c>
      <c r="J9">
        <v>49</v>
      </c>
      <c r="K9" t="s">
        <v>86</v>
      </c>
      <c r="L9" t="s">
        <v>93</v>
      </c>
      <c r="M9">
        <v>44</v>
      </c>
      <c r="N9" s="4">
        <v>49</v>
      </c>
      <c r="O9">
        <v>51.8</v>
      </c>
      <c r="P9">
        <v>73.5</v>
      </c>
      <c r="Q9">
        <v>71</v>
      </c>
      <c r="R9">
        <v>9.5</v>
      </c>
      <c r="S9">
        <v>43</v>
      </c>
      <c r="T9">
        <v>70</v>
      </c>
      <c r="U9">
        <v>52.1</v>
      </c>
      <c r="V9">
        <v>36.4</v>
      </c>
      <c r="W9">
        <v>39.799999999999997</v>
      </c>
      <c r="X9">
        <v>50</v>
      </c>
    </row>
    <row r="10" spans="1:24" ht="22" x14ac:dyDescent="0.3">
      <c r="A10" t="s">
        <v>9</v>
      </c>
      <c r="B10" s="4" t="s">
        <v>99</v>
      </c>
      <c r="C10" s="2">
        <f t="shared" si="1"/>
        <v>460</v>
      </c>
      <c r="D10" s="2">
        <f t="shared" si="1"/>
        <v>490</v>
      </c>
      <c r="E10" s="2">
        <f t="shared" si="1"/>
        <v>520</v>
      </c>
      <c r="F10" s="2">
        <f t="shared" si="1"/>
        <v>550</v>
      </c>
      <c r="G10" s="2">
        <f t="shared" si="1"/>
        <v>580</v>
      </c>
      <c r="H10" s="2">
        <f t="shared" si="1"/>
        <v>610</v>
      </c>
      <c r="J10">
        <v>52</v>
      </c>
      <c r="K10" t="s">
        <v>87</v>
      </c>
      <c r="L10" t="s">
        <v>94</v>
      </c>
      <c r="M10">
        <v>47</v>
      </c>
      <c r="N10" s="4">
        <v>52</v>
      </c>
      <c r="O10">
        <v>53.7</v>
      </c>
      <c r="P10">
        <v>73</v>
      </c>
      <c r="Q10">
        <v>72</v>
      </c>
      <c r="R10">
        <v>10.5</v>
      </c>
      <c r="S10">
        <v>43</v>
      </c>
      <c r="T10">
        <v>70</v>
      </c>
      <c r="U10">
        <v>53.4</v>
      </c>
      <c r="V10">
        <v>37.4</v>
      </c>
      <c r="W10">
        <v>39.799999999999997</v>
      </c>
      <c r="X10">
        <v>50</v>
      </c>
    </row>
    <row r="11" spans="1:24" x14ac:dyDescent="0.3">
      <c r="A11" t="s">
        <v>10</v>
      </c>
      <c r="B11" t="s">
        <v>100</v>
      </c>
      <c r="C11" s="2">
        <f t="shared" si="1"/>
        <v>513</v>
      </c>
      <c r="D11" s="2">
        <f t="shared" si="1"/>
        <v>518</v>
      </c>
      <c r="E11" s="2">
        <f t="shared" si="1"/>
        <v>537</v>
      </c>
      <c r="F11" s="2">
        <f t="shared" si="1"/>
        <v>555</v>
      </c>
      <c r="G11" s="2">
        <f t="shared" si="1"/>
        <v>570</v>
      </c>
      <c r="H11" s="2">
        <f t="shared" si="1"/>
        <v>580</v>
      </c>
      <c r="J11">
        <v>55</v>
      </c>
      <c r="K11" t="s">
        <v>88</v>
      </c>
      <c r="L11" t="s">
        <v>95</v>
      </c>
      <c r="M11">
        <v>50</v>
      </c>
      <c r="N11">
        <v>55</v>
      </c>
      <c r="O11">
        <v>55.5</v>
      </c>
      <c r="P11">
        <v>73</v>
      </c>
      <c r="Q11">
        <v>72.5</v>
      </c>
      <c r="R11">
        <v>13.5</v>
      </c>
      <c r="S11">
        <v>43</v>
      </c>
      <c r="T11">
        <v>70</v>
      </c>
      <c r="U11">
        <v>56.4</v>
      </c>
      <c r="V11">
        <v>38.1</v>
      </c>
      <c r="W11">
        <v>39.799999999999997</v>
      </c>
      <c r="X11">
        <v>50</v>
      </c>
    </row>
    <row r="12" spans="1:24" x14ac:dyDescent="0.3">
      <c r="A12" t="s">
        <v>12</v>
      </c>
      <c r="B12" t="s">
        <v>101</v>
      </c>
      <c r="C12" s="2">
        <f t="shared" ref="C12:H13" si="2">K21</f>
        <v>74</v>
      </c>
      <c r="D12" s="2">
        <f t="shared" si="2"/>
        <v>73.5</v>
      </c>
      <c r="E12" s="2">
        <f t="shared" si="2"/>
        <v>73</v>
      </c>
      <c r="F12" s="2">
        <f t="shared" si="2"/>
        <v>73</v>
      </c>
      <c r="G12" s="2">
        <f t="shared" si="2"/>
        <v>73</v>
      </c>
      <c r="H12" s="2">
        <f t="shared" si="2"/>
        <v>72.5</v>
      </c>
      <c r="J12">
        <v>58</v>
      </c>
      <c r="K12" t="s">
        <v>89</v>
      </c>
      <c r="L12" t="s">
        <v>96</v>
      </c>
      <c r="M12">
        <v>53</v>
      </c>
      <c r="N12">
        <v>58</v>
      </c>
      <c r="O12">
        <v>57</v>
      </c>
      <c r="P12">
        <v>73</v>
      </c>
      <c r="Q12">
        <v>72.5</v>
      </c>
      <c r="R12">
        <v>16.5</v>
      </c>
      <c r="S12">
        <v>43</v>
      </c>
      <c r="T12">
        <v>70</v>
      </c>
      <c r="U12">
        <v>59.3</v>
      </c>
      <c r="V12">
        <v>39.200000000000003</v>
      </c>
      <c r="W12">
        <v>39.799999999999997</v>
      </c>
      <c r="X12">
        <v>50</v>
      </c>
    </row>
    <row r="13" spans="1:24" ht="22" x14ac:dyDescent="0.3">
      <c r="A13" t="s">
        <v>11</v>
      </c>
      <c r="B13" t="s">
        <v>102</v>
      </c>
      <c r="C13" s="2">
        <f t="shared" si="2"/>
        <v>71</v>
      </c>
      <c r="D13" s="2">
        <f t="shared" si="2"/>
        <v>71</v>
      </c>
      <c r="E13" s="2">
        <f t="shared" si="2"/>
        <v>72</v>
      </c>
      <c r="F13" s="2">
        <f t="shared" si="2"/>
        <v>72.5</v>
      </c>
      <c r="G13" s="2">
        <f t="shared" si="2"/>
        <v>72.5</v>
      </c>
      <c r="H13" s="2">
        <f t="shared" si="2"/>
        <v>73</v>
      </c>
      <c r="J13">
        <v>61</v>
      </c>
      <c r="K13" t="s">
        <v>90</v>
      </c>
      <c r="L13" t="s">
        <v>97</v>
      </c>
      <c r="M13" s="3">
        <v>56</v>
      </c>
      <c r="N13">
        <v>61</v>
      </c>
      <c r="O13">
        <v>58</v>
      </c>
      <c r="P13">
        <v>72.5</v>
      </c>
      <c r="Q13">
        <v>73</v>
      </c>
      <c r="R13">
        <v>19.5</v>
      </c>
      <c r="S13">
        <v>43.5</v>
      </c>
      <c r="T13">
        <v>70</v>
      </c>
      <c r="U13">
        <v>62.3</v>
      </c>
      <c r="V13">
        <v>39.700000000000003</v>
      </c>
      <c r="W13">
        <v>39.799999999999997</v>
      </c>
      <c r="X13">
        <v>50</v>
      </c>
    </row>
    <row r="14" spans="1:24" x14ac:dyDescent="0.3">
      <c r="A14" t="s">
        <v>13</v>
      </c>
      <c r="B14" t="s">
        <v>103</v>
      </c>
      <c r="C14" s="2">
        <f t="shared" ref="C14:H19" si="3">K23*10</f>
        <v>90</v>
      </c>
      <c r="D14" s="2">
        <f t="shared" si="3"/>
        <v>95</v>
      </c>
      <c r="E14" s="2">
        <f t="shared" si="3"/>
        <v>105</v>
      </c>
      <c r="F14" s="2">
        <f t="shared" si="3"/>
        <v>135</v>
      </c>
      <c r="G14" s="2">
        <f t="shared" si="3"/>
        <v>165</v>
      </c>
      <c r="H14" s="2">
        <f t="shared" si="3"/>
        <v>195</v>
      </c>
    </row>
    <row r="15" spans="1:24" x14ac:dyDescent="0.3">
      <c r="A15" t="s">
        <v>15</v>
      </c>
      <c r="B15" t="s">
        <v>104</v>
      </c>
      <c r="C15" s="2">
        <f t="shared" si="3"/>
        <v>430</v>
      </c>
      <c r="D15" s="2">
        <f t="shared" si="3"/>
        <v>430</v>
      </c>
      <c r="E15" s="2">
        <f t="shared" si="3"/>
        <v>430</v>
      </c>
      <c r="F15" s="2">
        <f t="shared" si="3"/>
        <v>430</v>
      </c>
      <c r="G15" s="2">
        <f t="shared" si="3"/>
        <v>430</v>
      </c>
      <c r="H15" s="2">
        <f t="shared" si="3"/>
        <v>435</v>
      </c>
      <c r="J15" s="2" t="s">
        <v>78</v>
      </c>
      <c r="K15">
        <v>46</v>
      </c>
      <c r="L15">
        <v>49</v>
      </c>
      <c r="M15">
        <v>52</v>
      </c>
      <c r="N15">
        <v>55</v>
      </c>
      <c r="O15">
        <v>58</v>
      </c>
      <c r="P15">
        <v>61</v>
      </c>
    </row>
    <row r="16" spans="1:24" x14ac:dyDescent="0.3">
      <c r="A16" t="s">
        <v>14</v>
      </c>
      <c r="B16" t="s">
        <v>105</v>
      </c>
      <c r="C16" s="2">
        <f>K25</f>
        <v>70</v>
      </c>
      <c r="D16" s="2">
        <f t="shared" ref="D16:H16" si="4">L25</f>
        <v>70</v>
      </c>
      <c r="E16" s="2">
        <f t="shared" si="4"/>
        <v>70</v>
      </c>
      <c r="F16" s="2">
        <f t="shared" si="4"/>
        <v>70</v>
      </c>
      <c r="G16" s="2">
        <f t="shared" si="4"/>
        <v>70</v>
      </c>
      <c r="H16" s="2">
        <f t="shared" si="4"/>
        <v>70</v>
      </c>
      <c r="J16" t="s">
        <v>84</v>
      </c>
      <c r="K16" t="s">
        <v>85</v>
      </c>
      <c r="L16" t="s">
        <v>86</v>
      </c>
      <c r="M16" t="s">
        <v>87</v>
      </c>
      <c r="N16" t="s">
        <v>88</v>
      </c>
      <c r="O16" t="s">
        <v>89</v>
      </c>
      <c r="P16" t="s">
        <v>90</v>
      </c>
    </row>
    <row r="17" spans="1:16" x14ac:dyDescent="0.3">
      <c r="A17" t="s">
        <v>7</v>
      </c>
      <c r="B17" t="s">
        <v>106</v>
      </c>
      <c r="C17" s="2">
        <f t="shared" si="3"/>
        <v>516</v>
      </c>
      <c r="D17" s="2">
        <f t="shared" si="3"/>
        <v>521</v>
      </c>
      <c r="E17" s="2">
        <f t="shared" si="3"/>
        <v>534</v>
      </c>
      <c r="F17" s="2">
        <f t="shared" si="3"/>
        <v>564</v>
      </c>
      <c r="G17" s="2">
        <f t="shared" si="3"/>
        <v>593</v>
      </c>
      <c r="H17" s="2">
        <f t="shared" si="3"/>
        <v>623</v>
      </c>
      <c r="J17" t="s">
        <v>91</v>
      </c>
      <c r="K17" t="s">
        <v>92</v>
      </c>
      <c r="L17" t="s">
        <v>93</v>
      </c>
      <c r="M17" t="s">
        <v>94</v>
      </c>
      <c r="N17" t="s">
        <v>95</v>
      </c>
      <c r="O17" t="s">
        <v>96</v>
      </c>
      <c r="P17" t="s">
        <v>97</v>
      </c>
    </row>
    <row r="18" spans="1:16" ht="22" x14ac:dyDescent="0.3">
      <c r="A18" t="s">
        <v>8</v>
      </c>
      <c r="B18" t="s">
        <v>107</v>
      </c>
      <c r="C18" s="2">
        <f t="shared" si="3"/>
        <v>365</v>
      </c>
      <c r="D18" s="2">
        <f t="shared" si="3"/>
        <v>364</v>
      </c>
      <c r="E18" s="2">
        <f t="shared" si="3"/>
        <v>374</v>
      </c>
      <c r="F18" s="2">
        <f t="shared" si="3"/>
        <v>381</v>
      </c>
      <c r="G18" s="2">
        <f t="shared" si="3"/>
        <v>392</v>
      </c>
      <c r="H18" s="2">
        <f t="shared" si="3"/>
        <v>397</v>
      </c>
      <c r="J18" t="s">
        <v>98</v>
      </c>
      <c r="K18">
        <v>41</v>
      </c>
      <c r="L18">
        <v>44</v>
      </c>
      <c r="M18">
        <v>47</v>
      </c>
      <c r="N18">
        <v>50</v>
      </c>
      <c r="O18">
        <v>53</v>
      </c>
      <c r="P18" s="3">
        <v>56</v>
      </c>
    </row>
    <row r="19" spans="1:16" ht="22" x14ac:dyDescent="0.3">
      <c r="A19" t="s">
        <v>18</v>
      </c>
      <c r="B19" t="s">
        <v>108</v>
      </c>
      <c r="C19" s="2">
        <f t="shared" si="3"/>
        <v>398</v>
      </c>
      <c r="D19" s="2">
        <f t="shared" si="3"/>
        <v>398</v>
      </c>
      <c r="E19" s="2">
        <f t="shared" si="3"/>
        <v>398</v>
      </c>
      <c r="F19" s="2">
        <f t="shared" si="3"/>
        <v>398</v>
      </c>
      <c r="G19" s="2">
        <f t="shared" si="3"/>
        <v>398</v>
      </c>
      <c r="H19" s="2">
        <f t="shared" si="3"/>
        <v>398</v>
      </c>
      <c r="J19" s="4" t="s">
        <v>99</v>
      </c>
      <c r="K19" s="4">
        <v>46</v>
      </c>
      <c r="L19" s="4">
        <v>49</v>
      </c>
      <c r="M19" s="4">
        <v>52</v>
      </c>
      <c r="N19">
        <v>55</v>
      </c>
      <c r="O19">
        <v>58</v>
      </c>
      <c r="P19">
        <v>61</v>
      </c>
    </row>
    <row r="20" spans="1:16" x14ac:dyDescent="0.3">
      <c r="A20" t="s">
        <v>17</v>
      </c>
      <c r="B20" t="s">
        <v>109</v>
      </c>
      <c r="C20" s="2">
        <f t="shared" ref="C20:H20" si="5">K29</f>
        <v>50</v>
      </c>
      <c r="D20" s="2">
        <f t="shared" si="5"/>
        <v>50</v>
      </c>
      <c r="E20" s="2">
        <f t="shared" si="5"/>
        <v>50</v>
      </c>
      <c r="F20" s="2">
        <f t="shared" si="5"/>
        <v>50</v>
      </c>
      <c r="G20" s="2">
        <f t="shared" si="5"/>
        <v>50</v>
      </c>
      <c r="H20" s="2">
        <f t="shared" si="5"/>
        <v>50</v>
      </c>
      <c r="J20" t="s">
        <v>100</v>
      </c>
      <c r="K20">
        <v>51.3</v>
      </c>
      <c r="L20">
        <v>51.8</v>
      </c>
      <c r="M20">
        <v>53.7</v>
      </c>
      <c r="N20">
        <v>55.5</v>
      </c>
      <c r="O20">
        <v>57</v>
      </c>
      <c r="P20">
        <v>58</v>
      </c>
    </row>
    <row r="21" spans="1:16" x14ac:dyDescent="0.3">
      <c r="A21" t="s">
        <v>16</v>
      </c>
      <c r="J21" t="s">
        <v>101</v>
      </c>
      <c r="K21">
        <v>74</v>
      </c>
      <c r="L21">
        <v>73.5</v>
      </c>
      <c r="M21">
        <v>73</v>
      </c>
      <c r="N21">
        <v>73</v>
      </c>
      <c r="O21">
        <v>73</v>
      </c>
      <c r="P21">
        <v>72.5</v>
      </c>
    </row>
    <row r="22" spans="1:16" x14ac:dyDescent="0.3">
      <c r="A22" t="s">
        <v>19</v>
      </c>
      <c r="J22" t="s">
        <v>102</v>
      </c>
      <c r="K22">
        <v>71</v>
      </c>
      <c r="L22">
        <v>71</v>
      </c>
      <c r="M22">
        <v>72</v>
      </c>
      <c r="N22">
        <v>72.5</v>
      </c>
      <c r="O22">
        <v>72.5</v>
      </c>
      <c r="P22">
        <v>73</v>
      </c>
    </row>
    <row r="23" spans="1:16" x14ac:dyDescent="0.3">
      <c r="A23" t="s">
        <v>21</v>
      </c>
      <c r="J23" t="s">
        <v>103</v>
      </c>
      <c r="K23">
        <v>9</v>
      </c>
      <c r="L23">
        <v>9.5</v>
      </c>
      <c r="M23">
        <v>10.5</v>
      </c>
      <c r="N23">
        <v>13.5</v>
      </c>
      <c r="O23">
        <v>16.5</v>
      </c>
      <c r="P23">
        <v>19.5</v>
      </c>
    </row>
    <row r="24" spans="1:16" x14ac:dyDescent="0.3">
      <c r="A24" t="s">
        <v>22</v>
      </c>
      <c r="J24" t="s">
        <v>104</v>
      </c>
      <c r="K24">
        <v>43</v>
      </c>
      <c r="L24">
        <v>43</v>
      </c>
      <c r="M24">
        <v>43</v>
      </c>
      <c r="N24">
        <v>43</v>
      </c>
      <c r="O24">
        <v>43</v>
      </c>
      <c r="P24">
        <v>43.5</v>
      </c>
    </row>
    <row r="25" spans="1:16" x14ac:dyDescent="0.3">
      <c r="A25" t="s">
        <v>20</v>
      </c>
      <c r="J25" t="s">
        <v>105</v>
      </c>
      <c r="K25">
        <v>70</v>
      </c>
      <c r="L25">
        <v>70</v>
      </c>
      <c r="M25">
        <v>70</v>
      </c>
      <c r="N25">
        <v>70</v>
      </c>
      <c r="O25">
        <v>70</v>
      </c>
      <c r="P25">
        <v>70</v>
      </c>
    </row>
    <row r="26" spans="1:16" x14ac:dyDescent="0.3">
      <c r="A26" t="s">
        <v>23</v>
      </c>
      <c r="F26">
        <v>2000</v>
      </c>
      <c r="J26" t="s">
        <v>106</v>
      </c>
      <c r="K26">
        <v>51.6</v>
      </c>
      <c r="L26">
        <v>52.1</v>
      </c>
      <c r="M26">
        <v>53.4</v>
      </c>
      <c r="N26">
        <v>56.4</v>
      </c>
      <c r="O26">
        <v>59.3</v>
      </c>
      <c r="P26">
        <v>62.3</v>
      </c>
    </row>
    <row r="27" spans="1:16" x14ac:dyDescent="0.3">
      <c r="A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  <c r="J27" t="s">
        <v>107</v>
      </c>
      <c r="K27">
        <v>36.5</v>
      </c>
      <c r="L27">
        <v>36.4</v>
      </c>
      <c r="M27">
        <v>37.4</v>
      </c>
      <c r="N27">
        <v>38.1</v>
      </c>
      <c r="O27">
        <v>39.200000000000003</v>
      </c>
      <c r="P27">
        <v>39.700000000000003</v>
      </c>
    </row>
    <row r="28" spans="1:16" x14ac:dyDescent="0.3">
      <c r="A28" t="s">
        <v>25</v>
      </c>
      <c r="C28">
        <v>40</v>
      </c>
      <c r="D28">
        <v>40</v>
      </c>
      <c r="E28">
        <v>40</v>
      </c>
      <c r="F28">
        <v>40</v>
      </c>
      <c r="G28">
        <v>40</v>
      </c>
      <c r="H28">
        <v>40</v>
      </c>
      <c r="J28" t="s">
        <v>108</v>
      </c>
      <c r="K28">
        <v>39.799999999999997</v>
      </c>
      <c r="L28">
        <v>39.799999999999997</v>
      </c>
      <c r="M28">
        <v>39.799999999999997</v>
      </c>
      <c r="N28">
        <v>39.799999999999997</v>
      </c>
      <c r="O28">
        <v>39.799999999999997</v>
      </c>
      <c r="P28">
        <v>39.799999999999997</v>
      </c>
    </row>
    <row r="29" spans="1:16" x14ac:dyDescent="0.3">
      <c r="A29" t="s">
        <v>26</v>
      </c>
      <c r="C29">
        <v>43</v>
      </c>
      <c r="D29">
        <v>43</v>
      </c>
      <c r="E29">
        <v>43</v>
      </c>
      <c r="F29">
        <v>43</v>
      </c>
      <c r="G29">
        <v>43</v>
      </c>
      <c r="H29">
        <v>43</v>
      </c>
      <c r="J29" t="s">
        <v>109</v>
      </c>
      <c r="K29">
        <v>50</v>
      </c>
      <c r="L29">
        <v>50</v>
      </c>
      <c r="M29">
        <v>50</v>
      </c>
      <c r="N29">
        <v>50</v>
      </c>
      <c r="O29">
        <v>50</v>
      </c>
      <c r="P29">
        <v>50</v>
      </c>
    </row>
    <row r="30" spans="1:16" x14ac:dyDescent="0.3">
      <c r="A30" t="s">
        <v>27</v>
      </c>
      <c r="C30" s="5">
        <v>150</v>
      </c>
      <c r="D30" s="5">
        <v>160</v>
      </c>
      <c r="E30" s="5">
        <v>168</v>
      </c>
      <c r="F30" s="5">
        <v>175</v>
      </c>
      <c r="G30" s="5">
        <v>183</v>
      </c>
      <c r="H30" s="5">
        <v>190</v>
      </c>
    </row>
    <row r="31" spans="1:16" x14ac:dyDescent="0.3">
      <c r="A31" t="s">
        <v>28</v>
      </c>
      <c r="C31" s="5">
        <v>160</v>
      </c>
      <c r="D31" s="5">
        <v>168</v>
      </c>
      <c r="E31" s="5">
        <v>175</v>
      </c>
      <c r="F31" s="5">
        <v>183</v>
      </c>
      <c r="G31" s="5">
        <v>190</v>
      </c>
      <c r="H31" s="5">
        <v>198</v>
      </c>
    </row>
    <row r="33" spans="1:9" x14ac:dyDescent="0.3">
      <c r="A33" t="s">
        <v>29</v>
      </c>
      <c r="B33" t="s">
        <v>30</v>
      </c>
    </row>
    <row r="34" spans="1:9" ht="22" x14ac:dyDescent="0.3">
      <c r="A34" t="s">
        <v>66</v>
      </c>
      <c r="B34" s="2" t="s">
        <v>81</v>
      </c>
      <c r="I34" s="3"/>
    </row>
    <row r="35" spans="1:9" ht="22" x14ac:dyDescent="0.3">
      <c r="A35" t="s">
        <v>67</v>
      </c>
      <c r="B35" s="2" t="s">
        <v>82</v>
      </c>
      <c r="I35" s="3"/>
    </row>
    <row r="36" spans="1:9" ht="22" x14ac:dyDescent="0.3">
      <c r="A36" t="s">
        <v>68</v>
      </c>
      <c r="B36" s="2" t="s">
        <v>83</v>
      </c>
      <c r="I36" s="3"/>
    </row>
    <row r="37" spans="1:9" ht="22" x14ac:dyDescent="0.3">
      <c r="A37" t="s">
        <v>31</v>
      </c>
      <c r="B37" s="2" t="s">
        <v>77</v>
      </c>
      <c r="I37" s="3"/>
    </row>
    <row r="38" spans="1:9" ht="22" x14ac:dyDescent="0.3">
      <c r="A38" t="s">
        <v>32</v>
      </c>
      <c r="I38" s="3"/>
    </row>
    <row r="39" spans="1:9" x14ac:dyDescent="0.3">
      <c r="A39" t="s">
        <v>33</v>
      </c>
    </row>
    <row r="40" spans="1:9" x14ac:dyDescent="0.3">
      <c r="A40" t="s">
        <v>34</v>
      </c>
      <c r="B40">
        <v>43</v>
      </c>
    </row>
    <row r="41" spans="1:9" x14ac:dyDescent="0.3">
      <c r="A41" t="s">
        <v>35</v>
      </c>
      <c r="B41">
        <v>47</v>
      </c>
    </row>
    <row r="42" spans="1:9" x14ac:dyDescent="0.3">
      <c r="A42" t="s">
        <v>36</v>
      </c>
    </row>
    <row r="43" spans="1:9" x14ac:dyDescent="0.3">
      <c r="A43" t="s">
        <v>37</v>
      </c>
    </row>
    <row r="44" spans="1:9" x14ac:dyDescent="0.3">
      <c r="A44" t="s">
        <v>38</v>
      </c>
    </row>
    <row r="45" spans="1:9" x14ac:dyDescent="0.3">
      <c r="A45" t="s">
        <v>39</v>
      </c>
    </row>
    <row r="46" spans="1:9" x14ac:dyDescent="0.3">
      <c r="A46" t="s">
        <v>40</v>
      </c>
      <c r="B46">
        <v>142</v>
      </c>
    </row>
    <row r="47" spans="1:9" x14ac:dyDescent="0.3">
      <c r="A47" t="s">
        <v>41</v>
      </c>
      <c r="B47">
        <v>100</v>
      </c>
    </row>
    <row r="48" spans="1:9" x14ac:dyDescent="0.3">
      <c r="A48" t="s">
        <v>71</v>
      </c>
      <c r="B48" s="2">
        <v>44</v>
      </c>
    </row>
    <row r="49" spans="1:2" x14ac:dyDescent="0.3">
      <c r="A49" t="s">
        <v>72</v>
      </c>
      <c r="B49" s="2" t="s">
        <v>115</v>
      </c>
    </row>
    <row r="50" spans="1:2" x14ac:dyDescent="0.3">
      <c r="A50" t="s">
        <v>73</v>
      </c>
      <c r="B50" s="2" t="s">
        <v>116</v>
      </c>
    </row>
    <row r="51" spans="1:2" x14ac:dyDescent="0.3">
      <c r="A51" t="s">
        <v>74</v>
      </c>
    </row>
    <row r="52" spans="1:2" x14ac:dyDescent="0.3">
      <c r="A52" t="s">
        <v>75</v>
      </c>
    </row>
    <row r="53" spans="1:2" x14ac:dyDescent="0.3">
      <c r="A53" t="s">
        <v>76</v>
      </c>
      <c r="B53" s="2" t="s">
        <v>111</v>
      </c>
    </row>
    <row r="54" spans="1:2" x14ac:dyDescent="0.3">
      <c r="A54" t="s">
        <v>42</v>
      </c>
      <c r="B54" s="2" t="s">
        <v>114</v>
      </c>
    </row>
    <row r="55" spans="1:2" x14ac:dyDescent="0.3">
      <c r="A55" t="s">
        <v>43</v>
      </c>
    </row>
    <row r="56" spans="1:2" x14ac:dyDescent="0.3">
      <c r="A56" t="s">
        <v>44</v>
      </c>
      <c r="B56">
        <v>27.2</v>
      </c>
    </row>
    <row r="57" spans="1:2" x14ac:dyDescent="0.3">
      <c r="A57" t="s">
        <v>45</v>
      </c>
      <c r="B57" s="2" t="s">
        <v>113</v>
      </c>
    </row>
    <row r="58" spans="1:2" x14ac:dyDescent="0.3">
      <c r="A58" t="s">
        <v>46</v>
      </c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  <c r="B63" s="2"/>
    </row>
    <row r="64" spans="1:2" x14ac:dyDescent="0.3">
      <c r="A64" t="s">
        <v>52</v>
      </c>
      <c r="B64" s="2"/>
    </row>
    <row r="65" spans="1:2" x14ac:dyDescent="0.3">
      <c r="A65" t="s">
        <v>53</v>
      </c>
    </row>
    <row r="66" spans="1:2" x14ac:dyDescent="0.3">
      <c r="A66" t="s">
        <v>54</v>
      </c>
    </row>
    <row r="67" spans="1:2" x14ac:dyDescent="0.3">
      <c r="A67" t="s">
        <v>55</v>
      </c>
      <c r="B67">
        <v>2</v>
      </c>
    </row>
    <row r="68" spans="1:2" x14ac:dyDescent="0.3">
      <c r="A68" t="s">
        <v>56</v>
      </c>
    </row>
    <row r="69" spans="1:2" x14ac:dyDescent="0.3">
      <c r="A69" t="s">
        <v>57</v>
      </c>
      <c r="B69">
        <v>1</v>
      </c>
    </row>
    <row r="70" spans="1:2" x14ac:dyDescent="0.3">
      <c r="A70" t="s">
        <v>58</v>
      </c>
      <c r="B70">
        <v>3</v>
      </c>
    </row>
    <row r="71" spans="1:2" x14ac:dyDescent="0.3">
      <c r="A71" t="s">
        <v>59</v>
      </c>
      <c r="B71" s="2" t="s">
        <v>113</v>
      </c>
    </row>
    <row r="72" spans="1:2" x14ac:dyDescent="0.3">
      <c r="A72" t="s">
        <v>60</v>
      </c>
      <c r="B72" s="2"/>
    </row>
    <row r="73" spans="1:2" x14ac:dyDescent="0.3">
      <c r="A73" t="s">
        <v>61</v>
      </c>
      <c r="B73" s="2" t="s">
        <v>113</v>
      </c>
    </row>
    <row r="74" spans="1:2" x14ac:dyDescent="0.3">
      <c r="A74" t="s">
        <v>62</v>
      </c>
      <c r="B74">
        <v>2500</v>
      </c>
    </row>
    <row r="75" spans="1:2" x14ac:dyDescent="0.3">
      <c r="A75" t="s">
        <v>63</v>
      </c>
      <c r="B75">
        <v>5200</v>
      </c>
    </row>
    <row r="76" spans="1:2" x14ac:dyDescent="0.3">
      <c r="A76" t="s">
        <v>64</v>
      </c>
    </row>
    <row r="77" spans="1:2" x14ac:dyDescent="0.3">
      <c r="A77" t="s">
        <v>65</v>
      </c>
      <c r="B77" s="2" t="s">
        <v>69</v>
      </c>
    </row>
    <row r="78" spans="1:2" x14ac:dyDescent="0.3">
      <c r="A78" t="s">
        <v>70</v>
      </c>
      <c r="B78" s="2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2025-11-10T11:11:21Z</dcterms:modified>
</cp:coreProperties>
</file>