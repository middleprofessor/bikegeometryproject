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E18D7C6-6C44-8847-9678-ED02CA361282}" xr6:coauthVersionLast="47" xr6:coauthVersionMax="47" xr10:uidLastSave="{00000000-0000-0000-0000-000000000000}"/>
  <bookViews>
    <workbookView xWindow="28640" yWindow="-22480" windowWidth="31340" windowHeight="20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I34" i="1"/>
  <c r="J34" i="1"/>
  <c r="E35" i="1"/>
  <c r="E37" i="1" s="1"/>
  <c r="F35" i="1"/>
  <c r="F37" i="1" s="1"/>
  <c r="G35" i="1"/>
  <c r="G37" i="1" s="1"/>
  <c r="H35" i="1"/>
  <c r="H37" i="1" s="1"/>
  <c r="I35" i="1"/>
  <c r="I37" i="1" s="1"/>
  <c r="J35" i="1"/>
  <c r="J37" i="1" s="1"/>
  <c r="D35" i="1"/>
  <c r="D37" i="1" s="1"/>
  <c r="D34" i="1"/>
  <c r="E36" i="1"/>
  <c r="F36" i="1"/>
  <c r="G36" i="1"/>
  <c r="H36" i="1"/>
  <c r="I36" i="1"/>
  <c r="J36" i="1"/>
  <c r="E38" i="1"/>
  <c r="F38" i="1"/>
  <c r="G38" i="1"/>
  <c r="H38" i="1"/>
  <c r="I38" i="1"/>
  <c r="J38" i="1"/>
  <c r="D38" i="1"/>
  <c r="D36" i="1"/>
</calcChain>
</file>

<file path=xl/sharedStrings.xml><?xml version="1.0" encoding="utf-8"?>
<sst xmlns="http://schemas.openxmlformats.org/spreadsheetml/2006/main" count="122" uniqueCount="109">
  <si>
    <t>brand</t>
  </si>
  <si>
    <t>Argonaut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</si>
  <si>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</si>
  <si>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</si>
  <si>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</si>
  <si>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</si>
  <si>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</si>
  <si>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</si>
  <si>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</si>
  <si>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</si>
  <si>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chainstay_length</t>
  </si>
  <si>
    <t>bottom_bracket_drop</t>
  </si>
  <si>
    <t>seat_tube_length</t>
  </si>
  <si>
    <t>top_tube_effective_length</t>
  </si>
  <si>
    <t>top_tube_angle</t>
  </si>
  <si>
    <t>head_tube_length</t>
  </si>
  <si>
    <t>stack</t>
  </si>
  <si>
    <t>reach</t>
  </si>
  <si>
    <t>fork_offset_rake</t>
  </si>
  <si>
    <t>axle_crown</t>
  </si>
  <si>
    <t>wheelbase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</si>
  <si>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</si>
  <si>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</si>
  <si>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</si>
  <si>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</si>
  <si>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</si>
  <si>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</si>
  <si>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</si>
  <si>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</si>
  <si>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</si>
  <si>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</si>
  <si>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</si>
  <si>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</si>
  <si>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</si>
  <si>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</si>
  <si>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</si>
  <si>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</si>
  <si>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</si>
  <si>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</si>
  <si>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</si>
  <si>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</si>
  <si>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</si>
  <si>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</si>
  <si>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</si>
  <si>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</si>
  <si>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</si>
  <si>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</si>
  <si>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</si>
  <si>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</si>
  <si>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</si>
  <si>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</si>
  <si>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</si>
  <si>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</si>
  <si>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</si>
  <si>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</si>
  <si>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</si>
  <si>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</si>
  <si>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</si>
  <si>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</si>
  <si>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</si>
  <si>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</si>
  <si>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</si>
  <si>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</si>
  <si>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</si>
  <si>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</si>
  <si>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</si>
  <si>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</si>
  <si>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</si>
  <si>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</si>
  <si>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</si>
  <si>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</si>
  <si>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</si>
  <si>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</si>
  <si>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</si>
  <si>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</si>
  <si>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https://argonautcycles.com/supernaut-gr3/</t>
  </si>
  <si>
    <t>yes</t>
  </si>
  <si>
    <t xml:space="preserve">Supernaut GR3 </t>
  </si>
  <si>
    <t>internal</t>
  </si>
  <si>
    <t>Measurement</t>
  </si>
  <si>
    <t>Head Tube Angle</t>
  </si>
  <si>
    <t>Seat Tube Angle</t>
  </si>
  <si>
    <t>Chainstay</t>
  </si>
  <si>
    <t>Bottom Bracket Drop</t>
  </si>
  <si>
    <t>Seat Tube Length C-T</t>
  </si>
  <si>
    <t>Effective Top Tube</t>
  </si>
  <si>
    <t>Top Tube Angle</t>
  </si>
  <si>
    <t>Head Tube Length</t>
  </si>
  <si>
    <t>Stack</t>
  </si>
  <si>
    <t>Reach</t>
  </si>
  <si>
    <t>Fork Rake</t>
  </si>
  <si>
    <t>Fork C.t.A.</t>
  </si>
  <si>
    <t>Trail</t>
  </si>
  <si>
    <t>trail</t>
  </si>
  <si>
    <t>a8:j32</t>
  </si>
  <si>
    <t>https://argonautcycles.com/wp-content/uploads/2024/11/supernaut_home_small_GR3-scaled.jpg</t>
  </si>
  <si>
    <t>USD</t>
  </si>
  <si>
    <t>location</t>
  </si>
  <si>
    <t>Bend, Oregon, USA</t>
  </si>
  <si>
    <t>head_tube_d</t>
  </si>
  <si>
    <t>headset_upper</t>
  </si>
  <si>
    <t>headset_lower</t>
  </si>
  <si>
    <t>fork_steerer</t>
  </si>
  <si>
    <t>fork_steerer_d</t>
  </si>
  <si>
    <t>fork_material</t>
  </si>
  <si>
    <t>head.v</t>
  </si>
  <si>
    <t>fork.v</t>
  </si>
  <si>
    <t>fork angle</t>
  </si>
  <si>
    <t>*argonaut has 526 for the 545 frame. See calc 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</si>
</sst>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tabSelected="1" topLeftCell="A15" workbookViewId="0">
      <selection activeCell="I43" sqref="I4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77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3">
        <v>45888</v>
      </c>
    </row>
    <row r="5" spans="1:10" x14ac:dyDescent="0.3">
      <c r="A5" t="s">
        <v>5</v>
      </c>
      <c r="B5" t="s">
        <v>75</v>
      </c>
    </row>
    <row r="6" spans="1:10" x14ac:dyDescent="0.3">
      <c r="B6" t="s">
        <v>95</v>
      </c>
    </row>
    <row r="7" spans="1:10" x14ac:dyDescent="0.3">
      <c r="A7" t="s">
        <v>6</v>
      </c>
      <c r="B7" s="1" t="s">
        <v>94</v>
      </c>
    </row>
    <row r="8" spans="1:10" x14ac:dyDescent="0.3">
      <c r="A8" t="s">
        <v>7</v>
      </c>
      <c r="B8" s="2" t="s">
        <v>79</v>
      </c>
      <c r="C8">
        <v>505</v>
      </c>
      <c r="D8">
        <v>515</v>
      </c>
      <c r="E8">
        <v>530</v>
      </c>
      <c r="F8">
        <v>545</v>
      </c>
      <c r="G8">
        <v>560</v>
      </c>
      <c r="H8">
        <v>575</v>
      </c>
      <c r="I8">
        <v>590</v>
      </c>
      <c r="J8">
        <v>605</v>
      </c>
    </row>
    <row r="9" spans="1:10" x14ac:dyDescent="0.3">
      <c r="A9" t="s">
        <v>8</v>
      </c>
      <c r="B9" t="s">
        <v>80</v>
      </c>
      <c r="C9">
        <v>68</v>
      </c>
      <c r="D9">
        <v>68.5</v>
      </c>
      <c r="E9">
        <v>68.5</v>
      </c>
      <c r="F9">
        <v>68.5</v>
      </c>
      <c r="G9">
        <v>68.5</v>
      </c>
      <c r="H9">
        <v>68.5</v>
      </c>
      <c r="I9">
        <v>68.5</v>
      </c>
      <c r="J9">
        <v>68.5</v>
      </c>
    </row>
    <row r="10" spans="1:10" x14ac:dyDescent="0.3">
      <c r="A10" t="s">
        <v>9</v>
      </c>
      <c r="B10" t="s">
        <v>81</v>
      </c>
      <c r="C10">
        <v>74</v>
      </c>
      <c r="D10">
        <v>74</v>
      </c>
      <c r="E10">
        <v>74</v>
      </c>
      <c r="F10">
        <v>73.5</v>
      </c>
      <c r="G10">
        <v>73</v>
      </c>
      <c r="H10">
        <v>73</v>
      </c>
      <c r="I10">
        <v>73</v>
      </c>
      <c r="J10">
        <v>73</v>
      </c>
    </row>
    <row r="11" spans="1:10" x14ac:dyDescent="0.3">
      <c r="A11" t="s">
        <v>10</v>
      </c>
      <c r="B11" t="s">
        <v>82</v>
      </c>
      <c r="C11">
        <v>415</v>
      </c>
      <c r="D11">
        <v>415</v>
      </c>
      <c r="E11">
        <v>415</v>
      </c>
      <c r="F11">
        <v>415</v>
      </c>
      <c r="G11">
        <v>415</v>
      </c>
      <c r="H11">
        <v>415</v>
      </c>
      <c r="I11">
        <v>415</v>
      </c>
      <c r="J11">
        <v>415</v>
      </c>
    </row>
    <row r="12" spans="1:10" x14ac:dyDescent="0.3">
      <c r="A12" t="s">
        <v>11</v>
      </c>
      <c r="B12" t="s">
        <v>83</v>
      </c>
      <c r="C12">
        <v>77</v>
      </c>
      <c r="D12">
        <v>77</v>
      </c>
      <c r="E12">
        <v>77</v>
      </c>
      <c r="F12">
        <v>75</v>
      </c>
      <c r="G12">
        <v>75</v>
      </c>
      <c r="H12">
        <v>75</v>
      </c>
      <c r="I12">
        <v>73</v>
      </c>
      <c r="J12">
        <v>73</v>
      </c>
    </row>
    <row r="13" spans="1:10" x14ac:dyDescent="0.3">
      <c r="A13" t="s">
        <v>12</v>
      </c>
      <c r="B13" t="s">
        <v>84</v>
      </c>
      <c r="C13">
        <v>451</v>
      </c>
      <c r="D13">
        <v>477</v>
      </c>
      <c r="E13">
        <v>477</v>
      </c>
      <c r="F13">
        <v>493</v>
      </c>
      <c r="G13">
        <v>502</v>
      </c>
      <c r="H13">
        <v>509</v>
      </c>
      <c r="I13">
        <v>548</v>
      </c>
      <c r="J13">
        <v>570</v>
      </c>
    </row>
    <row r="14" spans="1:10" x14ac:dyDescent="0.3">
      <c r="A14" t="s">
        <v>13</v>
      </c>
      <c r="B14" t="s">
        <v>85</v>
      </c>
      <c r="C14">
        <v>505</v>
      </c>
      <c r="D14">
        <v>515</v>
      </c>
      <c r="E14">
        <v>530</v>
      </c>
      <c r="F14">
        <v>545</v>
      </c>
      <c r="G14">
        <v>560</v>
      </c>
      <c r="H14">
        <v>575</v>
      </c>
      <c r="I14">
        <v>590</v>
      </c>
      <c r="J14">
        <v>605</v>
      </c>
    </row>
    <row r="15" spans="1:10" x14ac:dyDescent="0.3">
      <c r="A15" t="s">
        <v>14</v>
      </c>
      <c r="B15" t="s">
        <v>86</v>
      </c>
      <c r="C15">
        <v>10.5</v>
      </c>
      <c r="D15">
        <v>8.5</v>
      </c>
      <c r="E15">
        <v>10</v>
      </c>
      <c r="F15">
        <v>10</v>
      </c>
      <c r="G15">
        <v>10</v>
      </c>
      <c r="H15">
        <v>10</v>
      </c>
      <c r="I15">
        <v>9</v>
      </c>
      <c r="J15">
        <v>9</v>
      </c>
    </row>
    <row r="16" spans="1:10" x14ac:dyDescent="0.3">
      <c r="A16" t="s">
        <v>15</v>
      </c>
      <c r="B16" t="s">
        <v>87</v>
      </c>
      <c r="C16">
        <v>100</v>
      </c>
      <c r="D16">
        <v>110</v>
      </c>
      <c r="E16">
        <v>130</v>
      </c>
      <c r="F16">
        <v>150</v>
      </c>
      <c r="G16">
        <v>160</v>
      </c>
      <c r="H16">
        <v>170</v>
      </c>
      <c r="I16">
        <v>205</v>
      </c>
      <c r="J16">
        <v>230</v>
      </c>
    </row>
    <row r="17" spans="1:11" x14ac:dyDescent="0.3">
      <c r="A17" t="s">
        <v>16</v>
      </c>
      <c r="B17" t="s">
        <v>88</v>
      </c>
      <c r="C17">
        <v>515</v>
      </c>
      <c r="D17">
        <v>527</v>
      </c>
      <c r="E17">
        <v>546</v>
      </c>
      <c r="F17">
        <v>562</v>
      </c>
      <c r="G17">
        <v>571</v>
      </c>
      <c r="H17">
        <v>581</v>
      </c>
      <c r="I17">
        <v>611</v>
      </c>
      <c r="J17">
        <v>635</v>
      </c>
      <c r="K17" s="1" t="s">
        <v>108</v>
      </c>
    </row>
    <row r="18" spans="1:11" x14ac:dyDescent="0.3">
      <c r="A18" t="s">
        <v>17</v>
      </c>
      <c r="B18" t="s">
        <v>89</v>
      </c>
      <c r="C18">
        <v>357</v>
      </c>
      <c r="D18">
        <v>364</v>
      </c>
      <c r="E18">
        <v>374</v>
      </c>
      <c r="F18">
        <v>379</v>
      </c>
      <c r="G18">
        <v>385</v>
      </c>
      <c r="H18">
        <v>397</v>
      </c>
      <c r="I18">
        <v>403</v>
      </c>
      <c r="J18">
        <v>411</v>
      </c>
    </row>
    <row r="19" spans="1:11" x14ac:dyDescent="0.3">
      <c r="A19" t="s">
        <v>18</v>
      </c>
      <c r="B19" t="s">
        <v>90</v>
      </c>
      <c r="C19">
        <v>57</v>
      </c>
      <c r="D19">
        <v>57</v>
      </c>
      <c r="E19">
        <v>57</v>
      </c>
      <c r="F19">
        <v>57</v>
      </c>
      <c r="G19">
        <v>57</v>
      </c>
      <c r="H19">
        <v>57</v>
      </c>
      <c r="I19">
        <v>57</v>
      </c>
      <c r="J19">
        <v>57</v>
      </c>
    </row>
    <row r="20" spans="1:11" x14ac:dyDescent="0.3">
      <c r="A20" t="s">
        <v>19</v>
      </c>
      <c r="B20" t="s">
        <v>91</v>
      </c>
      <c r="C20">
        <v>395</v>
      </c>
      <c r="D20">
        <v>395</v>
      </c>
      <c r="E20">
        <v>395</v>
      </c>
      <c r="F20">
        <v>395</v>
      </c>
      <c r="G20">
        <v>395</v>
      </c>
      <c r="H20">
        <v>395</v>
      </c>
      <c r="I20">
        <v>395</v>
      </c>
      <c r="J20">
        <v>395</v>
      </c>
    </row>
    <row r="21" spans="1:11" x14ac:dyDescent="0.3">
      <c r="A21" s="1" t="s">
        <v>93</v>
      </c>
      <c r="B21" t="s">
        <v>92</v>
      </c>
      <c r="C21">
        <v>77.7</v>
      </c>
      <c r="D21">
        <v>74.400000000000006</v>
      </c>
      <c r="E21">
        <v>74.400000000000006</v>
      </c>
      <c r="F21">
        <v>74.400000000000006</v>
      </c>
      <c r="G21">
        <v>74.400000000000006</v>
      </c>
      <c r="H21">
        <v>74.400000000000006</v>
      </c>
      <c r="I21">
        <v>74.400000000000006</v>
      </c>
      <c r="J21">
        <v>74.400000000000006</v>
      </c>
    </row>
    <row r="22" spans="1:11" x14ac:dyDescent="0.3">
      <c r="A22" t="s">
        <v>20</v>
      </c>
    </row>
    <row r="23" spans="1:11" x14ac:dyDescent="0.3">
      <c r="A23" t="s">
        <v>21</v>
      </c>
      <c r="B23" t="s">
        <v>21</v>
      </c>
    </row>
    <row r="24" spans="1:11" x14ac:dyDescent="0.3">
      <c r="A24" t="s">
        <v>22</v>
      </c>
      <c r="B24" t="s">
        <v>22</v>
      </c>
    </row>
    <row r="25" spans="1:11" x14ac:dyDescent="0.3">
      <c r="A25" t="s">
        <v>23</v>
      </c>
      <c r="B25" t="s">
        <v>23</v>
      </c>
    </row>
    <row r="26" spans="1:11" x14ac:dyDescent="0.3">
      <c r="A26" t="s">
        <v>24</v>
      </c>
      <c r="B26" t="s">
        <v>24</v>
      </c>
    </row>
    <row r="27" spans="1:11" x14ac:dyDescent="0.3">
      <c r="A27" t="s">
        <v>25</v>
      </c>
      <c r="D27">
        <v>940</v>
      </c>
    </row>
    <row r="28" spans="1:11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1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1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1" x14ac:dyDescent="0.3">
      <c r="A31" t="s">
        <v>29</v>
      </c>
      <c r="B31" t="s">
        <v>29</v>
      </c>
    </row>
    <row r="32" spans="1:11" x14ac:dyDescent="0.3">
      <c r="A32" t="s">
        <v>30</v>
      </c>
      <c r="B32" t="s">
        <v>30</v>
      </c>
    </row>
    <row r="34" spans="1:10" x14ac:dyDescent="0.3">
      <c r="A34" t="s">
        <v>31</v>
      </c>
      <c r="B34" t="s">
        <v>32</v>
      </c>
      <c r="C34" s="1" t="s">
        <v>107</v>
      </c>
      <c r="D34">
        <f>D9 - ATAN(D19/D20)*180/PI()</f>
        <v>60.288684688874845</v>
      </c>
      <c r="E34">
        <f>E9 - ATAN(E19/E20)*180/PI()</f>
        <v>60.288684688874845</v>
      </c>
      <c r="F34">
        <f>F9 - ATAN(F19/F20)*180/PI()</f>
        <v>60.288684688874845</v>
      </c>
      <c r="G34">
        <f>G9 - ATAN(G19/G20)*180/PI()</f>
        <v>60.288684688874845</v>
      </c>
      <c r="H34">
        <f>H9 - ATAN(H19/H20)*180/PI()</f>
        <v>60.288684688874845</v>
      </c>
      <c r="I34">
        <f>I9 - ATAN(I19/I20)*180/PI()</f>
        <v>60.288684688874845</v>
      </c>
      <c r="J34">
        <f>J9 - ATAN(J19/J20)*180/PI()</f>
        <v>60.288684688874845</v>
      </c>
    </row>
    <row r="35" spans="1:10" x14ac:dyDescent="0.3">
      <c r="A35" t="s">
        <v>69</v>
      </c>
      <c r="B35" t="s">
        <v>70</v>
      </c>
      <c r="C35" s="1" t="s">
        <v>106</v>
      </c>
      <c r="D35">
        <f>D20*SIN(D34*PI()/180)</f>
        <v>343.07079161060665</v>
      </c>
      <c r="E35">
        <f>E20*SIN(E34*PI()/180)</f>
        <v>343.07079161060665</v>
      </c>
      <c r="F35">
        <f>F20*SIN(F34*PI()/180)</f>
        <v>343.07079161060665</v>
      </c>
      <c r="G35">
        <f>G20*SIN(G34*PI()/180)</f>
        <v>343.07079161060665</v>
      </c>
      <c r="H35">
        <f>H20*SIN(H34*PI()/180)</f>
        <v>343.07079161060665</v>
      </c>
      <c r="I35">
        <f>I20*SIN(I34*PI()/180)</f>
        <v>343.07079161060665</v>
      </c>
      <c r="J35">
        <f>J20*SIN(J34*PI()/180)</f>
        <v>343.07079161060665</v>
      </c>
    </row>
    <row r="36" spans="1:10" x14ac:dyDescent="0.3">
      <c r="A36" t="s">
        <v>71</v>
      </c>
      <c r="B36" t="s">
        <v>72</v>
      </c>
      <c r="C36" s="1" t="s">
        <v>105</v>
      </c>
      <c r="D36">
        <f>D16*SIN(D9*PI()/180)</f>
        <v>102.3459324780227</v>
      </c>
      <c r="E36">
        <f>E16*SIN(E9*PI()/180)</f>
        <v>120.9542838376632</v>
      </c>
      <c r="F36">
        <f>F16*SIN(F9*PI()/180)</f>
        <v>139.56263519730368</v>
      </c>
      <c r="G36">
        <f>G16*SIN(G9*PI()/180)</f>
        <v>148.86681087712392</v>
      </c>
      <c r="H36">
        <f>H16*SIN(H9*PI()/180)</f>
        <v>158.17098655694417</v>
      </c>
      <c r="I36">
        <f>I16*SIN(I9*PI()/180)</f>
        <v>190.73560143631505</v>
      </c>
      <c r="J36">
        <f>J16*SIN(J9*PI()/180)</f>
        <v>213.99604063586565</v>
      </c>
    </row>
    <row r="37" spans="1:10" x14ac:dyDescent="0.3">
      <c r="A37" t="s">
        <v>73</v>
      </c>
      <c r="B37" t="s">
        <v>74</v>
      </c>
      <c r="C37" s="1" t="s">
        <v>16</v>
      </c>
      <c r="D37" s="1">
        <f>D35+D36+D12 + 4.5</f>
        <v>526.91672408862928</v>
      </c>
      <c r="E37" s="1">
        <f>E35+E36+E12 + 4.5</f>
        <v>545.52507544826983</v>
      </c>
      <c r="F37" s="1">
        <f>F35+F36+F12 + 4.5</f>
        <v>562.13342680791038</v>
      </c>
      <c r="G37" s="1">
        <f>G35+G36+G12 + 4.5</f>
        <v>571.4376024877306</v>
      </c>
      <c r="H37" s="1">
        <f>H35+H36+H12 + 4.5</f>
        <v>580.74177816755082</v>
      </c>
      <c r="I37" s="1">
        <f>I35+I36+I12 + 4.5</f>
        <v>611.3063930469217</v>
      </c>
      <c r="J37" s="1">
        <f>J35+J36+J12 + 4.5</f>
        <v>634.56683224647236</v>
      </c>
    </row>
    <row r="38" spans="1:10" x14ac:dyDescent="0.3">
      <c r="A38" t="s">
        <v>33</v>
      </c>
      <c r="B38" t="s">
        <v>34</v>
      </c>
      <c r="C38" s="1" t="s">
        <v>16</v>
      </c>
      <c r="D38">
        <f>D17</f>
        <v>527</v>
      </c>
      <c r="E38">
        <f>E17</f>
        <v>546</v>
      </c>
      <c r="F38">
        <f>F17</f>
        <v>562</v>
      </c>
      <c r="G38">
        <f>G17</f>
        <v>571</v>
      </c>
      <c r="H38">
        <f>H17</f>
        <v>581</v>
      </c>
      <c r="I38">
        <f>I17</f>
        <v>611</v>
      </c>
      <c r="J38">
        <f>J17</f>
        <v>635</v>
      </c>
    </row>
    <row r="39" spans="1:10" x14ac:dyDescent="0.3">
      <c r="A39" t="s">
        <v>35</v>
      </c>
      <c r="B39" s="1" t="s">
        <v>76</v>
      </c>
    </row>
    <row r="40" spans="1:10" x14ac:dyDescent="0.3">
      <c r="A40" t="s">
        <v>36</v>
      </c>
    </row>
    <row r="41" spans="1:10" x14ac:dyDescent="0.3">
      <c r="A41" t="s">
        <v>37</v>
      </c>
      <c r="B41">
        <v>50</v>
      </c>
    </row>
    <row r="42" spans="1:10" x14ac:dyDescent="0.3">
      <c r="A42" t="s">
        <v>38</v>
      </c>
    </row>
    <row r="43" spans="1:10" x14ac:dyDescent="0.3">
      <c r="A43" t="s">
        <v>39</v>
      </c>
    </row>
    <row r="44" spans="1:10" x14ac:dyDescent="0.3">
      <c r="A44" t="s">
        <v>40</v>
      </c>
    </row>
    <row r="45" spans="1:10" x14ac:dyDescent="0.3">
      <c r="A45" t="s">
        <v>41</v>
      </c>
    </row>
    <row r="46" spans="1:10" x14ac:dyDescent="0.3">
      <c r="A46" t="s">
        <v>42</v>
      </c>
    </row>
    <row r="47" spans="1:10" x14ac:dyDescent="0.3">
      <c r="A47" t="s">
        <v>43</v>
      </c>
      <c r="B47">
        <v>142</v>
      </c>
    </row>
    <row r="48" spans="1:10" x14ac:dyDescent="0.3">
      <c r="A48" t="s">
        <v>44</v>
      </c>
      <c r="B48">
        <v>100</v>
      </c>
    </row>
    <row r="49" spans="1:2" x14ac:dyDescent="0.3">
      <c r="A49" t="s">
        <v>99</v>
      </c>
    </row>
    <row r="50" spans="1:2" x14ac:dyDescent="0.3">
      <c r="A50" t="s">
        <v>100</v>
      </c>
    </row>
    <row r="51" spans="1:2" x14ac:dyDescent="0.3">
      <c r="A51" t="s">
        <v>101</v>
      </c>
    </row>
    <row r="52" spans="1:2" x14ac:dyDescent="0.3">
      <c r="A52" t="s">
        <v>102</v>
      </c>
    </row>
    <row r="53" spans="1:2" x14ac:dyDescent="0.3">
      <c r="A53" t="s">
        <v>103</v>
      </c>
    </row>
    <row r="54" spans="1:2" x14ac:dyDescent="0.3">
      <c r="A54" t="s">
        <v>104</v>
      </c>
    </row>
    <row r="55" spans="1:2" x14ac:dyDescent="0.3">
      <c r="A55" t="s">
        <v>45</v>
      </c>
    </row>
    <row r="56" spans="1:2" x14ac:dyDescent="0.3">
      <c r="A56" t="s">
        <v>46</v>
      </c>
    </row>
    <row r="57" spans="1:2" x14ac:dyDescent="0.3">
      <c r="A57" t="s">
        <v>47</v>
      </c>
    </row>
    <row r="58" spans="1:2" x14ac:dyDescent="0.3">
      <c r="A58" t="s">
        <v>48</v>
      </c>
    </row>
    <row r="59" spans="1:2" x14ac:dyDescent="0.3">
      <c r="A59" t="s">
        <v>49</v>
      </c>
      <c r="B59">
        <v>48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78</v>
      </c>
    </row>
    <row r="65" spans="1:2" x14ac:dyDescent="0.3">
      <c r="A65" t="s">
        <v>55</v>
      </c>
      <c r="B65" s="1"/>
    </row>
    <row r="66" spans="1:2" x14ac:dyDescent="0.3">
      <c r="A66" t="s">
        <v>56</v>
      </c>
    </row>
    <row r="67" spans="1:2" x14ac:dyDescent="0.3">
      <c r="A67" t="s">
        <v>57</v>
      </c>
    </row>
    <row r="68" spans="1:2" x14ac:dyDescent="0.3">
      <c r="A68" t="s">
        <v>58</v>
      </c>
      <c r="B68">
        <v>2</v>
      </c>
    </row>
    <row r="69" spans="1:2" x14ac:dyDescent="0.3">
      <c r="A69" t="s">
        <v>59</v>
      </c>
      <c r="B69">
        <v>1</v>
      </c>
    </row>
    <row r="70" spans="1:2" x14ac:dyDescent="0.3">
      <c r="A70" t="s">
        <v>60</v>
      </c>
      <c r="B70" s="1" t="s">
        <v>76</v>
      </c>
    </row>
    <row r="71" spans="1:2" x14ac:dyDescent="0.3">
      <c r="A71" t="s">
        <v>61</v>
      </c>
    </row>
    <row r="72" spans="1:2" x14ac:dyDescent="0.3">
      <c r="A72" t="s">
        <v>62</v>
      </c>
    </row>
    <row r="73" spans="1:2" x14ac:dyDescent="0.3">
      <c r="A73" t="s">
        <v>63</v>
      </c>
    </row>
    <row r="74" spans="1:2" x14ac:dyDescent="0.3">
      <c r="A74" t="s">
        <v>64</v>
      </c>
    </row>
    <row r="75" spans="1:2" x14ac:dyDescent="0.3">
      <c r="A75" t="s">
        <v>65</v>
      </c>
    </row>
    <row r="76" spans="1:2" x14ac:dyDescent="0.3">
      <c r="A76" t="s">
        <v>66</v>
      </c>
      <c r="B76">
        <v>18000</v>
      </c>
    </row>
    <row r="77" spans="1:2" x14ac:dyDescent="0.3">
      <c r="A77" t="s">
        <v>67</v>
      </c>
      <c r="B77" s="1" t="s">
        <v>76</v>
      </c>
    </row>
    <row r="78" spans="1:2" x14ac:dyDescent="0.3">
      <c r="A78" t="s">
        <v>68</v>
      </c>
      <c r="B78" s="1" t="s">
        <v>96</v>
      </c>
    </row>
    <row r="79" spans="1:2" x14ac:dyDescent="0.3">
      <c r="A79" t="s">
        <v>97</v>
      </c>
      <c r="B79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2025-11-21T18:28:28Z</dcterms:modified>
</cp:coreProperties>
</file>