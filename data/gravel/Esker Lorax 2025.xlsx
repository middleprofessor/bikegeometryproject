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7598E98-59E7-2743-B8FF-EAAED2A5BB0B}" xr6:coauthVersionLast="47" xr6:coauthVersionMax="47" xr10:uidLastSave="{00000000-0000-0000-0000-000000000000}"/>
  <bookViews>
    <workbookView xWindow="1860" yWindow="500" windowWidth="2694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C16" i="1"/>
  <c r="D31" i="1"/>
  <c r="E31" i="1"/>
  <c r="F31" i="1"/>
  <c r="D32" i="1"/>
  <c r="E32" i="1"/>
  <c r="F32" i="1"/>
  <c r="C31" i="1"/>
  <c r="C32" i="1"/>
  <c r="E33" i="1"/>
  <c r="D34" i="1" s="1"/>
  <c r="F33" i="1"/>
  <c r="E34" i="1" s="1"/>
  <c r="D33" i="1"/>
  <c r="C34" i="1" s="1"/>
  <c r="F34" i="1"/>
  <c r="C33" i="1"/>
</calcChain>
</file>

<file path=xl/sharedStrings.xml><?xml version="1.0" encoding="utf-8"?>
<sst xmlns="http://schemas.openxmlformats.org/spreadsheetml/2006/main" count="132" uniqueCount="124">
  <si>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</si>
  <si>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</si>
  <si>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</si>
  <si>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</si>
  <si>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</si>
  <si>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</si>
  <si>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</si>
  <si>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</si>
  <si>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</si>
  <si>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</si>
  <si>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</si>
  <si>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</si>
  <si>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</si>
  <si>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</si>
  <si>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</si>
  <si>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</si>
  <si>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</si>
  <si>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</si>
  <si>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</si>
  <si>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</si>
  <si>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</si>
  <si>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</si>
  <si>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</si>
  <si>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</si>
  <si>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</si>
  <si>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</si>
  <si>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</si>
  <si>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</si>
  <si>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</si>
  <si>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</si>
  <si>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</si>
  <si>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</si>
  <si>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</si>
  <si>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</si>
  <si>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</si>
  <si>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</si>
  <si>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</si>
  <si>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</si>
  <si>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</si>
  <si>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</si>
  <si>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</si>
  <si>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</si>
  <si>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</si>
  <si>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</si>
  <si>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</si>
  <si>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</si>
  <si>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</si>
  <si>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</si>
  <si>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</si>
  <si>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</si>
  <si>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</si>
  <si>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</si>
  <si>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</si>
  <si>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</si>
  <si>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</si>
  <si>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</si>
  <si>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</si>
  <si>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</si>
  <si>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</si>
  <si>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</si>
  <si>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</si>
  <si>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</si>
  <si>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</si>
  <si>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</si>
  <si>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</si>
  <si>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</si>
  <si>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</si>
  <si>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</si>
  <si>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</si>
  <si>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</si>
  <si>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</si>
  <si>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</si>
  <si>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</si>
  <si>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</si>
  <si>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</si>
  <si>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</si>
  <si>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</si>
  <si>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</si>
  <si>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</si>
  <si>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</si>
  <si>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</si>
  <si>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Chainstay Length - Forward/Fixed Position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</si>
  <si>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</si>
  <si>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</si>
  <si>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</si>
  <si>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</si>
  <si>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</si>
  <si>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</si>
  <si>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</si>
  <si>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</si>
  <si>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</si>
  <si>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</si>
  <si>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Hardtail geometry based on 30% fork sag</t>
  </si>
  <si>
    <t>drop bar</t>
  </si>
  <si>
    <t>frame_weight</t>
  </si>
  <si>
    <t>no</t>
  </si>
  <si>
    <t>threaded 73</t>
  </si>
  <si>
    <t>effectively equal to rigid fork of this length</t>
  </si>
  <si>
    <t>location</t>
  </si>
  <si>
    <t>Minneapolis, Minnesota,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</si>
  <si>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</si>
  <si>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</si>
  <si>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</si>
  <si>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</si>
  <si>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</si>
  <si>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</si>
  <si>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</si>
  <si>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</si>
  <si>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</si>
  <si>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carbon</t>
  </si>
  <si>
    <t>https://eskercycles.com/pages/2025-lorax</t>
  </si>
  <si>
    <t>https://i.shgcdn.com/fcb3b2fb-07ad-4705-afc1-bce1a7f4d97c/-/format/auto/-/quality/normal/-/resize/2048x/</t>
  </si>
  <si>
    <t>ZS44</t>
  </si>
  <si>
    <t>EC44</t>
  </si>
  <si>
    <t>steel</t>
  </si>
  <si>
    <t>chromoly 4130</t>
  </si>
  <si>
    <t>445-459</t>
  </si>
  <si>
    <t>a8:f34</t>
  </si>
  <si>
    <t>Lorax</t>
  </si>
  <si>
    <t>suspension</t>
  </si>
  <si>
    <t>S1/SM</t>
  </si>
  <si>
    <t>S2/MD</t>
  </si>
  <si>
    <t>S3/LG</t>
  </si>
  <si>
    <t>S4/XL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</si>
</sst>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b/>
      <sz val="14"/>
      <color rgb="FF236FA1"/>
      <name val="Avenir Next"/>
      <family val="2"/>
    </font>
    <font>
      <b/>
      <sz val="14"/>
      <color rgb="FF236FA1"/>
      <name val="Inherit"/>
    </font>
    <font>
      <i/>
      <sz val="16"/>
      <color rgb="FF396D87"/>
      <name val="Inherit"/>
    </font>
    <font>
      <sz val="14"/>
      <color rgb="FF396D87"/>
      <name val="Arial"/>
      <family val="2"/>
    </font>
    <font>
      <sz val="16"/>
      <color rgb="FF396D87"/>
      <name val="Arial"/>
      <family val="2"/>
    </font>
    <font>
      <b/>
      <sz val="16"/>
      <color rgb="FF236FA1"/>
      <name val="Arial"/>
      <family val="2"/>
    </font>
    <font>
      <sz val="16"/>
      <color rgb="FF236FA1"/>
      <name val="Inherit"/>
    </font>
    <font>
      <b/>
      <sz val="16"/>
      <color rgb="FF396D87"/>
      <name val="Inherit"/>
    </font>
    <font>
      <i/>
      <sz val="16"/>
      <color rgb="FF396D87"/>
      <name val="Arial"/>
      <family val="2"/>
    </font>
    <font>
      <b/>
      <sz val="16"/>
      <color rgb="FF236FA1"/>
      <name val="Inherit"/>
    </font>
    <font>
      <sz val="14"/>
      <name val="Futura Medium"/>
    </font>
    <font>
      <b/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F8" sqref="F8"/>
    </sheetView>
  </sheetViews>
  <sheetFormatPr baseColWidth="10" defaultRowHeight="20"/>
  <cols>
    <col min="1" max="2" width="19.6640625" customWidth="1"/>
  </cols>
  <sheetData>
    <row r="1" spans="1:14">
      <c r="A1" t="s">
        <v>0</v>
      </c>
      <c r="B1" s="1" t="s">
        <v>73</v>
      </c>
    </row>
    <row r="2" spans="1:14">
      <c r="A2" t="s">
        <v>1</v>
      </c>
      <c r="B2" s="1" t="s">
        <v>118</v>
      </c>
    </row>
    <row r="3" spans="1:14">
      <c r="A3" t="s">
        <v>2</v>
      </c>
      <c r="B3" t="s">
        <v>3</v>
      </c>
    </row>
    <row r="4" spans="1:14">
      <c r="A4" t="s">
        <v>4</v>
      </c>
      <c r="B4" s="2">
        <v>45882</v>
      </c>
    </row>
    <row r="5" spans="1:14">
      <c r="A5" t="s">
        <v>5</v>
      </c>
      <c r="B5" t="s">
        <v>110</v>
      </c>
    </row>
    <row r="6" spans="1:14">
      <c r="B6" t="s">
        <v>111</v>
      </c>
    </row>
    <row r="7" spans="1:14">
      <c r="A7" t="s">
        <v>6</v>
      </c>
      <c r="B7" s="1" t="s">
        <v>117</v>
      </c>
    </row>
    <row r="8" spans="1:14">
      <c r="A8" t="s">
        <v>7</v>
      </c>
      <c r="B8" s="1" t="s">
        <v>7</v>
      </c>
      <c r="C8" s="14" t="s">
        <v>120</v>
      </c>
      <c r="D8" s="14" t="s">
        <v>121</v>
      </c>
      <c r="E8" s="14" t="s">
        <v>122</v>
      </c>
      <c r="F8" s="14" t="s">
        <v>123</v>
      </c>
      <c r="J8" s="7"/>
      <c r="K8" s="7"/>
      <c r="L8" s="7"/>
      <c r="M8" s="7"/>
    </row>
    <row r="9" spans="1:14" ht="22">
      <c r="A9" t="s">
        <v>8</v>
      </c>
      <c r="B9" s="14" t="s">
        <v>74</v>
      </c>
      <c r="C9" s="14">
        <v>537</v>
      </c>
      <c r="D9" s="14">
        <v>560</v>
      </c>
      <c r="E9" s="14">
        <v>587</v>
      </c>
      <c r="F9" s="14">
        <v>610</v>
      </c>
      <c r="G9" s="6" t="s">
        <v>92</v>
      </c>
      <c r="J9" s="8"/>
      <c r="K9" s="9"/>
      <c r="L9" s="9"/>
      <c r="M9" s="9"/>
      <c r="N9" s="10"/>
    </row>
    <row r="10" spans="1:14" ht="22">
      <c r="A10" t="s">
        <v>17</v>
      </c>
      <c r="B10" s="14" t="s">
        <v>75</v>
      </c>
      <c r="C10" s="14">
        <v>365</v>
      </c>
      <c r="D10" s="14">
        <v>380</v>
      </c>
      <c r="E10" s="14">
        <v>390</v>
      </c>
      <c r="F10" s="14">
        <v>405</v>
      </c>
      <c r="J10" s="8"/>
      <c r="K10" s="9"/>
      <c r="L10" s="9"/>
      <c r="M10" s="9"/>
      <c r="N10" s="9"/>
    </row>
    <row r="11" spans="1:14" ht="22">
      <c r="A11" t="s">
        <v>16</v>
      </c>
      <c r="B11" s="14" t="s">
        <v>76</v>
      </c>
      <c r="C11" s="14">
        <v>600</v>
      </c>
      <c r="D11" s="14">
        <v>610</v>
      </c>
      <c r="E11" s="14">
        <v>645</v>
      </c>
      <c r="F11" s="14">
        <v>670</v>
      </c>
      <c r="J11" s="8"/>
      <c r="K11" s="9"/>
      <c r="L11" s="9"/>
      <c r="M11" s="9"/>
      <c r="N11" s="9"/>
    </row>
    <row r="12" spans="1:14" ht="22">
      <c r="A12" t="s">
        <v>14</v>
      </c>
      <c r="B12" s="14" t="s">
        <v>77</v>
      </c>
      <c r="C12" s="14">
        <v>68</v>
      </c>
      <c r="D12" s="14">
        <v>68</v>
      </c>
      <c r="E12" s="14">
        <v>68</v>
      </c>
      <c r="F12" s="14">
        <v>68</v>
      </c>
      <c r="J12" s="8"/>
      <c r="K12" s="9"/>
      <c r="L12" s="9"/>
      <c r="M12" s="9"/>
      <c r="N12" s="9"/>
    </row>
    <row r="13" spans="1:14" ht="22">
      <c r="A13" t="s">
        <v>10</v>
      </c>
      <c r="B13" s="14" t="s">
        <v>78</v>
      </c>
      <c r="C13" s="14">
        <v>90</v>
      </c>
      <c r="D13" s="14">
        <v>100</v>
      </c>
      <c r="E13" s="14">
        <v>138</v>
      </c>
      <c r="F13" s="14">
        <v>165</v>
      </c>
      <c r="J13" s="8"/>
      <c r="K13" s="9"/>
      <c r="L13" s="9"/>
      <c r="M13" s="9"/>
      <c r="N13" s="9"/>
    </row>
    <row r="14" spans="1:14" ht="22">
      <c r="A14" t="s">
        <v>13</v>
      </c>
      <c r="B14" s="14" t="s">
        <v>79</v>
      </c>
      <c r="C14" s="14">
        <v>74</v>
      </c>
      <c r="D14" s="14">
        <v>73.5</v>
      </c>
      <c r="E14" s="14">
        <v>73</v>
      </c>
      <c r="F14" s="14">
        <v>73</v>
      </c>
      <c r="J14" s="8"/>
      <c r="K14" s="9"/>
      <c r="L14" s="9"/>
      <c r="M14" s="9"/>
      <c r="N14" s="9"/>
    </row>
    <row r="15" spans="1:14" ht="22">
      <c r="A15" t="s">
        <v>9</v>
      </c>
      <c r="B15" s="14" t="s">
        <v>80</v>
      </c>
      <c r="C15" s="14">
        <v>400</v>
      </c>
      <c r="D15" s="14">
        <v>460</v>
      </c>
      <c r="E15" s="14">
        <v>510</v>
      </c>
      <c r="F15" s="14">
        <v>560</v>
      </c>
      <c r="J15" s="8"/>
      <c r="K15" s="9"/>
      <c r="L15" s="9"/>
      <c r="M15" s="9"/>
      <c r="N15" s="9"/>
    </row>
    <row r="16" spans="1:14" ht="20" customHeight="1">
      <c r="A16" t="s">
        <v>11</v>
      </c>
      <c r="B16" s="14" t="s">
        <v>81</v>
      </c>
      <c r="C16">
        <f>VALUE(LEFT(G16,3))</f>
        <v>445</v>
      </c>
      <c r="D16">
        <f t="shared" ref="D16:F16" si="0">VALUE(LEFT(H16,3))</f>
        <v>445</v>
      </c>
      <c r="E16">
        <f t="shared" si="0"/>
        <v>445</v>
      </c>
      <c r="F16">
        <f t="shared" si="0"/>
        <v>445</v>
      </c>
      <c r="G16" s="14" t="s">
        <v>116</v>
      </c>
      <c r="H16" s="14" t="s">
        <v>116</v>
      </c>
      <c r="I16" s="14" t="s">
        <v>116</v>
      </c>
      <c r="J16" s="14" t="s">
        <v>116</v>
      </c>
      <c r="K16" s="16"/>
      <c r="L16" s="16"/>
      <c r="M16" s="16"/>
      <c r="N16" s="16"/>
    </row>
    <row r="17" spans="1:14" ht="20" customHeight="1">
      <c r="A17" t="s">
        <v>15</v>
      </c>
      <c r="B17" s="14" t="s">
        <v>82</v>
      </c>
      <c r="C17" s="14">
        <v>44</v>
      </c>
      <c r="D17" s="14">
        <v>44</v>
      </c>
      <c r="E17" s="14">
        <v>44</v>
      </c>
      <c r="F17" s="14">
        <v>44</v>
      </c>
      <c r="J17" s="8"/>
      <c r="K17" s="16"/>
      <c r="L17" s="16"/>
      <c r="M17" s="16"/>
      <c r="N17" s="16"/>
    </row>
    <row r="18" spans="1:14" ht="22">
      <c r="A18" t="s">
        <v>20</v>
      </c>
      <c r="B18" s="14" t="s">
        <v>83</v>
      </c>
      <c r="C18" s="14">
        <v>495</v>
      </c>
      <c r="D18" s="14">
        <v>495</v>
      </c>
      <c r="E18" s="14">
        <v>495</v>
      </c>
      <c r="F18" s="14">
        <v>495</v>
      </c>
      <c r="J18" s="8"/>
      <c r="K18" s="9"/>
      <c r="L18" s="9"/>
      <c r="M18" s="9"/>
      <c r="N18" s="9"/>
    </row>
    <row r="19" spans="1:14" ht="22">
      <c r="A19" t="s">
        <v>12</v>
      </c>
      <c r="B19" s="14" t="s">
        <v>84</v>
      </c>
      <c r="C19" s="14">
        <v>68</v>
      </c>
      <c r="D19" s="14">
        <v>68</v>
      </c>
      <c r="E19" s="14">
        <v>68</v>
      </c>
      <c r="F19" s="14">
        <v>68</v>
      </c>
      <c r="G19" s="1" t="s">
        <v>97</v>
      </c>
      <c r="J19" s="11"/>
      <c r="K19" s="9"/>
      <c r="L19" s="9"/>
      <c r="M19" s="9"/>
      <c r="N19" s="9"/>
    </row>
    <row r="20" spans="1:14" ht="22">
      <c r="A20" t="s">
        <v>18</v>
      </c>
      <c r="B20" s="14" t="s">
        <v>85</v>
      </c>
      <c r="C20" s="14">
        <v>1075</v>
      </c>
      <c r="D20" s="14">
        <v>1094</v>
      </c>
      <c r="E20" s="14">
        <v>1118</v>
      </c>
      <c r="F20" s="14">
        <v>1143</v>
      </c>
      <c r="J20" s="8"/>
      <c r="K20" s="9"/>
      <c r="L20" s="9"/>
      <c r="M20" s="9"/>
      <c r="N20" s="12"/>
    </row>
    <row r="21" spans="1:14" ht="22">
      <c r="A21" t="s">
        <v>23</v>
      </c>
      <c r="B21" s="14" t="s">
        <v>86</v>
      </c>
      <c r="C21" s="14">
        <v>60</v>
      </c>
      <c r="D21" s="14">
        <v>60</v>
      </c>
      <c r="E21" s="14">
        <v>60</v>
      </c>
      <c r="F21" s="14">
        <v>60</v>
      </c>
      <c r="J21" s="8"/>
      <c r="K21" s="9"/>
      <c r="L21" s="9"/>
      <c r="M21" s="9"/>
      <c r="N21" s="9"/>
    </row>
    <row r="22" spans="1:14" ht="22">
      <c r="A22" s="1" t="s">
        <v>107</v>
      </c>
      <c r="C22" s="14">
        <v>120</v>
      </c>
      <c r="D22" s="14">
        <v>120</v>
      </c>
      <c r="E22" s="14">
        <v>120</v>
      </c>
      <c r="F22" s="14">
        <v>120</v>
      </c>
      <c r="G22" s="1"/>
      <c r="J22" s="8"/>
      <c r="K22" s="9"/>
      <c r="L22" s="9"/>
      <c r="M22" s="9"/>
      <c r="N22" s="9"/>
    </row>
    <row r="23" spans="1:14" ht="22">
      <c r="A23" s="1" t="s">
        <v>108</v>
      </c>
      <c r="B23" s="15"/>
      <c r="C23" s="14">
        <v>30</v>
      </c>
      <c r="D23" s="14">
        <v>30</v>
      </c>
      <c r="E23" s="14">
        <v>30</v>
      </c>
      <c r="F23" s="14">
        <v>30</v>
      </c>
      <c r="G23" s="1"/>
      <c r="J23" s="13"/>
      <c r="K23" s="9"/>
      <c r="L23" s="9"/>
      <c r="M23" s="9"/>
      <c r="N23" s="9"/>
    </row>
    <row r="24" spans="1:14">
      <c r="A24" s="1" t="s">
        <v>94</v>
      </c>
      <c r="B24" s="4"/>
      <c r="C24" s="3"/>
      <c r="D24" s="3">
        <v>2855</v>
      </c>
      <c r="E24" s="3"/>
      <c r="F24" s="3"/>
      <c r="G24" s="1"/>
    </row>
    <row r="25" spans="1:14">
      <c r="A25" t="s">
        <v>19</v>
      </c>
      <c r="G25" s="1"/>
    </row>
    <row r="26" spans="1:14">
      <c r="A26" t="s">
        <v>21</v>
      </c>
      <c r="G26" s="1"/>
    </row>
    <row r="27" spans="1:14">
      <c r="A27" t="s">
        <v>22</v>
      </c>
    </row>
    <row r="28" spans="1:14">
      <c r="A28" t="s">
        <v>24</v>
      </c>
    </row>
    <row r="29" spans="1:14">
      <c r="A29" t="s">
        <v>25</v>
      </c>
    </row>
    <row r="30" spans="1:14">
      <c r="A30" t="s">
        <v>26</v>
      </c>
      <c r="C30">
        <v>700</v>
      </c>
      <c r="D30">
        <v>700</v>
      </c>
      <c r="E30">
        <v>700</v>
      </c>
      <c r="F30">
        <v>700</v>
      </c>
    </row>
    <row r="31" spans="1:14">
      <c r="A31" t="s">
        <v>27</v>
      </c>
      <c r="C31">
        <f>2.2*25.4</f>
        <v>55.88</v>
      </c>
      <c r="D31">
        <f t="shared" ref="D31:F31" si="1">2.2*25.4</f>
        <v>55.88</v>
      </c>
      <c r="E31">
        <f t="shared" si="1"/>
        <v>55.88</v>
      </c>
      <c r="F31">
        <f t="shared" si="1"/>
        <v>55.88</v>
      </c>
    </row>
    <row r="32" spans="1:14">
      <c r="A32" t="s">
        <v>28</v>
      </c>
      <c r="C32">
        <f>2.6*25.4</f>
        <v>66.039999999999992</v>
      </c>
      <c r="D32">
        <f t="shared" ref="D32:F32" si="2">2.6*25.4</f>
        <v>66.039999999999992</v>
      </c>
      <c r="E32">
        <f t="shared" si="2"/>
        <v>66.039999999999992</v>
      </c>
      <c r="F32">
        <f t="shared" si="2"/>
        <v>66.039999999999992</v>
      </c>
    </row>
    <row r="33" spans="1:7">
      <c r="A33" t="s">
        <v>29</v>
      </c>
      <c r="C33">
        <f>C35*2.54</f>
        <v>160.02000000000001</v>
      </c>
      <c r="D33">
        <f>AVERAGE(D35,C36)*2.54</f>
        <v>168.91</v>
      </c>
      <c r="E33">
        <f t="shared" ref="E33:F33" si="3">AVERAGE(E35,D36)*2.54</f>
        <v>176.53</v>
      </c>
      <c r="F33">
        <f t="shared" si="3"/>
        <v>184.15</v>
      </c>
    </row>
    <row r="34" spans="1:7">
      <c r="A34" t="s">
        <v>30</v>
      </c>
      <c r="C34" s="1">
        <f>D33</f>
        <v>168.91</v>
      </c>
      <c r="D34" s="1">
        <f t="shared" ref="D34:E34" si="4">E33</f>
        <v>176.53</v>
      </c>
      <c r="E34" s="1">
        <f t="shared" si="4"/>
        <v>184.15</v>
      </c>
      <c r="F34">
        <f t="shared" ref="F34" si="5">F36*2.54</f>
        <v>193.04</v>
      </c>
    </row>
    <row r="35" spans="1:7">
      <c r="C35">
        <v>63</v>
      </c>
      <c r="D35">
        <v>66</v>
      </c>
      <c r="E35">
        <v>69</v>
      </c>
      <c r="F35">
        <v>72</v>
      </c>
    </row>
    <row r="36" spans="1:7">
      <c r="A36" t="s">
        <v>31</v>
      </c>
      <c r="B36" t="s">
        <v>32</v>
      </c>
      <c r="C36">
        <v>67</v>
      </c>
      <c r="D36">
        <v>70</v>
      </c>
      <c r="E36">
        <v>73</v>
      </c>
      <c r="F36">
        <v>76</v>
      </c>
    </row>
    <row r="37" spans="1:7">
      <c r="A37" t="s">
        <v>69</v>
      </c>
      <c r="B37" t="s">
        <v>70</v>
      </c>
      <c r="C37" s="3" t="s">
        <v>88</v>
      </c>
      <c r="D37" s="3" t="s">
        <v>89</v>
      </c>
      <c r="E37" s="3" t="s">
        <v>90</v>
      </c>
      <c r="F37" s="3" t="s">
        <v>91</v>
      </c>
      <c r="G37" s="5" t="s">
        <v>87</v>
      </c>
    </row>
    <row r="38" spans="1:7">
      <c r="A38" t="s">
        <v>71</v>
      </c>
      <c r="B38" s="1" t="s">
        <v>93</v>
      </c>
    </row>
    <row r="39" spans="1:7">
      <c r="A39" t="s">
        <v>72</v>
      </c>
      <c r="B39" s="1" t="s">
        <v>119</v>
      </c>
    </row>
    <row r="40" spans="1:7">
      <c r="A40" t="s">
        <v>33</v>
      </c>
      <c r="B40" s="1" t="s">
        <v>114</v>
      </c>
      <c r="C40" s="1" t="s">
        <v>115</v>
      </c>
    </row>
    <row r="41" spans="1:7">
      <c r="A41" t="s">
        <v>34</v>
      </c>
      <c r="B41" t="s">
        <v>35</v>
      </c>
    </row>
    <row r="42" spans="1:7">
      <c r="A42" t="s">
        <v>36</v>
      </c>
    </row>
    <row r="43" spans="1:7">
      <c r="A43" t="s">
        <v>37</v>
      </c>
      <c r="B43">
        <v>2.6</v>
      </c>
    </row>
    <row r="44" spans="1:7">
      <c r="A44" t="s">
        <v>38</v>
      </c>
    </row>
    <row r="45" spans="1:7">
      <c r="A45" t="s">
        <v>39</v>
      </c>
      <c r="B45">
        <v>120</v>
      </c>
    </row>
    <row r="46" spans="1:7">
      <c r="A46" t="s">
        <v>40</v>
      </c>
      <c r="B46" s="1">
        <v>120</v>
      </c>
    </row>
    <row r="47" spans="1:7">
      <c r="A47" t="s">
        <v>41</v>
      </c>
    </row>
    <row r="48" spans="1:7">
      <c r="A48" t="s">
        <v>42</v>
      </c>
    </row>
    <row r="49" spans="1:2">
      <c r="A49" t="s">
        <v>43</v>
      </c>
      <c r="B49">
        <v>148</v>
      </c>
    </row>
    <row r="50" spans="1:2">
      <c r="A50" t="s">
        <v>44</v>
      </c>
      <c r="B50">
        <v>110</v>
      </c>
    </row>
    <row r="51" spans="1:2">
      <c r="A51" t="s">
        <v>101</v>
      </c>
    </row>
    <row r="52" spans="1:2">
      <c r="A52" t="s">
        <v>102</v>
      </c>
      <c r="B52" s="1" t="s">
        <v>112</v>
      </c>
    </row>
    <row r="53" spans="1:2">
      <c r="A53" t="s">
        <v>103</v>
      </c>
      <c r="B53" s="1" t="s">
        <v>113</v>
      </c>
    </row>
    <row r="54" spans="1:2">
      <c r="A54" t="s">
        <v>104</v>
      </c>
    </row>
    <row r="55" spans="1:2">
      <c r="A55" t="s">
        <v>105</v>
      </c>
    </row>
    <row r="56" spans="1:2">
      <c r="A56" t="s">
        <v>106</v>
      </c>
      <c r="B56" s="1" t="s">
        <v>109</v>
      </c>
    </row>
    <row r="57" spans="1:2">
      <c r="A57" t="s">
        <v>45</v>
      </c>
      <c r="B57" s="1" t="s">
        <v>96</v>
      </c>
    </row>
    <row r="58" spans="1:2">
      <c r="A58" t="s">
        <v>46</v>
      </c>
    </row>
    <row r="59" spans="1:2">
      <c r="A59" t="s">
        <v>47</v>
      </c>
      <c r="B59">
        <v>31.6</v>
      </c>
    </row>
    <row r="60" spans="1:2">
      <c r="A60" t="s">
        <v>48</v>
      </c>
      <c r="B60" s="1" t="s">
        <v>95</v>
      </c>
    </row>
    <row r="61" spans="1:2">
      <c r="A61" t="s">
        <v>49</v>
      </c>
      <c r="B61">
        <v>38</v>
      </c>
    </row>
    <row r="62" spans="1:2">
      <c r="A62" t="s">
        <v>50</v>
      </c>
    </row>
    <row r="63" spans="1:2">
      <c r="A63" t="s">
        <v>51</v>
      </c>
    </row>
    <row r="64" spans="1:2">
      <c r="A64" t="s">
        <v>52</v>
      </c>
    </row>
    <row r="65" spans="1:2">
      <c r="A65" t="s">
        <v>53</v>
      </c>
    </row>
    <row r="66" spans="1:2">
      <c r="A66" t="s">
        <v>54</v>
      </c>
    </row>
    <row r="67" spans="1:2">
      <c r="A67" t="s">
        <v>55</v>
      </c>
      <c r="B67" s="1" t="s">
        <v>35</v>
      </c>
    </row>
    <row r="68" spans="1:2">
      <c r="A68" t="s">
        <v>56</v>
      </c>
    </row>
    <row r="69" spans="1:2">
      <c r="A69" t="s">
        <v>57</v>
      </c>
    </row>
    <row r="70" spans="1:2">
      <c r="A70" t="s">
        <v>58</v>
      </c>
      <c r="B70">
        <v>2</v>
      </c>
    </row>
    <row r="71" spans="1:2">
      <c r="A71" t="s">
        <v>59</v>
      </c>
      <c r="B71">
        <v>1</v>
      </c>
    </row>
    <row r="72" spans="1:2">
      <c r="A72" t="s">
        <v>60</v>
      </c>
      <c r="B72" s="1" t="s">
        <v>35</v>
      </c>
    </row>
    <row r="73" spans="1:2">
      <c r="A73" t="s">
        <v>61</v>
      </c>
    </row>
    <row r="74" spans="1:2">
      <c r="A74" t="s">
        <v>62</v>
      </c>
    </row>
    <row r="75" spans="1:2">
      <c r="A75" t="s">
        <v>63</v>
      </c>
    </row>
    <row r="76" spans="1:2">
      <c r="A76" t="s">
        <v>64</v>
      </c>
      <c r="B76" s="1" t="s">
        <v>35</v>
      </c>
    </row>
    <row r="77" spans="1:2">
      <c r="A77" t="s">
        <v>65</v>
      </c>
      <c r="B77">
        <v>3300</v>
      </c>
    </row>
    <row r="78" spans="1:2">
      <c r="A78" t="s">
        <v>66</v>
      </c>
    </row>
    <row r="79" spans="1:2">
      <c r="A79" t="s">
        <v>67</v>
      </c>
      <c r="B79" s="1" t="s">
        <v>35</v>
      </c>
    </row>
    <row r="80" spans="1:2">
      <c r="A80" t="s">
        <v>68</v>
      </c>
      <c r="B80" s="1" t="s">
        <v>100</v>
      </c>
    </row>
    <row r="81" spans="1:2">
      <c r="A81" t="s">
        <v>98</v>
      </c>
      <c r="B81" t="s">
        <v>99</v>
      </c>
    </row>
  </sheetData>
  <mergeCells count="4">
    <mergeCell ref="K16:K17"/>
    <mergeCell ref="L16:L17"/>
    <mergeCell ref="M16:M17"/>
    <mergeCell ref="N16:N1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2026-03-20T18:15:50Z</dcterms:modified>
</cp:coreProperties>
</file>