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E531810-8C67-D444-B07E-197384BD0302}" xr6:coauthVersionLast="47" xr6:coauthVersionMax="47" xr10:uidLastSave="{00000000-0000-0000-0000-000000000000}"/>
  <bookViews>
    <workbookView xWindow="6160" yWindow="500" windowWidth="220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E33" i="1"/>
  <c r="D34" i="1" s="1"/>
  <c r="F33" i="1"/>
  <c r="E34" i="1" s="1"/>
  <c r="G33" i="1"/>
  <c r="F34" i="1" s="1"/>
  <c r="D33" i="1"/>
  <c r="C34" i="1" s="1"/>
  <c r="C33" i="1"/>
</calcChain>
</file>

<file path=xl/sharedStrings.xml><?xml version="1.0" encoding="utf-8"?>
<sst xmlns="http://schemas.openxmlformats.org/spreadsheetml/2006/main" count="126" uniqueCount="123">
  <si>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</si>
  <si>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</si>
  <si>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</si>
  <si>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</si>
  <si>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</si>
  <si>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</si>
  <si>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</si>
  <si>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</si>
  <si>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</si>
  <si>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</si>
  <si>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</si>
  <si>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</si>
  <si>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</si>
  <si>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</si>
  <si>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</si>
  <si>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</si>
  <si>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</si>
  <si>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</si>
  <si>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</si>
  <si>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</si>
  <si>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</si>
  <si>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</si>
  <si>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</si>
  <si>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</si>
  <si>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</si>
  <si>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</si>
  <si>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</si>
  <si>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</si>
  <si>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</si>
  <si>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</si>
  <si>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</si>
  <si>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</si>
  <si>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</si>
  <si>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</si>
  <si>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</si>
  <si>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</si>
  <si>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</si>
  <si>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</si>
  <si>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</si>
  <si>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</si>
  <si>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</si>
  <si>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</si>
  <si>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</si>
  <si>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</si>
  <si>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</si>
  <si>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</si>
  <si>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</si>
  <si>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</si>
  <si>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</si>
  <si>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</si>
  <si>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</si>
  <si>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</si>
  <si>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</si>
  <si>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</si>
  <si>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</si>
  <si>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</si>
  <si>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</si>
  <si>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</si>
  <si>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</si>
  <si>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</si>
  <si>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</si>
  <si>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</si>
  <si>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</si>
  <si>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</si>
  <si>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</si>
  <si>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</si>
  <si>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</si>
  <si>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</si>
  <si>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</si>
  <si>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</si>
  <si>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</si>
  <si>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yes</t>
  </si>
  <si>
    <t>front_center</t>
  </si>
  <si>
    <t>trail</t>
  </si>
  <si>
    <t>Metric</t>
  </si>
  <si>
    <t>XS</t>
  </si>
  <si>
    <t>S</t>
  </si>
  <si>
    <t>M</t>
  </si>
  <si>
    <t>L</t>
  </si>
  <si>
    <t>XL</t>
  </si>
  <si>
    <t>Fork</t>
  </si>
  <si>
    <t>Stack</t>
  </si>
  <si>
    <t>Reach</t>
  </si>
  <si>
    <t>Cinelli</t>
  </si>
  <si>
    <t>R offset</t>
  </si>
  <si>
    <t>S1 seat tube c-t</t>
  </si>
  <si>
    <t>S seat tube c-c</t>
  </si>
  <si>
    <t>T1 effective top tube</t>
  </si>
  <si>
    <t>T actual top tube</t>
  </si>
  <si>
    <t>H/T head tube length</t>
  </si>
  <si>
    <t>A head tube angle</t>
  </si>
  <si>
    <t>B seat tube angle</t>
  </si>
  <si>
    <t>C chainstay</t>
  </si>
  <si>
    <t xml:space="preserve">F front center </t>
  </si>
  <si>
    <t>WB wheel base</t>
  </si>
  <si>
    <t>E bottom bracket drop</t>
  </si>
  <si>
    <t>seat_tube_c_c</t>
  </si>
  <si>
    <t>top_tube_actual_length</t>
  </si>
  <si>
    <t>braze on</t>
  </si>
  <si>
    <t>nemo tig 2</t>
  </si>
  <si>
    <t>XXL</t>
  </si>
  <si>
    <t>47/52</t>
  </si>
  <si>
    <t>47/53</t>
  </si>
  <si>
    <t>47/54</t>
  </si>
  <si>
    <t>47/55</t>
  </si>
  <si>
    <t>47/56</t>
  </si>
  <si>
    <t>47/57</t>
  </si>
  <si>
    <t>steel</t>
  </si>
  <si>
    <t>threaded</t>
  </si>
  <si>
    <t>https://usa.cinelli-milano.com/collections/bikes/products/nemo-tig-gravel-2024-frame-kit?variant=47476183630160</t>
  </si>
  <si>
    <t>a8:h34</t>
  </si>
  <si>
    <t>Designed specifically for HiRide Sterra fork system: 20mm of true hydraulic travel </t>
  </si>
  <si>
    <t>suspension</t>
  </si>
  <si>
    <t>https://usa.cinelli-milano.com/cdn/shop/collections/gamma24__0014_nemotig_1200x.jpg?v=1709885529</t>
  </si>
  <si>
    <t>USD</t>
  </si>
  <si>
    <t>location</t>
  </si>
  <si>
    <t>Milan, Italy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</si>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</sst>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00000"/>
      <name val="Futura"/>
      <family val="2"/>
    </font>
    <font>
      <sz val="8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topLeftCell="A62" zoomScale="101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s="1" t="s">
        <v>83</v>
      </c>
    </row>
    <row r="2" spans="1:14" x14ac:dyDescent="0.3">
      <c r="A2" t="s">
        <v>1</v>
      </c>
      <c r="B2" s="1" t="s">
        <v>99</v>
      </c>
    </row>
    <row r="3" spans="1:14" x14ac:dyDescent="0.3">
      <c r="A3" t="s">
        <v>2</v>
      </c>
      <c r="B3">
        <v>2025</v>
      </c>
    </row>
    <row r="4" spans="1:14" x14ac:dyDescent="0.3">
      <c r="A4" t="s">
        <v>3</v>
      </c>
      <c r="B4" s="2">
        <v>45885</v>
      </c>
    </row>
    <row r="5" spans="1:14" x14ac:dyDescent="0.3">
      <c r="A5" t="s">
        <v>4</v>
      </c>
      <c r="B5" t="s">
        <v>109</v>
      </c>
    </row>
    <row r="6" spans="1:14" x14ac:dyDescent="0.3">
      <c r="B6" t="s">
        <v>113</v>
      </c>
    </row>
    <row r="7" spans="1:14" x14ac:dyDescent="0.3">
      <c r="A7" s="1" t="s">
        <v>5</v>
      </c>
      <c r="B7" s="1" t="s">
        <v>110</v>
      </c>
      <c r="C7" s="5" t="s">
        <v>111</v>
      </c>
      <c r="D7" s="1"/>
      <c r="E7" s="1"/>
      <c r="F7" s="1"/>
      <c r="G7" s="1"/>
      <c r="H7" s="1"/>
      <c r="I7" s="1"/>
      <c r="J7" s="1"/>
    </row>
    <row r="8" spans="1:14" x14ac:dyDescent="0.3">
      <c r="A8" s="1" t="s">
        <v>6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100</v>
      </c>
      <c r="I8" s="1"/>
    </row>
    <row r="9" spans="1:14" x14ac:dyDescent="0.3">
      <c r="A9" s="1" t="s">
        <v>7</v>
      </c>
      <c r="B9" s="1" t="s">
        <v>85</v>
      </c>
      <c r="C9" s="1">
        <v>480</v>
      </c>
      <c r="D9" s="1">
        <v>520</v>
      </c>
      <c r="E9" s="1">
        <v>540</v>
      </c>
      <c r="F9" s="1">
        <v>560</v>
      </c>
      <c r="G9" s="1">
        <v>590</v>
      </c>
      <c r="H9" s="1">
        <v>610</v>
      </c>
      <c r="I9" s="1"/>
    </row>
    <row r="10" spans="1:14" x14ac:dyDescent="0.3">
      <c r="A10" s="1" t="s">
        <v>96</v>
      </c>
      <c r="B10" s="1" t="s">
        <v>86</v>
      </c>
      <c r="C10" s="1"/>
      <c r="D10" s="1"/>
      <c r="E10" s="1"/>
      <c r="F10" s="1"/>
      <c r="G10" s="1"/>
      <c r="H10" s="1"/>
      <c r="I10" s="1"/>
    </row>
    <row r="11" spans="1:14" x14ac:dyDescent="0.3">
      <c r="A11" s="1" t="s">
        <v>8</v>
      </c>
      <c r="B11" s="1" t="s">
        <v>87</v>
      </c>
      <c r="C11" s="1">
        <v>528</v>
      </c>
      <c r="D11" s="1">
        <v>548</v>
      </c>
      <c r="E11" s="1">
        <v>565</v>
      </c>
      <c r="F11" s="1">
        <v>585</v>
      </c>
      <c r="G11" s="1">
        <v>600</v>
      </c>
      <c r="H11" s="1">
        <v>615</v>
      </c>
      <c r="I11" s="1"/>
    </row>
    <row r="12" spans="1:14" x14ac:dyDescent="0.3">
      <c r="A12" s="1" t="s">
        <v>97</v>
      </c>
      <c r="B12" s="1" t="s">
        <v>88</v>
      </c>
      <c r="C12" s="1"/>
      <c r="D12" s="1"/>
      <c r="E12" s="1"/>
      <c r="F12" s="1"/>
      <c r="G12" s="1"/>
      <c r="H12" s="1"/>
      <c r="I12" s="1"/>
    </row>
    <row r="13" spans="1:14" x14ac:dyDescent="0.3">
      <c r="A13" s="1" t="s">
        <v>9</v>
      </c>
      <c r="B13" s="1" t="s">
        <v>89</v>
      </c>
      <c r="C13" s="1">
        <v>115</v>
      </c>
      <c r="D13" s="1">
        <v>115</v>
      </c>
      <c r="E13" s="1">
        <v>120</v>
      </c>
      <c r="F13" s="1">
        <v>130</v>
      </c>
      <c r="G13" s="1">
        <v>140</v>
      </c>
      <c r="H13" s="1">
        <v>160</v>
      </c>
      <c r="I13" s="1"/>
    </row>
    <row r="14" spans="1:14" x14ac:dyDescent="0.3">
      <c r="A14" s="1" t="s">
        <v>11</v>
      </c>
      <c r="B14" s="1" t="s">
        <v>90</v>
      </c>
      <c r="C14" s="1">
        <v>70</v>
      </c>
      <c r="D14" s="1">
        <v>70</v>
      </c>
      <c r="E14" s="1">
        <v>71</v>
      </c>
      <c r="F14" s="1">
        <v>72</v>
      </c>
      <c r="G14" s="1">
        <v>72.5</v>
      </c>
      <c r="H14" s="1">
        <v>72.5</v>
      </c>
      <c r="I14" s="1"/>
    </row>
    <row r="15" spans="1:14" x14ac:dyDescent="0.3">
      <c r="A15" s="1" t="s">
        <v>10</v>
      </c>
      <c r="B15" s="1" t="s">
        <v>91</v>
      </c>
      <c r="C15" s="1">
        <v>74.5</v>
      </c>
      <c r="D15" s="1">
        <v>74.5</v>
      </c>
      <c r="E15" s="1">
        <v>74</v>
      </c>
      <c r="F15" s="1">
        <v>73.5</v>
      </c>
      <c r="G15" s="1">
        <v>73</v>
      </c>
      <c r="H15" s="1">
        <v>73</v>
      </c>
      <c r="I15" s="1"/>
    </row>
    <row r="16" spans="1:14" x14ac:dyDescent="0.3">
      <c r="A16" s="1" t="s">
        <v>16</v>
      </c>
      <c r="B16" s="1" t="s">
        <v>84</v>
      </c>
      <c r="C16" s="1">
        <v>47</v>
      </c>
      <c r="D16" s="1">
        <v>47</v>
      </c>
      <c r="E16" s="1">
        <v>47</v>
      </c>
      <c r="F16" s="1">
        <v>47</v>
      </c>
      <c r="G16" s="1">
        <v>47</v>
      </c>
      <c r="H16" s="1">
        <v>47</v>
      </c>
      <c r="I16" s="1" t="s">
        <v>101</v>
      </c>
      <c r="J16" s="1" t="s">
        <v>102</v>
      </c>
      <c r="K16" s="1" t="s">
        <v>103</v>
      </c>
      <c r="L16" s="1" t="s">
        <v>104</v>
      </c>
      <c r="M16" s="1" t="s">
        <v>105</v>
      </c>
      <c r="N16" s="1" t="s">
        <v>106</v>
      </c>
    </row>
    <row r="17" spans="1:10" x14ac:dyDescent="0.3">
      <c r="A17" s="1" t="s">
        <v>12</v>
      </c>
      <c r="B17" s="1" t="s">
        <v>92</v>
      </c>
      <c r="C17" s="1">
        <v>430</v>
      </c>
      <c r="D17" s="1">
        <v>430</v>
      </c>
      <c r="E17" s="1">
        <v>430</v>
      </c>
      <c r="F17" s="1">
        <v>430</v>
      </c>
      <c r="G17" s="1">
        <v>430</v>
      </c>
      <c r="H17" s="1">
        <v>430</v>
      </c>
      <c r="I17" s="1"/>
    </row>
    <row r="18" spans="1:10" x14ac:dyDescent="0.3">
      <c r="A18" s="1" t="s">
        <v>72</v>
      </c>
      <c r="B18" s="1" t="s">
        <v>93</v>
      </c>
      <c r="C18" s="1">
        <v>613</v>
      </c>
      <c r="D18" s="1">
        <v>632</v>
      </c>
      <c r="E18" s="1">
        <v>633</v>
      </c>
      <c r="F18" s="1">
        <v>638</v>
      </c>
      <c r="G18" s="1">
        <v>642</v>
      </c>
      <c r="H18" s="1">
        <v>658</v>
      </c>
      <c r="I18" s="1"/>
    </row>
    <row r="19" spans="1:10" x14ac:dyDescent="0.3">
      <c r="A19" s="1" t="s">
        <v>13</v>
      </c>
      <c r="B19" s="1" t="s">
        <v>94</v>
      </c>
      <c r="C19" s="1">
        <v>1034</v>
      </c>
      <c r="D19" s="1">
        <v>1054</v>
      </c>
      <c r="E19" s="1">
        <v>1054</v>
      </c>
      <c r="F19" s="1">
        <v>1059</v>
      </c>
      <c r="G19" s="1">
        <v>1063</v>
      </c>
      <c r="H19" s="1">
        <v>1079</v>
      </c>
      <c r="I19" s="1"/>
    </row>
    <row r="20" spans="1:10" x14ac:dyDescent="0.3">
      <c r="A20" s="1" t="s">
        <v>14</v>
      </c>
      <c r="B20" s="1" t="s">
        <v>95</v>
      </c>
      <c r="C20" s="1">
        <v>68</v>
      </c>
      <c r="D20" s="1">
        <v>68</v>
      </c>
      <c r="E20" s="1">
        <v>68</v>
      </c>
      <c r="F20" s="1">
        <v>68</v>
      </c>
      <c r="G20" s="1">
        <v>68</v>
      </c>
      <c r="H20" s="1">
        <v>68</v>
      </c>
      <c r="I20" s="1"/>
    </row>
    <row r="21" spans="1:10" x14ac:dyDescent="0.3">
      <c r="A21" s="1" t="s">
        <v>15</v>
      </c>
      <c r="B21" s="1" t="s">
        <v>80</v>
      </c>
      <c r="C21" s="1">
        <v>435</v>
      </c>
      <c r="D21" s="1">
        <v>435</v>
      </c>
      <c r="E21" s="1">
        <v>435</v>
      </c>
      <c r="F21" s="1">
        <v>435</v>
      </c>
      <c r="G21" s="1">
        <v>435</v>
      </c>
      <c r="H21" s="1">
        <v>435</v>
      </c>
      <c r="I21" s="1"/>
    </row>
    <row r="22" spans="1:10" x14ac:dyDescent="0.3">
      <c r="A22" s="1" t="s">
        <v>20</v>
      </c>
      <c r="B22" s="1" t="s">
        <v>81</v>
      </c>
      <c r="C22" s="1">
        <v>568</v>
      </c>
      <c r="D22" s="1">
        <v>569</v>
      </c>
      <c r="E22" s="1">
        <v>578</v>
      </c>
      <c r="F22" s="1">
        <v>591</v>
      </c>
      <c r="G22" s="1">
        <v>603</v>
      </c>
      <c r="H22" s="1">
        <v>622</v>
      </c>
      <c r="I22" s="1"/>
    </row>
    <row r="23" spans="1:10" x14ac:dyDescent="0.3">
      <c r="A23" s="1" t="s">
        <v>21</v>
      </c>
      <c r="B23" s="1" t="s">
        <v>82</v>
      </c>
      <c r="C23" s="1">
        <v>374</v>
      </c>
      <c r="D23" s="1">
        <v>391</v>
      </c>
      <c r="E23" s="1">
        <v>399</v>
      </c>
      <c r="F23" s="1">
        <v>410</v>
      </c>
      <c r="G23" s="1">
        <v>416</v>
      </c>
      <c r="H23" s="1">
        <v>425</v>
      </c>
      <c r="I23" s="1"/>
    </row>
    <row r="24" spans="1:10" x14ac:dyDescent="0.3">
      <c r="A24" s="1" t="s">
        <v>26</v>
      </c>
      <c r="C24" s="1"/>
      <c r="D24" s="1"/>
      <c r="E24" s="1"/>
      <c r="F24" s="1"/>
      <c r="G24" s="1"/>
      <c r="H24" s="1"/>
      <c r="I24" s="1"/>
    </row>
    <row r="25" spans="1:10" x14ac:dyDescent="0.3">
      <c r="A25" s="1" t="s">
        <v>73</v>
      </c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17</v>
      </c>
      <c r="B26" s="3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 t="s">
        <v>18</v>
      </c>
      <c r="B27" s="3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 t="s">
        <v>19</v>
      </c>
      <c r="B28" s="1"/>
      <c r="C28" s="3"/>
      <c r="D28" s="3"/>
      <c r="E28" s="3"/>
      <c r="F28" s="3"/>
      <c r="G28" s="3"/>
      <c r="H28" s="3"/>
      <c r="I28" s="3"/>
      <c r="J28" s="1"/>
    </row>
    <row r="29" spans="1:10" x14ac:dyDescent="0.3">
      <c r="A29" s="1" t="s">
        <v>22</v>
      </c>
      <c r="B29" s="1"/>
      <c r="C29" s="1"/>
      <c r="D29" s="1"/>
      <c r="E29" s="1">
        <v>2000</v>
      </c>
      <c r="F29" s="1"/>
      <c r="G29" s="1"/>
      <c r="H29" s="1"/>
      <c r="I29" s="1"/>
      <c r="J29" s="1"/>
    </row>
    <row r="30" spans="1:10" x14ac:dyDescent="0.3">
      <c r="A30" s="1" t="s">
        <v>23</v>
      </c>
      <c r="B30" s="1" t="s">
        <v>23</v>
      </c>
      <c r="C30" s="1">
        <v>700</v>
      </c>
      <c r="D30" s="1">
        <v>700</v>
      </c>
      <c r="E30" s="1">
        <v>700</v>
      </c>
      <c r="F30" s="1">
        <v>700</v>
      </c>
      <c r="G30" s="1">
        <v>700</v>
      </c>
      <c r="H30" s="1">
        <v>700</v>
      </c>
      <c r="I30" s="1"/>
      <c r="J30" s="1"/>
    </row>
    <row r="31" spans="1:10" x14ac:dyDescent="0.3">
      <c r="A31" s="1" t="s">
        <v>24</v>
      </c>
      <c r="B31" s="1" t="s">
        <v>24</v>
      </c>
      <c r="C31" s="1">
        <v>40</v>
      </c>
      <c r="D31" s="1">
        <v>40</v>
      </c>
      <c r="E31" s="1">
        <v>40</v>
      </c>
      <c r="F31" s="1">
        <v>40</v>
      </c>
      <c r="G31" s="1">
        <v>40</v>
      </c>
      <c r="H31" s="1">
        <v>40</v>
      </c>
      <c r="I31" s="1"/>
      <c r="J31" s="1"/>
    </row>
    <row r="32" spans="1:10" x14ac:dyDescent="0.3">
      <c r="A32" s="1" t="s">
        <v>25</v>
      </c>
      <c r="B32" s="1" t="s">
        <v>25</v>
      </c>
      <c r="C32" s="1">
        <v>47</v>
      </c>
      <c r="D32" s="1">
        <v>47</v>
      </c>
      <c r="E32" s="1">
        <v>47</v>
      </c>
      <c r="F32" s="1">
        <v>47</v>
      </c>
      <c r="G32" s="1">
        <v>47</v>
      </c>
      <c r="H32" s="1">
        <v>47</v>
      </c>
      <c r="I32" s="1"/>
      <c r="J32" s="1"/>
    </row>
    <row r="33" spans="1:10" x14ac:dyDescent="0.3">
      <c r="A33" s="1" t="s">
        <v>27</v>
      </c>
      <c r="B33" s="1"/>
      <c r="C33" s="1">
        <f>C35</f>
        <v>156</v>
      </c>
      <c r="D33" s="1">
        <f>AVERAGE(D35,C36)</f>
        <v>165.5</v>
      </c>
      <c r="E33" s="1">
        <f t="shared" ref="E33:G33" si="0">AVERAGE(E35,D36)</f>
        <v>171.5</v>
      </c>
      <c r="F33" s="1">
        <f t="shared" si="0"/>
        <v>178.5</v>
      </c>
      <c r="G33" s="1">
        <f t="shared" si="0"/>
        <v>186.5</v>
      </c>
      <c r="H33" s="1">
        <v>193</v>
      </c>
      <c r="I33" s="1"/>
      <c r="J33" s="1"/>
    </row>
    <row r="34" spans="1:10" x14ac:dyDescent="0.3">
      <c r="A34" s="1" t="s">
        <v>28</v>
      </c>
      <c r="B34" s="1"/>
      <c r="C34" s="1">
        <f>D33</f>
        <v>165.5</v>
      </c>
      <c r="D34" s="1">
        <f t="shared" ref="D34:F34" si="1">E33</f>
        <v>171.5</v>
      </c>
      <c r="E34" s="1">
        <f t="shared" si="1"/>
        <v>178.5</v>
      </c>
      <c r="F34" s="1">
        <f t="shared" si="1"/>
        <v>186.5</v>
      </c>
      <c r="G34" s="1">
        <f>G36</f>
        <v>193</v>
      </c>
      <c r="H34" s="1">
        <v>200</v>
      </c>
      <c r="I34" s="1"/>
      <c r="J34" s="1"/>
    </row>
    <row r="35" spans="1:10" x14ac:dyDescent="0.3">
      <c r="A35" s="1"/>
      <c r="B35" s="1"/>
      <c r="C35" s="1">
        <v>156</v>
      </c>
      <c r="D35" s="1">
        <v>166</v>
      </c>
      <c r="E35" s="1">
        <v>172</v>
      </c>
      <c r="F35" s="1">
        <v>179</v>
      </c>
      <c r="G35" s="1">
        <v>187</v>
      </c>
      <c r="H35" s="1"/>
      <c r="I35" s="1"/>
      <c r="J35" s="1"/>
    </row>
    <row r="36" spans="1:10" x14ac:dyDescent="0.3">
      <c r="A36" s="1" t="s">
        <v>29</v>
      </c>
      <c r="B36" s="1" t="s">
        <v>30</v>
      </c>
      <c r="C36" s="1">
        <v>165</v>
      </c>
      <c r="D36" s="1">
        <v>171</v>
      </c>
      <c r="E36" s="1">
        <v>178</v>
      </c>
      <c r="F36" s="1">
        <v>186</v>
      </c>
      <c r="G36" s="1">
        <v>193</v>
      </c>
      <c r="H36" s="1"/>
      <c r="I36" s="1"/>
      <c r="J36" s="1"/>
    </row>
    <row r="37" spans="1:10" x14ac:dyDescent="0.3">
      <c r="A37" s="1" t="s">
        <v>66</v>
      </c>
      <c r="B37" s="1" t="s">
        <v>67</v>
      </c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 t="s">
        <v>68</v>
      </c>
      <c r="B38" s="1" t="s">
        <v>69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70</v>
      </c>
      <c r="B39" s="1" t="s">
        <v>112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1" t="s">
        <v>31</v>
      </c>
      <c r="B40" s="1" t="s">
        <v>107</v>
      </c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32</v>
      </c>
      <c r="B41" s="1" t="s">
        <v>71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33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34</v>
      </c>
      <c r="B43" s="1">
        <v>47</v>
      </c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35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 t="s">
        <v>36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 t="s">
        <v>37</v>
      </c>
      <c r="B46" s="1">
        <v>20</v>
      </c>
      <c r="C46" s="1"/>
      <c r="D46" s="1"/>
      <c r="E46" s="3"/>
      <c r="F46" s="3"/>
      <c r="G46" s="3"/>
      <c r="H46" s="3"/>
      <c r="I46" s="3"/>
      <c r="J46" s="1"/>
    </row>
    <row r="47" spans="1:10" x14ac:dyDescent="0.3">
      <c r="A47" s="1" t="s">
        <v>38</v>
      </c>
      <c r="B47" s="1"/>
      <c r="C47" s="3"/>
      <c r="D47" s="3"/>
      <c r="E47" s="1"/>
      <c r="F47" s="1"/>
      <c r="G47" s="1"/>
      <c r="H47" s="1"/>
      <c r="I47" s="1"/>
      <c r="J47" s="1"/>
    </row>
    <row r="48" spans="1:10" x14ac:dyDescent="0.3">
      <c r="A48" s="1" t="s">
        <v>39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40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41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117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118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119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120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121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122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42</v>
      </c>
      <c r="B57" s="1" t="s">
        <v>108</v>
      </c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43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44</v>
      </c>
      <c r="B59" s="1">
        <v>27.2</v>
      </c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45</v>
      </c>
      <c r="B60" s="1" t="s">
        <v>98</v>
      </c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46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47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48</v>
      </c>
      <c r="B63" s="1">
        <v>160</v>
      </c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49</v>
      </c>
      <c r="B64" s="1">
        <v>160</v>
      </c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50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51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52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53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54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55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56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57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 t="s">
        <v>58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 t="s">
        <v>59</v>
      </c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 t="s">
        <v>60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 t="s">
        <v>61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 t="s">
        <v>62</v>
      </c>
      <c r="B77" s="1">
        <v>3990</v>
      </c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 t="s">
        <v>63</v>
      </c>
      <c r="B78" s="1">
        <v>5490</v>
      </c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 t="s">
        <v>64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 t="s">
        <v>65</v>
      </c>
      <c r="B80" s="1" t="s">
        <v>114</v>
      </c>
      <c r="C80" s="1"/>
      <c r="D80" s="1"/>
      <c r="E80" s="1"/>
      <c r="F80" s="1"/>
      <c r="G80" s="1"/>
      <c r="H80" s="1"/>
      <c r="I80" s="1"/>
      <c r="J80" s="1"/>
    </row>
    <row r="81" spans="1:2" x14ac:dyDescent="0.3">
      <c r="A81" t="s">
        <v>115</v>
      </c>
      <c r="B81" t="s">
        <v>116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2025-11-07T14:41:57Z</dcterms:modified>
</cp:coreProperties>
</file>