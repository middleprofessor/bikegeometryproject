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7A9F37F-01B6-6441-B4E9-DD822251E21B}" xr6:coauthVersionLast="47" xr6:coauthVersionMax="47" xr10:uidLastSave="{00000000-0000-0000-0000-000000000000}"/>
  <bookViews>
    <workbookView xWindow="12540" yWindow="500" windowWidth="28800" windowHeight="15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  <c r="D13" i="1"/>
  <c r="E13" i="1"/>
  <c r="F13" i="1"/>
  <c r="G13" i="1"/>
  <c r="C13" i="1"/>
  <c r="D12" i="1"/>
  <c r="E12" i="1"/>
  <c r="F12" i="1"/>
  <c r="G12" i="1"/>
  <c r="C12" i="1"/>
</calcChain>
</file>

<file path=xl/sharedStrings.xml><?xml version="1.0" encoding="utf-8"?>
<sst xmlns="http://schemas.openxmlformats.org/spreadsheetml/2006/main" count="127" uniqueCount="120">
  <si>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</si>
  <si>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</si>
  <si>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</si>
  <si>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</si>
  <si>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</si>
  <si>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</si>
  <si>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</si>
  <si>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</si>
  <si>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</si>
  <si>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</si>
  <si>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</si>
  <si>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</si>
  <si>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</si>
  <si>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</si>
  <si>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</si>
  <si>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</si>
  <si>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</si>
  <si>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</si>
  <si>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</si>
  <si>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</si>
  <si>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</si>
  <si>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</si>
  <si>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</si>
  <si>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</si>
  <si>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</si>
  <si>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</si>
  <si>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</si>
  <si>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</si>
  <si>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</si>
  <si>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</si>
  <si>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</si>
  <si>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</si>
  <si>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</si>
  <si>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</si>
  <si>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</si>
  <si>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</si>
  <si>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</si>
  <si>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</si>
  <si>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</si>
  <si>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</si>
  <si>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</si>
  <si>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</si>
  <si>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</si>
  <si>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</si>
  <si>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</si>
  <si>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</si>
  <si>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</si>
  <si>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</si>
  <si>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</si>
  <si>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</si>
  <si>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</si>
  <si>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</si>
  <si>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</si>
  <si>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</si>
  <si>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</si>
  <si>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</si>
  <si>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</si>
  <si>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</si>
  <si>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</si>
  <si>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</si>
  <si>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</si>
  <si>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</si>
  <si>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</si>
  <si>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</si>
  <si>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</si>
  <si>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</si>
  <si>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</si>
  <si>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</si>
  <si>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</si>
  <si>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</si>
  <si>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drop bar</t>
  </si>
  <si>
    <t>fork</t>
  </si>
  <si>
    <t>yes</t>
  </si>
  <si>
    <t>front_center</t>
  </si>
  <si>
    <t>trail</t>
  </si>
  <si>
    <t>Sanitas</t>
  </si>
  <si>
    <t>Top Tube Effective</t>
  </si>
  <si>
    <t>Head Tube Angle</t>
  </si>
  <si>
    <t>Seat Tube Angle</t>
  </si>
  <si>
    <t>Chain Stay Length</t>
  </si>
  <si>
    <t>BB Drop</t>
  </si>
  <si>
    <t>Standover</t>
  </si>
  <si>
    <t>Reach</t>
  </si>
  <si>
    <t>Stack</t>
  </si>
  <si>
    <t>seat_tube_length_c_c</t>
  </si>
  <si>
    <t>titanium</t>
  </si>
  <si>
    <t>internal</t>
  </si>
  <si>
    <t>USD</t>
  </si>
  <si>
    <t>location</t>
  </si>
  <si>
    <t>Durango, Colorado, USA</t>
  </si>
  <si>
    <t>Node Cambium Titanium</t>
  </si>
  <si>
    <t>Measurement (units)</t>
  </si>
  <si>
    <t>Small</t>
  </si>
  <si>
    <t>Medium</t>
  </si>
  <si>
    <t>Large</t>
  </si>
  <si>
    <t>X.Large</t>
  </si>
  <si>
    <t>Seat Tube Length C/C - C/O</t>
  </si>
  <si>
    <t>356/406</t>
  </si>
  <si>
    <t>381/432</t>
  </si>
  <si>
    <t>406/457</t>
  </si>
  <si>
    <t>432/483</t>
  </si>
  <si>
    <t>457/508</t>
  </si>
  <si>
    <t>BB Height</t>
  </si>
  <si>
    <t>Tire Clearance</t>
  </si>
  <si>
    <t>Wheelbase</t>
  </si>
  <si>
    <t>Fork Travel</t>
  </si>
  <si>
    <t>Head Tube Length (44)</t>
  </si>
  <si>
    <t>440–460</t>
  </si>
  <si>
    <t>445–460</t>
  </si>
  <si>
    <t>bb_height</t>
  </si>
  <si>
    <t>tire_clearance</t>
  </si>
  <si>
    <t>fork_travel</t>
  </si>
  <si>
    <t>suspension</t>
  </si>
  <si>
    <t>Med/Lg</t>
  </si>
  <si>
    <t>https://www.sanitasbikes.com/node-cambium-gravel-titanium</t>
  </si>
  <si>
    <t>https://images.squarespace-cdn.com/content/v1/683892ca9490732d748fc31b/7ad01fa6-3c07-451a-8f9f-ef37c626b985/ADA457B7-C085-4E49-AE13-0F5453D3B78A.jpeg?format=2500w</t>
  </si>
  <si>
    <t>a8:g36</t>
  </si>
  <si>
    <t>threaded 73</t>
  </si>
  <si>
    <t>either</t>
  </si>
  <si>
    <t>hardtail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</si>
</sst>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b/>
      <sz val="14"/>
      <color rgb="FF000000"/>
      <name val="Futura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tabSelected="1" topLeftCell="A28" workbookViewId="0">
      <selection activeCell="B40" sqref="B40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75</v>
      </c>
    </row>
    <row r="2" spans="1:22" x14ac:dyDescent="0.3">
      <c r="A2" s="2" t="s">
        <v>1</v>
      </c>
      <c r="B2" s="2" t="s">
        <v>90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45965</v>
      </c>
    </row>
    <row r="5" spans="1:22" x14ac:dyDescent="0.3">
      <c r="A5" s="2" t="s">
        <v>4</v>
      </c>
      <c r="B5" s="2" t="s">
        <v>114</v>
      </c>
    </row>
    <row r="6" spans="1:22" x14ac:dyDescent="0.3">
      <c r="B6" s="2" t="s">
        <v>115</v>
      </c>
    </row>
    <row r="7" spans="1:22" x14ac:dyDescent="0.3">
      <c r="A7" s="2" t="s">
        <v>5</v>
      </c>
      <c r="B7" s="2" t="s">
        <v>116</v>
      </c>
    </row>
    <row r="8" spans="1:22" ht="22" x14ac:dyDescent="0.3">
      <c r="A8" s="2" t="s">
        <v>6</v>
      </c>
      <c r="B8" s="11" t="s">
        <v>91</v>
      </c>
      <c r="C8" s="11" t="s">
        <v>92</v>
      </c>
      <c r="D8" s="11" t="s">
        <v>93</v>
      </c>
      <c r="E8" s="11" t="s">
        <v>113</v>
      </c>
      <c r="F8" s="11" t="s">
        <v>94</v>
      </c>
      <c r="G8" s="11" t="s">
        <v>95</v>
      </c>
      <c r="H8" s="11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12" t="s">
        <v>76</v>
      </c>
      <c r="C9" s="12">
        <v>590</v>
      </c>
      <c r="D9" s="12">
        <v>610</v>
      </c>
      <c r="E9" s="12">
        <v>620</v>
      </c>
      <c r="F9" s="12">
        <v>630</v>
      </c>
      <c r="G9" s="12">
        <v>641</v>
      </c>
      <c r="H9" s="12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11</v>
      </c>
      <c r="B10" s="12" t="s">
        <v>77</v>
      </c>
      <c r="C10" s="12">
        <v>67.5</v>
      </c>
      <c r="D10" s="12">
        <v>67.5</v>
      </c>
      <c r="E10" s="12">
        <v>67.5</v>
      </c>
      <c r="F10" s="12">
        <v>67.5</v>
      </c>
      <c r="G10" s="12">
        <v>67.5</v>
      </c>
      <c r="H10" s="12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12" t="s">
        <v>78</v>
      </c>
      <c r="C11" s="12">
        <v>74</v>
      </c>
      <c r="D11" s="12">
        <v>73.5</v>
      </c>
      <c r="E11" s="12">
        <v>73.5</v>
      </c>
      <c r="F11" s="12">
        <v>73</v>
      </c>
      <c r="G11" s="12">
        <v>73</v>
      </c>
      <c r="H11" s="12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84</v>
      </c>
      <c r="B12" s="12" t="s">
        <v>96</v>
      </c>
      <c r="C12" s="2">
        <f>VALUE(LEFT(H12,3))</f>
        <v>356</v>
      </c>
      <c r="D12" s="2">
        <f t="shared" ref="D12:G12" si="0">VALUE(LEFT(I12,3))</f>
        <v>381</v>
      </c>
      <c r="E12" s="2">
        <f t="shared" si="0"/>
        <v>406</v>
      </c>
      <c r="F12" s="2">
        <f t="shared" si="0"/>
        <v>432</v>
      </c>
      <c r="G12" s="2">
        <f t="shared" si="0"/>
        <v>457</v>
      </c>
      <c r="H12" s="12" t="s">
        <v>97</v>
      </c>
      <c r="I12" s="12" t="s">
        <v>98</v>
      </c>
      <c r="J12" s="12" t="s">
        <v>99</v>
      </c>
      <c r="K12" s="12" t="s">
        <v>100</v>
      </c>
      <c r="L12" s="12" t="s">
        <v>101</v>
      </c>
      <c r="M12" s="10"/>
      <c r="N12" s="10"/>
      <c r="O12" s="5"/>
      <c r="P12" s="5"/>
      <c r="Q12" s="5"/>
      <c r="R12" s="5"/>
      <c r="S12" s="5"/>
      <c r="T12" s="5"/>
    </row>
    <row r="13" spans="1:22" ht="22" x14ac:dyDescent="0.3">
      <c r="A13" s="2" t="s">
        <v>9</v>
      </c>
      <c r="C13" s="2">
        <f>VALUE(RIGHT(H12,3))</f>
        <v>406</v>
      </c>
      <c r="D13" s="2">
        <f t="shared" ref="D13:G13" si="1">VALUE(RIGHT(I12,3))</f>
        <v>432</v>
      </c>
      <c r="E13" s="2">
        <f t="shared" si="1"/>
        <v>457</v>
      </c>
      <c r="F13" s="2">
        <f t="shared" si="1"/>
        <v>483</v>
      </c>
      <c r="G13" s="2">
        <f t="shared" si="1"/>
        <v>508</v>
      </c>
      <c r="H13" s="12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10</v>
      </c>
      <c r="B14" s="12" t="s">
        <v>106</v>
      </c>
      <c r="C14" s="12">
        <v>100</v>
      </c>
      <c r="D14" s="12">
        <v>110</v>
      </c>
      <c r="E14" s="12">
        <v>115</v>
      </c>
      <c r="F14" s="12">
        <v>125</v>
      </c>
      <c r="G14" s="12">
        <v>135</v>
      </c>
      <c r="H14" s="12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14</v>
      </c>
      <c r="B15" s="12" t="s">
        <v>79</v>
      </c>
      <c r="C15" s="2">
        <f>VALUE(LEFT(H15,3))</f>
        <v>440</v>
      </c>
      <c r="D15" s="2">
        <f t="shared" ref="D15:G15" si="2">VALUE(LEFT(I15,3))</f>
        <v>440</v>
      </c>
      <c r="E15" s="2">
        <f t="shared" si="2"/>
        <v>440</v>
      </c>
      <c r="F15" s="2">
        <f t="shared" si="2"/>
        <v>445</v>
      </c>
      <c r="G15" s="2">
        <f t="shared" si="2"/>
        <v>445</v>
      </c>
      <c r="H15" s="12" t="s">
        <v>107</v>
      </c>
      <c r="I15" s="12" t="s">
        <v>107</v>
      </c>
      <c r="J15" s="12" t="s">
        <v>107</v>
      </c>
      <c r="K15" s="12" t="s">
        <v>108</v>
      </c>
      <c r="L15" s="12" t="s">
        <v>108</v>
      </c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12" t="s">
        <v>80</v>
      </c>
      <c r="C16" s="12">
        <v>57.5</v>
      </c>
      <c r="D16" s="12">
        <v>57.5</v>
      </c>
      <c r="E16" s="12">
        <v>57.5</v>
      </c>
      <c r="F16" s="12">
        <v>55.4</v>
      </c>
      <c r="G16" s="12">
        <v>55.4</v>
      </c>
      <c r="H16" s="12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109</v>
      </c>
      <c r="B17" s="12" t="s">
        <v>102</v>
      </c>
      <c r="C17" s="12">
        <v>320.5</v>
      </c>
      <c r="D17" s="12">
        <v>320.5</v>
      </c>
      <c r="E17" s="12">
        <v>320.5</v>
      </c>
      <c r="F17" s="12">
        <v>322.5</v>
      </c>
      <c r="G17" s="12">
        <v>322.5</v>
      </c>
      <c r="H17" s="12"/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18</v>
      </c>
      <c r="B18" s="12" t="s">
        <v>81</v>
      </c>
      <c r="C18" s="12">
        <v>780</v>
      </c>
      <c r="D18" s="12">
        <v>795</v>
      </c>
      <c r="E18" s="12">
        <v>805</v>
      </c>
      <c r="F18" s="12">
        <v>840</v>
      </c>
      <c r="G18" s="12">
        <v>852</v>
      </c>
      <c r="H18" s="12"/>
      <c r="I18" s="8"/>
      <c r="J18" s="8"/>
      <c r="K18" s="8"/>
      <c r="L18" s="8"/>
      <c r="M18" s="8"/>
      <c r="N18" s="5"/>
      <c r="O18" s="5"/>
      <c r="P18" s="5"/>
      <c r="Q18" s="5"/>
      <c r="R18" s="5"/>
      <c r="S18" s="5"/>
      <c r="T18" s="5"/>
    </row>
    <row r="19" spans="1:21" ht="22" x14ac:dyDescent="0.3">
      <c r="A19" s="2" t="s">
        <v>17</v>
      </c>
      <c r="B19" s="12" t="s">
        <v>82</v>
      </c>
      <c r="C19" s="12">
        <v>416.8</v>
      </c>
      <c r="D19" s="12">
        <v>428.1</v>
      </c>
      <c r="E19" s="12">
        <v>437</v>
      </c>
      <c r="F19" s="12">
        <v>432.2</v>
      </c>
      <c r="G19" s="12">
        <v>440.3</v>
      </c>
      <c r="H19" s="12"/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16</v>
      </c>
      <c r="B20" s="12" t="s">
        <v>83</v>
      </c>
      <c r="C20" s="12">
        <v>593.20000000000005</v>
      </c>
      <c r="D20" s="12">
        <v>597.20000000000005</v>
      </c>
      <c r="E20" s="12">
        <v>607.1</v>
      </c>
      <c r="F20" s="12">
        <v>637.4</v>
      </c>
      <c r="G20" s="12">
        <v>646.79999999999995</v>
      </c>
      <c r="H20" s="12"/>
      <c r="I20" s="8"/>
      <c r="J20" s="8"/>
      <c r="K20" s="8"/>
      <c r="L20" s="8"/>
      <c r="M20" s="8"/>
      <c r="N20"/>
      <c r="O20" s="5"/>
      <c r="P20" s="5"/>
      <c r="Q20" s="5"/>
      <c r="R20" s="5"/>
      <c r="S20" s="5"/>
      <c r="T20" s="5"/>
      <c r="U20" s="5"/>
    </row>
    <row r="21" spans="1:21" ht="22" x14ac:dyDescent="0.3">
      <c r="A21" s="2" t="s">
        <v>110</v>
      </c>
      <c r="B21" s="9" t="s">
        <v>103</v>
      </c>
      <c r="C21" s="8">
        <v>2.4</v>
      </c>
      <c r="D21" s="8">
        <v>2.4</v>
      </c>
      <c r="E21" s="8">
        <v>2.4</v>
      </c>
      <c r="F21" s="8">
        <v>2.4</v>
      </c>
      <c r="G21" s="8">
        <v>2.4</v>
      </c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19</v>
      </c>
      <c r="B22" s="9" t="s">
        <v>104</v>
      </c>
      <c r="C22" s="13">
        <v>1122.5</v>
      </c>
      <c r="D22" s="13">
        <v>1138.4000000000001</v>
      </c>
      <c r="E22" s="13">
        <v>1148.5</v>
      </c>
      <c r="F22" s="13">
        <v>1162.4000000000001</v>
      </c>
      <c r="G22" s="13">
        <v>1174.4000000000001</v>
      </c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111</v>
      </c>
      <c r="B23" s="9" t="s">
        <v>105</v>
      </c>
      <c r="C23" s="2">
        <v>100</v>
      </c>
      <c r="D23" s="2">
        <v>100</v>
      </c>
      <c r="E23" s="2">
        <v>100</v>
      </c>
      <c r="F23" s="2">
        <v>120</v>
      </c>
      <c r="G23" s="2">
        <v>120</v>
      </c>
      <c r="H23" s="13"/>
      <c r="I23" s="7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12</v>
      </c>
      <c r="B24" s="9"/>
      <c r="H24" s="13"/>
      <c r="I24" s="7"/>
      <c r="J24" s="8"/>
      <c r="K24" s="8"/>
      <c r="L24" s="8"/>
      <c r="M24" s="8"/>
      <c r="N24" s="5"/>
      <c r="O24" s="5"/>
      <c r="P24" s="5"/>
      <c r="Q24" s="5"/>
      <c r="R24" s="5"/>
      <c r="S24" s="5"/>
      <c r="T24" s="5"/>
    </row>
    <row r="25" spans="1:21" ht="22" x14ac:dyDescent="0.3">
      <c r="A25" s="2" t="s">
        <v>13</v>
      </c>
      <c r="I25" s="8"/>
      <c r="J25" s="8"/>
      <c r="K25" s="8"/>
      <c r="L25" s="8"/>
      <c r="M25" s="8"/>
      <c r="N25" s="5"/>
      <c r="O25" s="5"/>
      <c r="P25" s="5"/>
      <c r="Q25" s="5"/>
      <c r="R25" s="5"/>
      <c r="S25" s="5"/>
      <c r="T25" s="5"/>
    </row>
    <row r="26" spans="1:21" ht="22" x14ac:dyDescent="0.3">
      <c r="A26" s="2" t="s">
        <v>74</v>
      </c>
      <c r="H26" s="8"/>
      <c r="I26" s="8"/>
      <c r="J26" s="8"/>
      <c r="K26" s="8"/>
      <c r="L26" s="8"/>
      <c r="M26" s="8"/>
      <c r="N26" s="5"/>
      <c r="O26" s="5"/>
      <c r="P26" s="5"/>
      <c r="Q26" s="5"/>
      <c r="R26" s="5"/>
      <c r="S26" s="5"/>
      <c r="T26" s="5"/>
    </row>
    <row r="27" spans="1:21" ht="22" x14ac:dyDescent="0.3">
      <c r="A27" s="2" t="s">
        <v>73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5"/>
      <c r="P27" s="5"/>
      <c r="Q27" s="5"/>
      <c r="R27" s="5"/>
      <c r="S27" s="5"/>
      <c r="T27" s="5"/>
      <c r="U27" s="5"/>
    </row>
    <row r="28" spans="1:21" ht="22" x14ac:dyDescent="0.3">
      <c r="A28" s="2" t="s">
        <v>20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4"/>
      <c r="O28" s="5"/>
      <c r="P28" s="5"/>
      <c r="Q28" s="5"/>
      <c r="R28" s="5"/>
      <c r="S28" s="5"/>
      <c r="T28" s="5"/>
      <c r="U28" s="5"/>
    </row>
    <row r="29" spans="1:21" ht="22" x14ac:dyDescent="0.3">
      <c r="A29" s="2" t="s">
        <v>21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4"/>
      <c r="O29" s="5"/>
      <c r="P29" s="5"/>
      <c r="Q29" s="5"/>
      <c r="R29" s="5"/>
      <c r="S29" s="5"/>
      <c r="T29" s="5"/>
      <c r="U29" s="5"/>
    </row>
    <row r="30" spans="1:21" x14ac:dyDescent="0.3">
      <c r="A30" s="2" t="s">
        <v>22</v>
      </c>
      <c r="F30" s="6"/>
    </row>
    <row r="31" spans="1:21" x14ac:dyDescent="0.3">
      <c r="A31" s="2" t="s">
        <v>23</v>
      </c>
      <c r="F31" s="6"/>
    </row>
    <row r="32" spans="1:21" x14ac:dyDescent="0.3">
      <c r="A32" s="2" t="s">
        <v>24</v>
      </c>
      <c r="B32" s="2" t="s">
        <v>24</v>
      </c>
      <c r="C32" s="2">
        <v>700</v>
      </c>
      <c r="D32" s="2">
        <v>700</v>
      </c>
      <c r="E32" s="2">
        <v>700</v>
      </c>
      <c r="F32" s="2">
        <v>700</v>
      </c>
      <c r="G32" s="2">
        <v>700</v>
      </c>
    </row>
    <row r="33" spans="1:12" x14ac:dyDescent="0.3">
      <c r="A33" s="2" t="s">
        <v>25</v>
      </c>
      <c r="B33" s="2" t="s">
        <v>25</v>
      </c>
      <c r="C33" s="2">
        <v>2.25</v>
      </c>
      <c r="D33" s="2">
        <v>2.25</v>
      </c>
      <c r="E33" s="2">
        <v>2.25</v>
      </c>
      <c r="F33" s="2">
        <v>2.25</v>
      </c>
      <c r="G33" s="2">
        <v>2.25</v>
      </c>
    </row>
    <row r="34" spans="1:12" x14ac:dyDescent="0.3">
      <c r="A34" s="2" t="s">
        <v>26</v>
      </c>
      <c r="B34" s="2" t="s">
        <v>26</v>
      </c>
      <c r="C34" s="2">
        <v>2.4</v>
      </c>
      <c r="D34" s="2">
        <v>2.4</v>
      </c>
      <c r="E34" s="2">
        <v>2.4</v>
      </c>
      <c r="F34" s="2">
        <v>2.4</v>
      </c>
      <c r="G34" s="2">
        <v>2.4</v>
      </c>
    </row>
    <row r="35" spans="1:12" x14ac:dyDescent="0.3">
      <c r="A35" s="2" t="s">
        <v>27</v>
      </c>
      <c r="B35" s="2" t="s">
        <v>28</v>
      </c>
    </row>
    <row r="36" spans="1:12" x14ac:dyDescent="0.3">
      <c r="A36" s="2" t="s">
        <v>29</v>
      </c>
      <c r="B36" s="2" t="s">
        <v>30</v>
      </c>
    </row>
    <row r="37" spans="1:12" ht="22" x14ac:dyDescent="0.3">
      <c r="C37" s="9"/>
      <c r="D37" s="7"/>
      <c r="E37" s="7"/>
      <c r="F37" s="7"/>
      <c r="L37" s="1"/>
    </row>
    <row r="38" spans="1:12" x14ac:dyDescent="0.3">
      <c r="A38" s="2" t="s">
        <v>31</v>
      </c>
      <c r="B38" s="2" t="s">
        <v>32</v>
      </c>
    </row>
    <row r="39" spans="1:12" x14ac:dyDescent="0.3">
      <c r="A39" s="2" t="s">
        <v>68</v>
      </c>
      <c r="B39" s="2" t="s">
        <v>119</v>
      </c>
    </row>
    <row r="40" spans="1:12" x14ac:dyDescent="0.3">
      <c r="A40" s="2" t="s">
        <v>69</v>
      </c>
      <c r="B40" s="2" t="s">
        <v>70</v>
      </c>
    </row>
    <row r="41" spans="1:12" x14ac:dyDescent="0.3">
      <c r="A41" s="2" t="s">
        <v>71</v>
      </c>
      <c r="B41" s="2" t="s">
        <v>112</v>
      </c>
    </row>
    <row r="42" spans="1:12" x14ac:dyDescent="0.3">
      <c r="A42" s="2" t="s">
        <v>33</v>
      </c>
      <c r="B42" s="2" t="s">
        <v>85</v>
      </c>
    </row>
    <row r="43" spans="1:12" x14ac:dyDescent="0.3">
      <c r="A43" s="2" t="s">
        <v>34</v>
      </c>
      <c r="B43" s="2" t="s">
        <v>72</v>
      </c>
    </row>
    <row r="44" spans="1:12" x14ac:dyDescent="0.3">
      <c r="A44" s="2" t="s">
        <v>35</v>
      </c>
    </row>
    <row r="45" spans="1:12" x14ac:dyDescent="0.3">
      <c r="A45" s="2" t="s">
        <v>36</v>
      </c>
      <c r="B45" s="2">
        <v>2.4</v>
      </c>
    </row>
    <row r="46" spans="1:12" x14ac:dyDescent="0.3">
      <c r="A46" s="2" t="s">
        <v>37</v>
      </c>
    </row>
    <row r="47" spans="1:12" x14ac:dyDescent="0.3">
      <c r="A47" s="2" t="s">
        <v>38</v>
      </c>
      <c r="B47" s="2">
        <v>100</v>
      </c>
    </row>
    <row r="48" spans="1:12" x14ac:dyDescent="0.3">
      <c r="A48" s="2" t="s">
        <v>39</v>
      </c>
    </row>
    <row r="49" spans="1:2" x14ac:dyDescent="0.3">
      <c r="A49" s="2" t="s">
        <v>40</v>
      </c>
    </row>
    <row r="50" spans="1:2" x14ac:dyDescent="0.3">
      <c r="A50" s="2" t="s">
        <v>41</v>
      </c>
    </row>
    <row r="51" spans="1:2" x14ac:dyDescent="0.3">
      <c r="A51" s="2" t="s">
        <v>42</v>
      </c>
      <c r="B51" s="2">
        <v>148</v>
      </c>
    </row>
    <row r="52" spans="1:2" x14ac:dyDescent="0.3">
      <c r="A52" s="2" t="s">
        <v>43</v>
      </c>
      <c r="B52" s="2">
        <v>110</v>
      </c>
    </row>
    <row r="53" spans="1:2" x14ac:dyDescent="0.3">
      <c r="A53" s="2" t="s">
        <v>44</v>
      </c>
      <c r="B53" s="2" t="s">
        <v>117</v>
      </c>
    </row>
    <row r="54" spans="1:2" x14ac:dyDescent="0.3">
      <c r="A54" s="2" t="s">
        <v>45</v>
      </c>
    </row>
    <row r="55" spans="1:2" x14ac:dyDescent="0.3">
      <c r="A55" s="2" t="s">
        <v>46</v>
      </c>
      <c r="B55" s="2">
        <v>31.6</v>
      </c>
    </row>
    <row r="56" spans="1:2" x14ac:dyDescent="0.3">
      <c r="A56" s="2" t="s">
        <v>47</v>
      </c>
      <c r="B56" s="2" t="s">
        <v>72</v>
      </c>
    </row>
    <row r="57" spans="1:2" x14ac:dyDescent="0.3">
      <c r="A57" s="2" t="s">
        <v>48</v>
      </c>
      <c r="B57" s="2">
        <v>42</v>
      </c>
    </row>
    <row r="58" spans="1:2" x14ac:dyDescent="0.3">
      <c r="A58" s="2" t="s">
        <v>49</v>
      </c>
    </row>
    <row r="59" spans="1:2" x14ac:dyDescent="0.3">
      <c r="A59" s="2" t="s">
        <v>50</v>
      </c>
    </row>
    <row r="60" spans="1:2" x14ac:dyDescent="0.3">
      <c r="A60" s="2" t="s">
        <v>51</v>
      </c>
    </row>
    <row r="61" spans="1:2" x14ac:dyDescent="0.3">
      <c r="A61" s="2" t="s">
        <v>52</v>
      </c>
    </row>
    <row r="62" spans="1:2" x14ac:dyDescent="0.3">
      <c r="A62" s="2" t="s">
        <v>53</v>
      </c>
      <c r="B62" s="2" t="s">
        <v>118</v>
      </c>
    </row>
    <row r="63" spans="1:2" x14ac:dyDescent="0.3">
      <c r="A63" s="2" t="s">
        <v>54</v>
      </c>
      <c r="B63" s="2" t="s">
        <v>86</v>
      </c>
    </row>
    <row r="64" spans="1:2" x14ac:dyDescent="0.3">
      <c r="A64" s="2" t="s">
        <v>55</v>
      </c>
    </row>
    <row r="65" spans="1:2" x14ac:dyDescent="0.3">
      <c r="A65" s="2" t="s">
        <v>56</v>
      </c>
    </row>
    <row r="66" spans="1:2" x14ac:dyDescent="0.3">
      <c r="A66" s="2" t="s">
        <v>57</v>
      </c>
    </row>
    <row r="67" spans="1:2" x14ac:dyDescent="0.3">
      <c r="A67" s="2" t="s">
        <v>58</v>
      </c>
    </row>
    <row r="68" spans="1:2" x14ac:dyDescent="0.3">
      <c r="A68" s="2" t="s">
        <v>59</v>
      </c>
    </row>
    <row r="69" spans="1:2" x14ac:dyDescent="0.3">
      <c r="A69" s="2" t="s">
        <v>60</v>
      </c>
    </row>
    <row r="70" spans="1:2" x14ac:dyDescent="0.3">
      <c r="A70" s="2" t="s">
        <v>61</v>
      </c>
    </row>
    <row r="71" spans="1:2" x14ac:dyDescent="0.3">
      <c r="A71" s="2" t="s">
        <v>62</v>
      </c>
    </row>
    <row r="72" spans="1:2" x14ac:dyDescent="0.3">
      <c r="A72" s="2" t="s">
        <v>63</v>
      </c>
    </row>
    <row r="73" spans="1:2" x14ac:dyDescent="0.3">
      <c r="A73" s="2" t="s">
        <v>64</v>
      </c>
      <c r="B73" s="2">
        <v>3450</v>
      </c>
    </row>
    <row r="74" spans="1:2" x14ac:dyDescent="0.3">
      <c r="A74" s="2" t="s">
        <v>65</v>
      </c>
    </row>
    <row r="75" spans="1:2" x14ac:dyDescent="0.3">
      <c r="A75" s="2" t="s">
        <v>66</v>
      </c>
    </row>
    <row r="76" spans="1:2" x14ac:dyDescent="0.3">
      <c r="A76" s="2" t="s">
        <v>67</v>
      </c>
      <c r="B76" s="2" t="s">
        <v>87</v>
      </c>
    </row>
    <row r="77" spans="1:2" x14ac:dyDescent="0.3">
      <c r="A77" s="14" t="s">
        <v>88</v>
      </c>
      <c r="B77" s="14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2025-11-05T01:06:10Z</dcterms:modified>
</cp:coreProperties>
</file>