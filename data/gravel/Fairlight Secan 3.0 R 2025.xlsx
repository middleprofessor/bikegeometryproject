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A7D1AB2-E96C-1044-922A-CD19A0728043}" xr6:coauthVersionLast="47" xr6:coauthVersionMax="47" xr10:uidLastSave="{00000000-0000-0000-0000-000000000000}"/>
  <bookViews>
    <workbookView xWindow="2900" yWindow="11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3" i="1"/>
  <c r="D34" i="1" s="1"/>
  <c r="F33" i="1"/>
  <c r="E34" i="1" s="1"/>
  <c r="G33" i="1"/>
  <c r="F34" i="1" s="1"/>
  <c r="D33" i="1"/>
  <c r="C34" i="1" s="1"/>
  <c r="C33" i="1"/>
</calcChain>
</file>

<file path=xl/sharedStrings.xml><?xml version="1.0" encoding="utf-8"?>
<sst xmlns="http://schemas.openxmlformats.org/spreadsheetml/2006/main" count="138" uniqueCount="128">
  <si>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</si>
  <si>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</si>
  <si>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</si>
  <si>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</si>
  <si>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</si>
  <si>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</si>
  <si>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</si>
  <si>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</si>
  <si>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</si>
  <si>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</si>
  <si>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</si>
  <si>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</si>
  <si>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</si>
  <si>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</si>
  <si>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</si>
  <si>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</si>
  <si>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</si>
  <si>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</si>
  <si>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</si>
  <si>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</si>
  <si>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</si>
  <si>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</si>
  <si>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</si>
  <si>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</si>
  <si>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</si>
  <si>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</si>
  <si>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</si>
  <si>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</si>
  <si>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</si>
  <si>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</si>
  <si>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</si>
  <si>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</si>
  <si>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</si>
  <si>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</si>
  <si>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</si>
  <si>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</si>
  <si>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</si>
  <si>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</si>
  <si>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</si>
  <si>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</si>
  <si>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</si>
  <si>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</si>
  <si>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</si>
  <si>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</si>
  <si>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</si>
  <si>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</si>
  <si>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</si>
  <si>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</si>
  <si>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</si>
  <si>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</si>
  <si>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</si>
  <si>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</si>
  <si>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</si>
  <si>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</si>
  <si>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</si>
  <si>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</si>
  <si>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</si>
  <si>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</si>
  <si>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</si>
  <si>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</si>
  <si>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</si>
  <si>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</si>
  <si>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</si>
  <si>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</si>
  <si>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</si>
  <si>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</si>
  <si>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</si>
  <si>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</si>
  <si>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</si>
  <si>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</si>
  <si>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</si>
  <si>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</si>
  <si>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</si>
  <si>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</si>
  <si>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</si>
  <si>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</si>
  <si>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</si>
  <si>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</si>
  <si>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</si>
  <si>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51R</t>
  </si>
  <si>
    <t>54R</t>
  </si>
  <si>
    <t>56R</t>
  </si>
  <si>
    <t>58R</t>
  </si>
  <si>
    <t>61R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</si>
  <si>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</si>
  <si>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</si>
  <si>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</si>
  <si>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</si>
  <si>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</si>
  <si>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</si>
  <si>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</si>
  <si>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</si>
  <si>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</si>
  <si>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</si>
  <si>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</si>
  <si>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</si>
  <si>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Bottom Bracket Drop</t>
  </si>
  <si>
    <t>Front Center Distance</t>
  </si>
  <si>
    <t>Head Tube Length</t>
  </si>
  <si>
    <t>Stack</t>
  </si>
  <si>
    <t>Reach</t>
  </si>
  <si>
    <t>Fork Length - Axle to Crown</t>
  </si>
  <si>
    <t>Fairlight</t>
  </si>
  <si>
    <t>front_center</t>
  </si>
  <si>
    <t>trail</t>
  </si>
  <si>
    <t>steel</t>
  </si>
  <si>
    <t>Trail - 650 x 47 Tyres (685mm)</t>
  </si>
  <si>
    <t>Trail - 700 x 38mm Tyres (697mm)</t>
  </si>
  <si>
    <t>Trail - 650 x 2.2" Tyres (702mm)</t>
  </si>
  <si>
    <t>Standover Height (700 x 45mm tyres) @ 65mm forward of BB</t>
  </si>
  <si>
    <t>Secan 3.0 R</t>
  </si>
  <si>
    <t>trail_650_47</t>
  </si>
  <si>
    <t>trail_650_2.2</t>
  </si>
  <si>
    <t>48/31</t>
  </si>
  <si>
    <t>external</t>
  </si>
  <si>
    <t>a8:g36</t>
  </si>
  <si>
    <t>https://fairlightcycles.com/secan-3-0/?v=0b3b97fa6688</t>
  </si>
  <si>
    <t>https://media.fairlightcycles.com/wp-content/uploads/2024/12/2560-x-1152-Banner-Master-Secan-3.0-Burnt-Orange.jpg</t>
  </si>
  <si>
    <t>GBP</t>
  </si>
  <si>
    <t>location</t>
  </si>
  <si>
    <t>London, United Kingdom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</si>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</sst>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3"/>
  <sheetViews>
    <sheetView tabSelected="1" topLeftCell="A49" workbookViewId="0">
      <selection activeCell="B63" sqref="B63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102</v>
      </c>
    </row>
    <row r="2" spans="1:22" x14ac:dyDescent="0.3">
      <c r="A2" s="2" t="s">
        <v>1</v>
      </c>
      <c r="B2" s="2" t="s">
        <v>110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116</v>
      </c>
    </row>
    <row r="6" spans="1:22" x14ac:dyDescent="0.3">
      <c r="B6" s="2" t="s">
        <v>117</v>
      </c>
    </row>
    <row r="7" spans="1:22" x14ac:dyDescent="0.3">
      <c r="A7" s="2" t="s">
        <v>5</v>
      </c>
      <c r="B7" s="2" t="s">
        <v>115</v>
      </c>
    </row>
    <row r="8" spans="1:22" ht="22" x14ac:dyDescent="0.3">
      <c r="A8" s="2" t="s">
        <v>6</v>
      </c>
      <c r="B8" s="7" t="s">
        <v>76</v>
      </c>
      <c r="C8" s="7" t="s">
        <v>79</v>
      </c>
      <c r="D8" s="7" t="s">
        <v>80</v>
      </c>
      <c r="E8" s="7" t="s">
        <v>81</v>
      </c>
      <c r="F8" s="7" t="s">
        <v>82</v>
      </c>
      <c r="G8" s="7" t="s">
        <v>83</v>
      </c>
      <c r="H8" s="7"/>
      <c r="I8" s="7" t="s">
        <v>84</v>
      </c>
      <c r="J8" s="7" t="s">
        <v>85</v>
      </c>
      <c r="K8" s="7" t="s">
        <v>86</v>
      </c>
      <c r="L8" s="7" t="s">
        <v>87</v>
      </c>
      <c r="M8" s="7" t="s">
        <v>88</v>
      </c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7" t="s">
        <v>89</v>
      </c>
      <c r="C9" s="8">
        <v>537</v>
      </c>
      <c r="D9" s="8">
        <v>550</v>
      </c>
      <c r="E9" s="8">
        <v>568</v>
      </c>
      <c r="F9" s="8">
        <v>581</v>
      </c>
      <c r="G9" s="8">
        <v>594</v>
      </c>
      <c r="H9" s="8"/>
      <c r="I9" s="8">
        <v>535</v>
      </c>
      <c r="J9" s="8">
        <v>549</v>
      </c>
      <c r="K9" s="8">
        <v>568</v>
      </c>
      <c r="L9" s="8">
        <v>581</v>
      </c>
      <c r="M9" s="8">
        <v>595</v>
      </c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9</v>
      </c>
      <c r="B10" s="7" t="s">
        <v>90</v>
      </c>
      <c r="C10" s="8">
        <v>490</v>
      </c>
      <c r="D10" s="8">
        <v>510</v>
      </c>
      <c r="E10" s="8">
        <v>520</v>
      </c>
      <c r="F10" s="8">
        <v>540</v>
      </c>
      <c r="G10" s="8">
        <v>560</v>
      </c>
      <c r="H10" s="8"/>
      <c r="I10" s="8">
        <v>495</v>
      </c>
      <c r="J10" s="8">
        <v>515</v>
      </c>
      <c r="K10" s="8">
        <v>535</v>
      </c>
      <c r="L10" s="8">
        <v>555</v>
      </c>
      <c r="M10" s="8">
        <v>575</v>
      </c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7" t="s">
        <v>91</v>
      </c>
      <c r="C11" s="8">
        <v>74</v>
      </c>
      <c r="D11" s="8">
        <v>74</v>
      </c>
      <c r="E11" s="8">
        <v>73.5</v>
      </c>
      <c r="F11" s="8">
        <v>73.5</v>
      </c>
      <c r="G11" s="8">
        <v>73.5</v>
      </c>
      <c r="H11" s="8"/>
      <c r="I11" s="8">
        <v>74</v>
      </c>
      <c r="J11" s="8">
        <v>74</v>
      </c>
      <c r="K11" s="8">
        <v>73.5</v>
      </c>
      <c r="L11" s="8">
        <v>73.5</v>
      </c>
      <c r="M11" s="8">
        <v>73.5</v>
      </c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11</v>
      </c>
      <c r="B12" s="7" t="s">
        <v>92</v>
      </c>
      <c r="C12" s="8">
        <v>70</v>
      </c>
      <c r="D12" s="8">
        <v>70.5</v>
      </c>
      <c r="E12" s="8">
        <v>71.25</v>
      </c>
      <c r="F12" s="8">
        <v>71.75</v>
      </c>
      <c r="G12" s="8">
        <v>71.75</v>
      </c>
      <c r="H12" s="8"/>
      <c r="I12" s="8">
        <v>70</v>
      </c>
      <c r="J12" s="8">
        <v>70.5</v>
      </c>
      <c r="K12" s="8">
        <v>71.25</v>
      </c>
      <c r="L12" s="8">
        <v>71.75</v>
      </c>
      <c r="M12" s="8">
        <v>71.75</v>
      </c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14</v>
      </c>
      <c r="B13" s="7" t="s">
        <v>93</v>
      </c>
      <c r="C13" s="8">
        <v>432</v>
      </c>
      <c r="D13" s="8">
        <v>432</v>
      </c>
      <c r="E13" s="8">
        <v>432</v>
      </c>
      <c r="F13" s="8">
        <v>432</v>
      </c>
      <c r="G13" s="8">
        <v>432</v>
      </c>
      <c r="H13" s="8"/>
      <c r="I13" s="8">
        <v>432</v>
      </c>
      <c r="J13" s="8">
        <v>432</v>
      </c>
      <c r="K13" s="8">
        <v>432</v>
      </c>
      <c r="L13" s="8">
        <v>432</v>
      </c>
      <c r="M13" s="8">
        <v>432</v>
      </c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13</v>
      </c>
      <c r="B14" s="7" t="s">
        <v>94</v>
      </c>
      <c r="C14" s="8">
        <v>50</v>
      </c>
      <c r="D14" s="8">
        <v>50</v>
      </c>
      <c r="E14" s="8">
        <v>50</v>
      </c>
      <c r="F14" s="8">
        <v>50</v>
      </c>
      <c r="G14" s="8">
        <v>50</v>
      </c>
      <c r="H14" s="8"/>
      <c r="I14" s="8">
        <v>50</v>
      </c>
      <c r="J14" s="8">
        <v>50</v>
      </c>
      <c r="K14" s="8">
        <v>50</v>
      </c>
      <c r="L14" s="8">
        <v>50</v>
      </c>
      <c r="M14" s="8">
        <v>50</v>
      </c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19</v>
      </c>
      <c r="B15" s="7" t="s">
        <v>95</v>
      </c>
      <c r="C15" s="8">
        <v>1027</v>
      </c>
      <c r="D15" s="8">
        <v>1036</v>
      </c>
      <c r="E15" s="8">
        <v>1044</v>
      </c>
      <c r="F15" s="8">
        <v>1053</v>
      </c>
      <c r="G15" s="8">
        <v>1067</v>
      </c>
      <c r="H15" s="8"/>
      <c r="I15" s="8">
        <v>1028</v>
      </c>
      <c r="J15" s="8">
        <v>1038</v>
      </c>
      <c r="K15" s="8">
        <v>1046</v>
      </c>
      <c r="L15" s="8">
        <v>1055</v>
      </c>
      <c r="M15" s="8">
        <v>1070</v>
      </c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111</v>
      </c>
      <c r="B16" s="7" t="s">
        <v>106</v>
      </c>
      <c r="C16" s="8">
        <v>71.5</v>
      </c>
      <c r="D16" s="8">
        <v>68.2</v>
      </c>
      <c r="E16" s="8">
        <v>63.5</v>
      </c>
      <c r="F16" s="8">
        <v>60.3</v>
      </c>
      <c r="G16" s="8">
        <v>60.3</v>
      </c>
      <c r="H16" s="8"/>
      <c r="I16" s="8">
        <v>71.5</v>
      </c>
      <c r="J16" s="8">
        <v>68.2</v>
      </c>
      <c r="K16" s="8">
        <v>63.5</v>
      </c>
      <c r="L16" s="8">
        <v>60.3</v>
      </c>
      <c r="M16" s="8">
        <v>60.3</v>
      </c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104</v>
      </c>
      <c r="B17" s="7" t="s">
        <v>107</v>
      </c>
      <c r="C17" s="8">
        <v>73.599999999999994</v>
      </c>
      <c r="D17" s="8">
        <v>70.400000000000006</v>
      </c>
      <c r="E17" s="8">
        <v>65.5</v>
      </c>
      <c r="F17" s="8">
        <v>62.3</v>
      </c>
      <c r="G17" s="8">
        <v>62.3</v>
      </c>
      <c r="H17" s="8"/>
      <c r="I17" s="8">
        <v>73.599999999999994</v>
      </c>
      <c r="J17" s="8">
        <v>70.400000000000006</v>
      </c>
      <c r="K17" s="8">
        <v>65.5</v>
      </c>
      <c r="L17" s="8">
        <v>62.3</v>
      </c>
      <c r="M17" s="8">
        <v>62.3</v>
      </c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112</v>
      </c>
      <c r="B18" s="7" t="s">
        <v>108</v>
      </c>
      <c r="C18" s="8">
        <v>74.5</v>
      </c>
      <c r="D18" s="8">
        <v>71.3</v>
      </c>
      <c r="E18" s="8">
        <v>66.3</v>
      </c>
      <c r="F18" s="8">
        <v>63.1</v>
      </c>
      <c r="G18" s="8">
        <v>63.1</v>
      </c>
      <c r="H18" s="8"/>
      <c r="I18" s="8">
        <v>74.5</v>
      </c>
      <c r="J18" s="8">
        <v>71.3</v>
      </c>
      <c r="K18" s="8">
        <v>66.3</v>
      </c>
      <c r="L18" s="8">
        <v>63.1</v>
      </c>
      <c r="M18" s="8">
        <v>63.1</v>
      </c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15</v>
      </c>
      <c r="B19" s="7" t="s">
        <v>96</v>
      </c>
      <c r="C19" s="8">
        <v>77</v>
      </c>
      <c r="D19" s="8">
        <v>77</v>
      </c>
      <c r="E19" s="8">
        <v>75</v>
      </c>
      <c r="F19" s="8">
        <v>75</v>
      </c>
      <c r="G19" s="8">
        <v>75</v>
      </c>
      <c r="H19" s="8"/>
      <c r="I19" s="8">
        <v>77</v>
      </c>
      <c r="J19" s="8">
        <v>77</v>
      </c>
      <c r="K19" s="8">
        <v>75</v>
      </c>
      <c r="L19" s="8">
        <v>75</v>
      </c>
      <c r="M19" s="8">
        <v>75</v>
      </c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103</v>
      </c>
      <c r="B20" s="7" t="s">
        <v>97</v>
      </c>
      <c r="C20" s="8">
        <v>607</v>
      </c>
      <c r="D20" s="8">
        <v>616</v>
      </c>
      <c r="E20" s="8">
        <v>623</v>
      </c>
      <c r="F20" s="8">
        <v>632</v>
      </c>
      <c r="G20" s="8">
        <v>646</v>
      </c>
      <c r="H20" s="8"/>
      <c r="I20" s="8">
        <v>608</v>
      </c>
      <c r="J20" s="8">
        <v>618</v>
      </c>
      <c r="K20" s="8">
        <v>625</v>
      </c>
      <c r="L20" s="8">
        <v>634</v>
      </c>
      <c r="M20" s="8">
        <v>649</v>
      </c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10</v>
      </c>
      <c r="B21" s="7" t="s">
        <v>98</v>
      </c>
      <c r="C21" s="8">
        <v>104</v>
      </c>
      <c r="D21" s="8">
        <v>121</v>
      </c>
      <c r="E21" s="8">
        <v>139</v>
      </c>
      <c r="F21" s="8">
        <v>156</v>
      </c>
      <c r="G21" s="8">
        <v>175</v>
      </c>
      <c r="H21" s="8"/>
      <c r="I21" s="8">
        <v>136</v>
      </c>
      <c r="J21" s="8">
        <v>155</v>
      </c>
      <c r="K21" s="8">
        <v>175</v>
      </c>
      <c r="L21" s="8">
        <v>194</v>
      </c>
      <c r="M21" s="8">
        <v>215</v>
      </c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16</v>
      </c>
      <c r="B22" s="7" t="s">
        <v>99</v>
      </c>
      <c r="C22" s="8">
        <v>540</v>
      </c>
      <c r="D22" s="8">
        <v>558</v>
      </c>
      <c r="E22" s="8">
        <v>576</v>
      </c>
      <c r="F22" s="8">
        <v>594</v>
      </c>
      <c r="G22" s="8">
        <v>612</v>
      </c>
      <c r="H22" s="8"/>
      <c r="I22" s="8">
        <v>570</v>
      </c>
      <c r="J22" s="8">
        <v>590</v>
      </c>
      <c r="K22" s="8">
        <v>610</v>
      </c>
      <c r="L22" s="8">
        <v>630</v>
      </c>
      <c r="M22" s="8">
        <v>650</v>
      </c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17</v>
      </c>
      <c r="B23" s="7" t="s">
        <v>100</v>
      </c>
      <c r="C23" s="8">
        <v>380</v>
      </c>
      <c r="D23" s="8">
        <v>388</v>
      </c>
      <c r="E23" s="8">
        <v>396</v>
      </c>
      <c r="F23" s="8">
        <v>404</v>
      </c>
      <c r="G23" s="8">
        <v>412</v>
      </c>
      <c r="H23" s="8"/>
      <c r="I23" s="8">
        <v>370</v>
      </c>
      <c r="J23" s="8">
        <v>378</v>
      </c>
      <c r="K23" s="8">
        <v>386</v>
      </c>
      <c r="L23" s="8">
        <v>394</v>
      </c>
      <c r="M23" s="8">
        <v>402</v>
      </c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18</v>
      </c>
      <c r="B24" s="7" t="s">
        <v>109</v>
      </c>
      <c r="C24" s="8">
        <v>756</v>
      </c>
      <c r="D24" s="8">
        <v>775</v>
      </c>
      <c r="E24" s="8">
        <v>789</v>
      </c>
      <c r="F24" s="8">
        <v>808</v>
      </c>
      <c r="G24" s="8">
        <v>827</v>
      </c>
      <c r="H24" s="8"/>
      <c r="I24" s="8">
        <v>771</v>
      </c>
      <c r="J24" s="8">
        <v>791</v>
      </c>
      <c r="K24" s="8">
        <v>812</v>
      </c>
      <c r="L24" s="8">
        <v>832</v>
      </c>
      <c r="M24" s="8">
        <v>851</v>
      </c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12</v>
      </c>
      <c r="B25" s="7" t="s">
        <v>101</v>
      </c>
      <c r="C25" s="8">
        <v>398</v>
      </c>
      <c r="D25" s="8">
        <v>398</v>
      </c>
      <c r="E25" s="8">
        <v>398</v>
      </c>
      <c r="F25" s="8">
        <v>398</v>
      </c>
      <c r="G25" s="8">
        <v>398</v>
      </c>
      <c r="H25" s="8"/>
      <c r="I25" s="8">
        <v>398</v>
      </c>
      <c r="J25" s="8">
        <v>398</v>
      </c>
      <c r="K25" s="8">
        <v>398</v>
      </c>
      <c r="L25" s="8">
        <v>398</v>
      </c>
      <c r="M25" s="8">
        <v>398</v>
      </c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20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ht="22" x14ac:dyDescent="0.3">
      <c r="A27" s="2" t="s">
        <v>21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x14ac:dyDescent="0.3">
      <c r="A28" s="2" t="s">
        <v>22</v>
      </c>
      <c r="F28" s="6"/>
    </row>
    <row r="29" spans="1:21" x14ac:dyDescent="0.3">
      <c r="A29" s="2" t="s">
        <v>23</v>
      </c>
      <c r="E29" s="2">
        <v>1987</v>
      </c>
      <c r="F29" s="6"/>
    </row>
    <row r="30" spans="1:21" x14ac:dyDescent="0.3">
      <c r="A30" s="2" t="s">
        <v>24</v>
      </c>
      <c r="B30" s="2" t="s">
        <v>24</v>
      </c>
      <c r="C30" s="2">
        <v>700</v>
      </c>
      <c r="D30" s="2">
        <v>700</v>
      </c>
      <c r="E30" s="2">
        <v>700</v>
      </c>
      <c r="F30" s="2">
        <v>700</v>
      </c>
      <c r="G30" s="2">
        <v>700</v>
      </c>
    </row>
    <row r="31" spans="1:21" x14ac:dyDescent="0.3">
      <c r="A31" s="2" t="s">
        <v>25</v>
      </c>
      <c r="B31" s="2" t="s">
        <v>25</v>
      </c>
      <c r="C31" s="2">
        <v>38</v>
      </c>
      <c r="D31" s="2">
        <v>38</v>
      </c>
      <c r="E31" s="2">
        <v>38</v>
      </c>
      <c r="F31" s="2">
        <v>38</v>
      </c>
      <c r="G31" s="2">
        <v>38</v>
      </c>
    </row>
    <row r="32" spans="1:21" x14ac:dyDescent="0.3">
      <c r="A32" s="2" t="s">
        <v>26</v>
      </c>
      <c r="B32" s="2" t="s">
        <v>26</v>
      </c>
      <c r="C32" s="2">
        <v>53</v>
      </c>
      <c r="D32" s="2">
        <v>53</v>
      </c>
      <c r="E32" s="2">
        <v>53</v>
      </c>
      <c r="F32" s="2">
        <v>53</v>
      </c>
      <c r="G32" s="2">
        <v>53</v>
      </c>
    </row>
    <row r="33" spans="1:12" x14ac:dyDescent="0.3">
      <c r="A33" s="2" t="s">
        <v>27</v>
      </c>
      <c r="B33" s="2" t="s">
        <v>28</v>
      </c>
      <c r="C33" s="2">
        <f>C35</f>
        <v>157</v>
      </c>
      <c r="D33" s="2">
        <f>AVERAGE(D35,C36)</f>
        <v>171.5</v>
      </c>
      <c r="E33" s="2">
        <f t="shared" ref="E33:G33" si="0">AVERAGE(E35,D36)</f>
        <v>176.5</v>
      </c>
      <c r="F33" s="2">
        <f t="shared" si="0"/>
        <v>181.5</v>
      </c>
      <c r="G33" s="2">
        <f t="shared" si="0"/>
        <v>189.5</v>
      </c>
    </row>
    <row r="34" spans="1:12" x14ac:dyDescent="0.3">
      <c r="A34" s="2" t="s">
        <v>29</v>
      </c>
      <c r="B34" s="2" t="s">
        <v>30</v>
      </c>
      <c r="C34" s="2">
        <f>D33</f>
        <v>171.5</v>
      </c>
      <c r="D34" s="2">
        <f t="shared" ref="D34:F34" si="1">E33</f>
        <v>176.5</v>
      </c>
      <c r="E34" s="2">
        <f t="shared" si="1"/>
        <v>181.5</v>
      </c>
      <c r="F34" s="2">
        <f t="shared" si="1"/>
        <v>189.5</v>
      </c>
      <c r="G34" s="2">
        <f>G36</f>
        <v>198</v>
      </c>
    </row>
    <row r="35" spans="1:12" x14ac:dyDescent="0.3">
      <c r="A35" s="2" t="s">
        <v>77</v>
      </c>
      <c r="C35" s="2">
        <v>157</v>
      </c>
      <c r="D35" s="2">
        <v>173</v>
      </c>
      <c r="E35" s="2">
        <v>178</v>
      </c>
      <c r="F35" s="2">
        <v>183</v>
      </c>
      <c r="G35" s="2">
        <v>191</v>
      </c>
    </row>
    <row r="36" spans="1:12" x14ac:dyDescent="0.3">
      <c r="A36" s="2" t="s">
        <v>78</v>
      </c>
      <c r="C36" s="2">
        <v>170</v>
      </c>
      <c r="D36" s="2">
        <v>175</v>
      </c>
      <c r="E36" s="2">
        <v>180</v>
      </c>
      <c r="F36" s="2">
        <v>188</v>
      </c>
      <c r="G36" s="2">
        <v>198</v>
      </c>
    </row>
    <row r="37" spans="1:12" x14ac:dyDescent="0.3"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69</v>
      </c>
    </row>
    <row r="40" spans="1:12" x14ac:dyDescent="0.3">
      <c r="A40" s="2" t="s">
        <v>70</v>
      </c>
      <c r="B40" s="2" t="s">
        <v>71</v>
      </c>
    </row>
    <row r="41" spans="1:12" x14ac:dyDescent="0.3">
      <c r="A41" s="2" t="s">
        <v>72</v>
      </c>
      <c r="B41" s="2" t="s">
        <v>73</v>
      </c>
    </row>
    <row r="42" spans="1:12" x14ac:dyDescent="0.3">
      <c r="A42" s="2" t="s">
        <v>33</v>
      </c>
      <c r="B42" s="2" t="s">
        <v>105</v>
      </c>
    </row>
    <row r="43" spans="1:12" x14ac:dyDescent="0.3">
      <c r="A43" s="2" t="s">
        <v>34</v>
      </c>
      <c r="B43" s="2" t="s">
        <v>74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53</v>
      </c>
    </row>
    <row r="46" spans="1:12" x14ac:dyDescent="0.3">
      <c r="A46" s="2" t="s">
        <v>37</v>
      </c>
      <c r="B46" s="2">
        <v>2.4500000000000002</v>
      </c>
    </row>
    <row r="47" spans="1:12" x14ac:dyDescent="0.3">
      <c r="A47" s="2" t="s">
        <v>38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142</v>
      </c>
    </row>
    <row r="52" spans="1:2" x14ac:dyDescent="0.3">
      <c r="A52" s="2" t="s">
        <v>43</v>
      </c>
      <c r="B52" s="2">
        <v>100</v>
      </c>
    </row>
    <row r="53" spans="1:2" x14ac:dyDescent="0.3">
      <c r="A53" s="2" t="s">
        <v>122</v>
      </c>
    </row>
    <row r="54" spans="1:2" x14ac:dyDescent="0.3">
      <c r="A54" s="2" t="s">
        <v>123</v>
      </c>
    </row>
    <row r="55" spans="1:2" x14ac:dyDescent="0.3">
      <c r="A55" s="2" t="s">
        <v>124</v>
      </c>
    </row>
    <row r="56" spans="1:2" x14ac:dyDescent="0.3">
      <c r="A56" s="2" t="s">
        <v>125</v>
      </c>
    </row>
    <row r="57" spans="1:2" x14ac:dyDescent="0.3">
      <c r="A57" s="2" t="s">
        <v>126</v>
      </c>
    </row>
    <row r="58" spans="1:2" x14ac:dyDescent="0.3">
      <c r="A58" s="2" t="s">
        <v>127</v>
      </c>
    </row>
    <row r="59" spans="1:2" x14ac:dyDescent="0.3">
      <c r="A59" s="2" t="s">
        <v>44</v>
      </c>
      <c r="B59" s="2" t="s">
        <v>75</v>
      </c>
    </row>
    <row r="60" spans="1:2" x14ac:dyDescent="0.3">
      <c r="A60" s="2" t="s">
        <v>45</v>
      </c>
    </row>
    <row r="61" spans="1:2" x14ac:dyDescent="0.3">
      <c r="A61" s="2" t="s">
        <v>46</v>
      </c>
      <c r="B61" s="2">
        <v>27.2</v>
      </c>
    </row>
    <row r="62" spans="1:2" x14ac:dyDescent="0.3">
      <c r="A62" s="2" t="s">
        <v>47</v>
      </c>
      <c r="B62" s="2" t="s">
        <v>74</v>
      </c>
    </row>
    <row r="63" spans="1:2" x14ac:dyDescent="0.3">
      <c r="A63" s="2" t="s">
        <v>48</v>
      </c>
      <c r="B63" s="2">
        <v>42</v>
      </c>
    </row>
    <row r="64" spans="1:2" x14ac:dyDescent="0.3">
      <c r="A64" s="2" t="s">
        <v>49</v>
      </c>
      <c r="B64" s="2" t="s">
        <v>113</v>
      </c>
    </row>
    <row r="65" spans="1:2" x14ac:dyDescent="0.3">
      <c r="A65" s="2" t="s">
        <v>50</v>
      </c>
      <c r="B65" s="2">
        <v>180</v>
      </c>
    </row>
    <row r="66" spans="1:2" x14ac:dyDescent="0.3">
      <c r="A66" s="2" t="s">
        <v>51</v>
      </c>
      <c r="B66" s="2">
        <v>180</v>
      </c>
    </row>
    <row r="67" spans="1:2" x14ac:dyDescent="0.3">
      <c r="A67" s="2" t="s">
        <v>52</v>
      </c>
    </row>
    <row r="68" spans="1:2" x14ac:dyDescent="0.3">
      <c r="A68" s="2" t="s">
        <v>53</v>
      </c>
      <c r="B68" s="2" t="s">
        <v>114</v>
      </c>
    </row>
    <row r="69" spans="1:2" x14ac:dyDescent="0.3">
      <c r="A69" s="2" t="s">
        <v>54</v>
      </c>
      <c r="B69" s="2" t="s">
        <v>121</v>
      </c>
    </row>
    <row r="70" spans="1:2" x14ac:dyDescent="0.3">
      <c r="A70" s="2" t="s">
        <v>55</v>
      </c>
      <c r="B70" s="2" t="s">
        <v>74</v>
      </c>
    </row>
    <row r="71" spans="1:2" x14ac:dyDescent="0.3">
      <c r="A71" s="2" t="s">
        <v>56</v>
      </c>
    </row>
    <row r="72" spans="1:2" x14ac:dyDescent="0.3">
      <c r="A72" s="2" t="s">
        <v>57</v>
      </c>
      <c r="B72" s="2">
        <v>2</v>
      </c>
    </row>
    <row r="73" spans="1:2" x14ac:dyDescent="0.3">
      <c r="A73" s="2" t="s">
        <v>58</v>
      </c>
      <c r="B73" s="2">
        <v>1</v>
      </c>
    </row>
    <row r="74" spans="1:2" x14ac:dyDescent="0.3">
      <c r="A74" s="2" t="s">
        <v>59</v>
      </c>
      <c r="B74" s="2" t="s">
        <v>74</v>
      </c>
    </row>
    <row r="75" spans="1:2" x14ac:dyDescent="0.3">
      <c r="A75" s="2" t="s">
        <v>60</v>
      </c>
      <c r="B75" s="2" t="s">
        <v>74</v>
      </c>
    </row>
    <row r="76" spans="1:2" x14ac:dyDescent="0.3">
      <c r="A76" s="2" t="s">
        <v>61</v>
      </c>
      <c r="B76" s="2" t="s">
        <v>74</v>
      </c>
    </row>
    <row r="77" spans="1:2" x14ac:dyDescent="0.3">
      <c r="A77" s="2" t="s">
        <v>62</v>
      </c>
      <c r="B77" s="2" t="s">
        <v>74</v>
      </c>
    </row>
    <row r="78" spans="1:2" x14ac:dyDescent="0.3">
      <c r="A78" s="2" t="s">
        <v>63</v>
      </c>
      <c r="B78" s="2" t="s">
        <v>74</v>
      </c>
    </row>
    <row r="79" spans="1:2" x14ac:dyDescent="0.3">
      <c r="A79" s="2" t="s">
        <v>64</v>
      </c>
      <c r="B79" s="2">
        <v>1245</v>
      </c>
    </row>
    <row r="80" spans="1:2" x14ac:dyDescent="0.3">
      <c r="A80" s="2" t="s">
        <v>65</v>
      </c>
      <c r="B80" s="2">
        <v>2225</v>
      </c>
    </row>
    <row r="81" spans="1:2" x14ac:dyDescent="0.3">
      <c r="A81" s="2" t="s">
        <v>66</v>
      </c>
    </row>
    <row r="82" spans="1:2" x14ac:dyDescent="0.3">
      <c r="A82" s="9" t="s">
        <v>67</v>
      </c>
      <c r="B82" s="9" t="s">
        <v>118</v>
      </c>
    </row>
    <row r="83" spans="1:2" x14ac:dyDescent="0.3">
      <c r="A83" s="9" t="s">
        <v>119</v>
      </c>
      <c r="B83" s="9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2025-11-07T14:42:35Z</dcterms:modified>
</cp:coreProperties>
</file>