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CF3EEF6-3209-554C-94D0-7958CD4CB9D6}" xr6:coauthVersionLast="47" xr6:coauthVersionMax="47" xr10:uidLastSave="{00000000-0000-0000-0000-000000000000}"/>
  <bookViews>
    <workbookView xWindow="1560" yWindow="540" windowWidth="25080" windowHeight="17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9" i="1"/>
  <c r="F9" i="1"/>
  <c r="D10" i="1"/>
  <c r="E10" i="1"/>
  <c r="F10" i="1"/>
  <c r="D11" i="1"/>
  <c r="E11" i="1"/>
  <c r="F11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C17" i="1"/>
  <c r="C19" i="1"/>
  <c r="C18" i="1"/>
  <c r="C14" i="1"/>
  <c r="C13" i="1"/>
  <c r="C16" i="1"/>
  <c r="C15" i="1"/>
  <c r="C11" i="1"/>
  <c r="C10" i="1"/>
  <c r="C9" i="1"/>
</calcChain>
</file>

<file path=xl/sharedStrings.xml><?xml version="1.0" encoding="utf-8"?>
<sst xmlns="http://schemas.openxmlformats.org/spreadsheetml/2006/main" count="114" uniqueCount="109">
  <si>
    <t>brand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</si>
  <si>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</si>
  <si>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</si>
  <si>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</si>
  <si>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</si>
  <si>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</si>
  <si>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</si>
  <si>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</si>
  <si>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</si>
  <si>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</si>
  <si>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XL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</si>
  <si>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</si>
  <si>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</si>
  <si>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</si>
  <si>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</si>
  <si>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</si>
  <si>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</si>
  <si>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</si>
  <si>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</si>
  <si>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</si>
  <si>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</si>
  <si>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</si>
  <si>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</si>
  <si>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</si>
  <si>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</si>
  <si>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</si>
  <si>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</si>
  <si>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</si>
  <si>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</si>
  <si>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</si>
  <si>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</si>
  <si>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</si>
  <si>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</si>
  <si>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</si>
  <si>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</si>
  <si>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</si>
  <si>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</si>
  <si>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</si>
  <si>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</si>
  <si>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</si>
  <si>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</si>
  <si>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</si>
  <si>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</si>
  <si>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</si>
  <si>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</si>
  <si>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</si>
  <si>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</si>
  <si>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</si>
  <si>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</si>
  <si>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</si>
  <si>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</si>
  <si>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</si>
  <si>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</si>
  <si>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</si>
  <si>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</si>
  <si>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</si>
  <si>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</si>
  <si>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</si>
  <si>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</si>
  <si>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</si>
  <si>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</si>
  <si>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</si>
  <si>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</si>
  <si>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</si>
  <si>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</si>
  <si>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</si>
  <si>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</si>
  <si>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</si>
  <si>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</si>
  <si>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</si>
  <si>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</si>
  <si>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</si>
  <si>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</si>
  <si>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</si>
  <si>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Stack</t>
  </si>
  <si>
    <t>Reach</t>
  </si>
  <si>
    <t>Head Angle</t>
  </si>
  <si>
    <t>Seat Angle</t>
  </si>
  <si>
    <t>Moots</t>
  </si>
  <si>
    <t>suspension</t>
  </si>
  <si>
    <t>titanium</t>
  </si>
  <si>
    <t>USD</t>
  </si>
  <si>
    <t>location</t>
  </si>
  <si>
    <t>Steamboat Springs, Colorado, USA</t>
  </si>
  <si>
    <t>head_tube_d</t>
  </si>
  <si>
    <t>headset_upper</t>
  </si>
  <si>
    <t>headset_lower</t>
  </si>
  <si>
    <t>fork_steerer</t>
  </si>
  <si>
    <t>fork_steerer_d</t>
  </si>
  <si>
    <t>fork_material</t>
  </si>
  <si>
    <t>Scrambler</t>
  </si>
  <si>
    <t>https://moots.com/products/scrambler</t>
  </si>
  <si>
    <t>https://moots.com/cdn/shop/files/SCRAM1.jpg?v=1762383709&amp;width=2048</t>
  </si>
  <si>
    <t>Frame Size</t>
  </si>
  <si>
    <t>Effective TT (cm)</t>
  </si>
  <si>
    <t>Seat Tube (cm)</t>
  </si>
  <si>
    <t>Head Tube (cm)</t>
  </si>
  <si>
    <t>BB Drop (cm)</t>
  </si>
  <si>
    <t>Chainstay Length (cm)</t>
  </si>
  <si>
    <t>Stand Over (in)</t>
  </si>
  <si>
    <t>Fork Rake (mm)</t>
  </si>
  <si>
    <t>threaded 73</t>
  </si>
  <si>
    <t>drop bar</t>
  </si>
  <si>
    <t>gravel</t>
  </si>
  <si>
    <t>internal</t>
  </si>
  <si>
    <t>Rockshox Sid Select</t>
  </si>
  <si>
    <t>fork_travel</t>
  </si>
  <si>
    <t>fork_sag</t>
  </si>
  <si>
    <t>a8:f32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</si>
</sst>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Helvetica"/>
      <family val="2"/>
    </font>
    <font>
      <sz val="14"/>
      <color rgb="FF000000"/>
      <name val="Helvetica"/>
      <family val="2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tabSelected="1" topLeftCell="A3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11" x14ac:dyDescent="0.3">
      <c r="A1" t="s">
        <v>0</v>
      </c>
      <c r="B1" s="1" t="s">
        <v>78</v>
      </c>
    </row>
    <row r="2" spans="1:11" x14ac:dyDescent="0.3">
      <c r="A2" t="s">
        <v>1</v>
      </c>
      <c r="B2" s="1" t="s">
        <v>90</v>
      </c>
    </row>
    <row r="3" spans="1:11" x14ac:dyDescent="0.3">
      <c r="A3" t="s">
        <v>2</v>
      </c>
      <c r="B3">
        <v>2025</v>
      </c>
    </row>
    <row r="4" spans="1:11" x14ac:dyDescent="0.3">
      <c r="A4" t="s">
        <v>3</v>
      </c>
      <c r="B4" s="2">
        <v>45976</v>
      </c>
    </row>
    <row r="5" spans="1:11" x14ac:dyDescent="0.3">
      <c r="A5" t="s">
        <v>4</v>
      </c>
      <c r="B5" t="s">
        <v>91</v>
      </c>
    </row>
    <row r="6" spans="1:11" x14ac:dyDescent="0.3">
      <c r="B6" t="s">
        <v>92</v>
      </c>
    </row>
    <row r="7" spans="1:11" x14ac:dyDescent="0.3">
      <c r="A7" t="s">
        <v>5</v>
      </c>
      <c r="B7" s="1" t="s">
        <v>108</v>
      </c>
    </row>
    <row r="8" spans="1:11" x14ac:dyDescent="0.3">
      <c r="A8" t="s">
        <v>6</v>
      </c>
      <c r="B8" s="1" t="s">
        <v>93</v>
      </c>
      <c r="C8" t="s">
        <v>7</v>
      </c>
      <c r="D8" t="s">
        <v>8</v>
      </c>
      <c r="E8" t="s">
        <v>9</v>
      </c>
      <c r="F8" t="s">
        <v>10</v>
      </c>
      <c r="G8" s="3"/>
      <c r="I8" s="1"/>
    </row>
    <row r="9" spans="1:11" x14ac:dyDescent="0.3">
      <c r="A9" t="s">
        <v>12</v>
      </c>
      <c r="B9" s="1" t="s">
        <v>94</v>
      </c>
      <c r="C9">
        <f>H9*10</f>
        <v>530</v>
      </c>
      <c r="D9">
        <f t="shared" ref="D9:F11" si="0">I9*10</f>
        <v>560</v>
      </c>
      <c r="E9">
        <f t="shared" si="0"/>
        <v>580</v>
      </c>
      <c r="F9">
        <f t="shared" si="0"/>
        <v>600</v>
      </c>
      <c r="G9" s="4"/>
      <c r="H9">
        <v>53</v>
      </c>
      <c r="I9">
        <v>56</v>
      </c>
      <c r="J9">
        <v>58</v>
      </c>
      <c r="K9">
        <v>60</v>
      </c>
    </row>
    <row r="10" spans="1:11" x14ac:dyDescent="0.3">
      <c r="A10" t="s">
        <v>11</v>
      </c>
      <c r="B10" t="s">
        <v>95</v>
      </c>
      <c r="C10">
        <f>H10*10</f>
        <v>431.8</v>
      </c>
      <c r="D10">
        <f t="shared" si="0"/>
        <v>508</v>
      </c>
      <c r="E10">
        <f t="shared" si="0"/>
        <v>558.80000000000007</v>
      </c>
      <c r="F10">
        <f t="shared" si="0"/>
        <v>584.20000000000005</v>
      </c>
      <c r="G10" s="4"/>
      <c r="H10">
        <v>43.18</v>
      </c>
      <c r="I10">
        <v>50.8</v>
      </c>
      <c r="J10">
        <v>55.88</v>
      </c>
      <c r="K10">
        <v>58.42</v>
      </c>
    </row>
    <row r="11" spans="1:11" x14ac:dyDescent="0.3">
      <c r="A11" t="s">
        <v>13</v>
      </c>
      <c r="B11" t="s">
        <v>96</v>
      </c>
      <c r="C11">
        <f>H11*10</f>
        <v>100</v>
      </c>
      <c r="D11">
        <f t="shared" si="0"/>
        <v>120</v>
      </c>
      <c r="E11">
        <f t="shared" si="0"/>
        <v>130</v>
      </c>
      <c r="F11">
        <f t="shared" si="0"/>
        <v>140</v>
      </c>
      <c r="G11" s="4"/>
      <c r="H11">
        <v>10</v>
      </c>
      <c r="I11">
        <v>12</v>
      </c>
      <c r="J11">
        <v>13</v>
      </c>
      <c r="K11">
        <v>14</v>
      </c>
    </row>
    <row r="12" spans="1:11" x14ac:dyDescent="0.3">
      <c r="A12" t="s">
        <v>15</v>
      </c>
      <c r="B12" t="s">
        <v>76</v>
      </c>
      <c r="C12">
        <v>70</v>
      </c>
      <c r="D12">
        <v>71</v>
      </c>
      <c r="E12">
        <v>72</v>
      </c>
      <c r="F12">
        <v>73</v>
      </c>
      <c r="G12" s="4"/>
      <c r="H12">
        <v>70</v>
      </c>
      <c r="I12">
        <v>70</v>
      </c>
      <c r="J12">
        <v>70</v>
      </c>
      <c r="K12">
        <v>70</v>
      </c>
    </row>
    <row r="13" spans="1:11" x14ac:dyDescent="0.3">
      <c r="A13" t="s">
        <v>14</v>
      </c>
      <c r="B13" t="s">
        <v>77</v>
      </c>
      <c r="C13">
        <f>H13</f>
        <v>74.5</v>
      </c>
      <c r="D13">
        <f t="shared" ref="D13:F14" si="1">I13</f>
        <v>74.25</v>
      </c>
      <c r="E13">
        <f t="shared" si="1"/>
        <v>74</v>
      </c>
      <c r="F13">
        <f t="shared" si="1"/>
        <v>73.75</v>
      </c>
      <c r="G13" s="4"/>
      <c r="H13">
        <v>74.5</v>
      </c>
      <c r="I13">
        <v>74.25</v>
      </c>
      <c r="J13">
        <v>74</v>
      </c>
      <c r="K13">
        <v>73.75</v>
      </c>
    </row>
    <row r="14" spans="1:11" x14ac:dyDescent="0.3">
      <c r="A14" t="s">
        <v>17</v>
      </c>
      <c r="B14" t="s">
        <v>97</v>
      </c>
      <c r="C14">
        <f>H14</f>
        <v>70</v>
      </c>
      <c r="D14">
        <f t="shared" si="1"/>
        <v>70</v>
      </c>
      <c r="E14">
        <f t="shared" si="1"/>
        <v>70</v>
      </c>
      <c r="F14">
        <f t="shared" si="1"/>
        <v>70</v>
      </c>
      <c r="G14" s="4"/>
      <c r="H14">
        <v>70</v>
      </c>
      <c r="I14">
        <v>70</v>
      </c>
      <c r="J14">
        <v>70</v>
      </c>
      <c r="K14">
        <v>70</v>
      </c>
    </row>
    <row r="15" spans="1:11" x14ac:dyDescent="0.3">
      <c r="A15" t="s">
        <v>16</v>
      </c>
      <c r="B15" t="s">
        <v>98</v>
      </c>
      <c r="C15">
        <f>H15*10</f>
        <v>444</v>
      </c>
      <c r="D15">
        <f t="shared" ref="D15:F15" si="2">I15*10</f>
        <v>444</v>
      </c>
      <c r="E15">
        <f t="shared" si="2"/>
        <v>444</v>
      </c>
      <c r="F15">
        <f t="shared" si="2"/>
        <v>444</v>
      </c>
      <c r="G15" s="4"/>
      <c r="H15">
        <v>44.4</v>
      </c>
      <c r="I15">
        <v>44.4</v>
      </c>
      <c r="J15">
        <v>44.4</v>
      </c>
      <c r="K15">
        <v>44.4</v>
      </c>
    </row>
    <row r="16" spans="1:11" x14ac:dyDescent="0.3">
      <c r="A16" t="s">
        <v>19</v>
      </c>
      <c r="B16" t="s">
        <v>99</v>
      </c>
      <c r="C16" s="1">
        <f>H16*2.54*10</f>
        <v>734.06</v>
      </c>
      <c r="D16" s="1">
        <f t="shared" ref="D16:F16" si="3">I16*2.54*10</f>
        <v>833.12</v>
      </c>
      <c r="E16" s="1">
        <f t="shared" si="3"/>
        <v>866.1400000000001</v>
      </c>
      <c r="F16" s="1">
        <f t="shared" si="3"/>
        <v>886.46</v>
      </c>
      <c r="G16" s="4"/>
      <c r="H16">
        <v>28.9</v>
      </c>
      <c r="I16">
        <v>32.799999999999997</v>
      </c>
      <c r="J16">
        <v>34.1</v>
      </c>
      <c r="K16">
        <v>34.9</v>
      </c>
    </row>
    <row r="17" spans="1:11" x14ac:dyDescent="0.3">
      <c r="A17" t="s">
        <v>22</v>
      </c>
      <c r="B17" t="s">
        <v>100</v>
      </c>
      <c r="C17">
        <f>H17</f>
        <v>44</v>
      </c>
      <c r="D17">
        <f t="shared" ref="D17:F19" si="4">I17</f>
        <v>44</v>
      </c>
      <c r="E17">
        <f t="shared" si="4"/>
        <v>44</v>
      </c>
      <c r="F17">
        <f t="shared" si="4"/>
        <v>44</v>
      </c>
      <c r="G17" s="4"/>
      <c r="H17">
        <v>44</v>
      </c>
      <c r="I17">
        <v>44</v>
      </c>
      <c r="J17">
        <v>44</v>
      </c>
      <c r="K17">
        <v>44</v>
      </c>
    </row>
    <row r="18" spans="1:11" x14ac:dyDescent="0.3">
      <c r="A18" t="s">
        <v>20</v>
      </c>
      <c r="B18" t="s">
        <v>74</v>
      </c>
      <c r="C18">
        <f>H18</f>
        <v>626</v>
      </c>
      <c r="D18">
        <f t="shared" si="4"/>
        <v>645</v>
      </c>
      <c r="E18">
        <f t="shared" si="4"/>
        <v>654</v>
      </c>
      <c r="F18">
        <f t="shared" si="4"/>
        <v>664</v>
      </c>
      <c r="G18" s="4"/>
      <c r="H18">
        <v>626</v>
      </c>
      <c r="I18">
        <v>645</v>
      </c>
      <c r="J18">
        <v>654</v>
      </c>
      <c r="K18">
        <v>664</v>
      </c>
    </row>
    <row r="19" spans="1:11" x14ac:dyDescent="0.3">
      <c r="A19" t="s">
        <v>21</v>
      </c>
      <c r="B19" t="s">
        <v>75</v>
      </c>
      <c r="C19">
        <f>H19</f>
        <v>354</v>
      </c>
      <c r="D19">
        <f t="shared" si="4"/>
        <v>375</v>
      </c>
      <c r="E19">
        <f t="shared" si="4"/>
        <v>389</v>
      </c>
      <c r="F19">
        <f t="shared" si="4"/>
        <v>404</v>
      </c>
      <c r="G19" s="4"/>
      <c r="H19">
        <v>354</v>
      </c>
      <c r="I19">
        <v>375</v>
      </c>
      <c r="J19">
        <v>389</v>
      </c>
      <c r="K19">
        <v>404</v>
      </c>
    </row>
    <row r="20" spans="1:11" x14ac:dyDescent="0.3">
      <c r="A20" t="s">
        <v>18</v>
      </c>
      <c r="B20" s="4"/>
      <c r="C20" s="4"/>
      <c r="D20" s="4"/>
      <c r="E20" s="4"/>
      <c r="F20" s="4"/>
      <c r="G20" s="4"/>
    </row>
    <row r="21" spans="1:11" x14ac:dyDescent="0.3">
      <c r="A21" t="s">
        <v>26</v>
      </c>
      <c r="C21">
        <v>506</v>
      </c>
      <c r="D21">
        <v>506</v>
      </c>
      <c r="E21">
        <v>506</v>
      </c>
      <c r="F21">
        <v>506</v>
      </c>
      <c r="G21" s="1" t="s">
        <v>105</v>
      </c>
    </row>
    <row r="22" spans="1:11" x14ac:dyDescent="0.3">
      <c r="A22" s="1" t="s">
        <v>106</v>
      </c>
      <c r="B22" s="4"/>
      <c r="C22" s="5">
        <v>100</v>
      </c>
      <c r="D22" s="5">
        <v>100</v>
      </c>
      <c r="E22" s="5">
        <v>100</v>
      </c>
      <c r="F22" s="5">
        <v>100</v>
      </c>
      <c r="G22" s="4"/>
    </row>
    <row r="23" spans="1:11" x14ac:dyDescent="0.3">
      <c r="A23" s="1" t="s">
        <v>107</v>
      </c>
      <c r="B23" s="4"/>
      <c r="C23" s="4"/>
      <c r="D23" s="4"/>
      <c r="E23" s="4"/>
      <c r="F23" s="4"/>
      <c r="G23" s="4"/>
    </row>
    <row r="24" spans="1:11" x14ac:dyDescent="0.3">
      <c r="A24" t="s">
        <v>23</v>
      </c>
      <c r="B24" s="1"/>
    </row>
    <row r="25" spans="1:11" x14ac:dyDescent="0.3">
      <c r="A25" t="s">
        <v>24</v>
      </c>
    </row>
    <row r="26" spans="1:11" x14ac:dyDescent="0.3">
      <c r="A26" t="s">
        <v>25</v>
      </c>
    </row>
    <row r="27" spans="1:11" x14ac:dyDescent="0.3">
      <c r="A27" t="s">
        <v>27</v>
      </c>
    </row>
    <row r="28" spans="1:11" x14ac:dyDescent="0.3">
      <c r="A28" t="s">
        <v>28</v>
      </c>
      <c r="B28" t="s">
        <v>28</v>
      </c>
      <c r="C28">
        <v>700</v>
      </c>
      <c r="D28">
        <v>700</v>
      </c>
      <c r="E28">
        <v>700</v>
      </c>
      <c r="F28">
        <v>700</v>
      </c>
    </row>
    <row r="29" spans="1:11" x14ac:dyDescent="0.3">
      <c r="A29" t="s">
        <v>29</v>
      </c>
      <c r="B29" t="s">
        <v>29</v>
      </c>
      <c r="C29">
        <v>2.4</v>
      </c>
      <c r="D29">
        <v>2.4</v>
      </c>
      <c r="E29">
        <v>2.4</v>
      </c>
      <c r="F29">
        <v>2.4</v>
      </c>
    </row>
    <row r="30" spans="1:11" x14ac:dyDescent="0.3">
      <c r="A30" t="s">
        <v>30</v>
      </c>
      <c r="B30" t="s">
        <v>30</v>
      </c>
      <c r="C30">
        <v>2.4</v>
      </c>
      <c r="D30">
        <v>2.4</v>
      </c>
      <c r="E30">
        <v>2.4</v>
      </c>
      <c r="F30">
        <v>2.4</v>
      </c>
    </row>
    <row r="31" spans="1:11" x14ac:dyDescent="0.3">
      <c r="A31" t="s">
        <v>31</v>
      </c>
      <c r="B31" t="s">
        <v>31</v>
      </c>
    </row>
    <row r="32" spans="1:11" x14ac:dyDescent="0.3">
      <c r="A32" t="s">
        <v>32</v>
      </c>
      <c r="B32" t="s">
        <v>32</v>
      </c>
    </row>
    <row r="34" spans="1:2" x14ac:dyDescent="0.3">
      <c r="A34" t="s">
        <v>33</v>
      </c>
      <c r="B34" t="s">
        <v>34</v>
      </c>
    </row>
    <row r="35" spans="1:2" x14ac:dyDescent="0.3">
      <c r="A35" t="s">
        <v>70</v>
      </c>
      <c r="B35" s="1" t="s">
        <v>103</v>
      </c>
    </row>
    <row r="36" spans="1:2" x14ac:dyDescent="0.3">
      <c r="A36" t="s">
        <v>71</v>
      </c>
      <c r="B36" s="1" t="s">
        <v>102</v>
      </c>
    </row>
    <row r="37" spans="1:2" x14ac:dyDescent="0.3">
      <c r="A37" t="s">
        <v>72</v>
      </c>
      <c r="B37" s="1" t="s">
        <v>79</v>
      </c>
    </row>
    <row r="38" spans="1:2" x14ac:dyDescent="0.3">
      <c r="A38" t="s">
        <v>35</v>
      </c>
      <c r="B38" s="1" t="s">
        <v>80</v>
      </c>
    </row>
    <row r="39" spans="1:2" x14ac:dyDescent="0.3">
      <c r="A39" t="s">
        <v>36</v>
      </c>
      <c r="B39" s="1" t="s">
        <v>73</v>
      </c>
    </row>
    <row r="40" spans="1:2" x14ac:dyDescent="0.3">
      <c r="A40" t="s">
        <v>37</v>
      </c>
    </row>
    <row r="41" spans="1:2" x14ac:dyDescent="0.3">
      <c r="A41" t="s">
        <v>38</v>
      </c>
      <c r="B41">
        <v>2.4</v>
      </c>
    </row>
    <row r="42" spans="1:2" x14ac:dyDescent="0.3">
      <c r="A42" t="s">
        <v>39</v>
      </c>
    </row>
    <row r="43" spans="1:2" x14ac:dyDescent="0.3">
      <c r="A43" t="s">
        <v>40</v>
      </c>
      <c r="B43">
        <v>100</v>
      </c>
    </row>
    <row r="44" spans="1:2" x14ac:dyDescent="0.3">
      <c r="A44" t="s">
        <v>41</v>
      </c>
      <c r="B44">
        <v>100</v>
      </c>
    </row>
    <row r="45" spans="1:2" x14ac:dyDescent="0.3">
      <c r="A45" t="s">
        <v>42</v>
      </c>
    </row>
    <row r="46" spans="1:2" x14ac:dyDescent="0.3">
      <c r="A46" t="s">
        <v>43</v>
      </c>
    </row>
    <row r="47" spans="1:2" x14ac:dyDescent="0.3">
      <c r="A47" t="s">
        <v>44</v>
      </c>
      <c r="B47">
        <v>148</v>
      </c>
    </row>
    <row r="48" spans="1:2" x14ac:dyDescent="0.3">
      <c r="A48" t="s">
        <v>45</v>
      </c>
    </row>
    <row r="49" spans="1:2" x14ac:dyDescent="0.3">
      <c r="A49" t="s">
        <v>84</v>
      </c>
      <c r="B49">
        <v>44</v>
      </c>
    </row>
    <row r="50" spans="1:2" x14ac:dyDescent="0.3">
      <c r="A50" t="s">
        <v>85</v>
      </c>
    </row>
    <row r="51" spans="1:2" x14ac:dyDescent="0.3">
      <c r="A51" t="s">
        <v>86</v>
      </c>
    </row>
    <row r="52" spans="1:2" x14ac:dyDescent="0.3">
      <c r="A52" t="s">
        <v>87</v>
      </c>
    </row>
    <row r="53" spans="1:2" x14ac:dyDescent="0.3">
      <c r="A53" t="s">
        <v>88</v>
      </c>
    </row>
    <row r="54" spans="1:2" x14ac:dyDescent="0.3">
      <c r="A54" t="s">
        <v>89</v>
      </c>
    </row>
    <row r="55" spans="1:2" x14ac:dyDescent="0.3">
      <c r="A55" t="s">
        <v>46</v>
      </c>
      <c r="B55" s="1" t="s">
        <v>101</v>
      </c>
    </row>
    <row r="56" spans="1:2" x14ac:dyDescent="0.3">
      <c r="A56" t="s">
        <v>47</v>
      </c>
    </row>
    <row r="57" spans="1:2" x14ac:dyDescent="0.3">
      <c r="A57" t="s">
        <v>48</v>
      </c>
      <c r="B57">
        <v>30.9</v>
      </c>
    </row>
    <row r="58" spans="1:2" x14ac:dyDescent="0.3">
      <c r="A58" t="s">
        <v>49</v>
      </c>
      <c r="B58" s="1"/>
    </row>
    <row r="59" spans="1:2" x14ac:dyDescent="0.3">
      <c r="A59" t="s">
        <v>50</v>
      </c>
      <c r="B59">
        <v>38</v>
      </c>
    </row>
    <row r="60" spans="1:2" x14ac:dyDescent="0.3">
      <c r="A60" t="s">
        <v>51</v>
      </c>
    </row>
    <row r="61" spans="1:2" x14ac:dyDescent="0.3">
      <c r="A61" t="s">
        <v>52</v>
      </c>
    </row>
    <row r="62" spans="1:2" x14ac:dyDescent="0.3">
      <c r="A62" t="s">
        <v>53</v>
      </c>
    </row>
    <row r="63" spans="1:2" x14ac:dyDescent="0.3">
      <c r="A63" t="s">
        <v>54</v>
      </c>
    </row>
    <row r="64" spans="1:2" x14ac:dyDescent="0.3">
      <c r="A64" t="s">
        <v>55</v>
      </c>
    </row>
    <row r="65" spans="1:2" x14ac:dyDescent="0.3">
      <c r="A65" t="s">
        <v>56</v>
      </c>
      <c r="B65" s="1" t="s">
        <v>104</v>
      </c>
    </row>
    <row r="66" spans="1:2" x14ac:dyDescent="0.3">
      <c r="A66" t="s">
        <v>57</v>
      </c>
      <c r="B66" s="1"/>
    </row>
    <row r="67" spans="1:2" x14ac:dyDescent="0.3">
      <c r="A67" t="s">
        <v>58</v>
      </c>
    </row>
    <row r="68" spans="1:2" x14ac:dyDescent="0.3">
      <c r="A68" t="s">
        <v>59</v>
      </c>
      <c r="B68">
        <v>3</v>
      </c>
    </row>
    <row r="69" spans="1:2" x14ac:dyDescent="0.3">
      <c r="A69" t="s">
        <v>60</v>
      </c>
      <c r="B69">
        <v>1</v>
      </c>
    </row>
    <row r="70" spans="1:2" x14ac:dyDescent="0.3">
      <c r="A70" t="s">
        <v>61</v>
      </c>
      <c r="B70">
        <v>1</v>
      </c>
    </row>
    <row r="71" spans="1:2" x14ac:dyDescent="0.3">
      <c r="A71" t="s">
        <v>62</v>
      </c>
      <c r="B71" s="1"/>
    </row>
    <row r="72" spans="1:2" x14ac:dyDescent="0.3">
      <c r="A72" t="s">
        <v>63</v>
      </c>
      <c r="B72" s="1"/>
    </row>
    <row r="73" spans="1:2" x14ac:dyDescent="0.3">
      <c r="A73" t="s">
        <v>64</v>
      </c>
    </row>
    <row r="74" spans="1:2" x14ac:dyDescent="0.3">
      <c r="A74" t="s">
        <v>65</v>
      </c>
      <c r="B74" s="1"/>
    </row>
    <row r="75" spans="1:2" x14ac:dyDescent="0.3">
      <c r="A75" t="s">
        <v>66</v>
      </c>
      <c r="B75" s="1">
        <v>5399</v>
      </c>
    </row>
    <row r="76" spans="1:2" x14ac:dyDescent="0.3">
      <c r="A76" t="s">
        <v>67</v>
      </c>
      <c r="B76">
        <v>9499</v>
      </c>
    </row>
    <row r="77" spans="1:2" x14ac:dyDescent="0.3">
      <c r="A77" t="s">
        <v>68</v>
      </c>
      <c r="B77" s="1"/>
    </row>
    <row r="78" spans="1:2" x14ac:dyDescent="0.3">
      <c r="A78" t="s">
        <v>69</v>
      </c>
      <c r="B78" s="1" t="s">
        <v>81</v>
      </c>
    </row>
    <row r="79" spans="1:2" x14ac:dyDescent="0.3">
      <c r="A79" t="s">
        <v>82</v>
      </c>
      <c r="B79" t="s">
        <v>83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2025-11-30T01:04:04Z</dcterms:modified>
</cp:coreProperties>
</file>