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3641CA3-1C54-3942-8EFD-BFC890B90C73}" xr6:coauthVersionLast="47" xr6:coauthVersionMax="47" xr10:uidLastSave="{00000000-0000-0000-0000-000000000000}"/>
  <bookViews>
    <workbookView xWindow="33280" yWindow="-23720" windowWidth="27960" windowHeight="17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D36" i="1"/>
  <c r="E36" i="1"/>
  <c r="F36" i="1"/>
  <c r="G36" i="1"/>
  <c r="D35" i="1"/>
  <c r="E35" i="1"/>
  <c r="F35" i="1"/>
  <c r="G35" i="1"/>
  <c r="C35" i="1"/>
</calcChain>
</file>

<file path=xl/sharedStrings.xml><?xml version="1.0" encoding="utf-8"?>
<sst xmlns="http://schemas.openxmlformats.org/spreadsheetml/2006/main" count="127" uniqueCount="125">
  <si>
    <t>brand</t>
  </si>
  <si>
    <t>model</t>
  </si>
  <si>
    <t>model year</t>
  </si>
  <si>
    <t>input date</t>
  </si>
  <si>
    <t>URL</t>
  </si>
  <si>
    <t>data_range</t>
  </si>
  <si>
    <t>frame_size</t>
  </si>
  <si>
    <t>top_tube_effective_length</t>
  </si>
  <si>
    <t>seat_tube_length</t>
  </si>
  <si>
    <t>head_tube_length</t>
  </si>
  <si>
    <t>chainstay_length</t>
  </si>
  <si>
    <t>bottom_bracket_drop</t>
  </si>
  <si>
    <t>seat_tube_angle</t>
  </si>
  <si>
    <t>head_tube_angle</t>
  </si>
  <si>
    <t>fork_offset_rake</t>
  </si>
  <si>
    <t>stack</t>
  </si>
  <si>
    <t>reach</t>
  </si>
  <si>
    <t>wheelbase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</si>
  <si>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</si>
  <si>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</si>
  <si>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</si>
  <si>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</si>
  <si>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</si>
  <si>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</si>
  <si>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</si>
  <si>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</si>
  <si>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</si>
  <si>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</si>
  <si>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</si>
  <si>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</si>
  <si>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</si>
  <si>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</si>
  <si>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</si>
  <si>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</si>
  <si>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</si>
  <si>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</si>
  <si>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</si>
  <si>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</si>
  <si>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</si>
  <si>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</si>
  <si>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</si>
  <si>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</si>
  <si>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</si>
  <si>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</si>
  <si>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</si>
  <si>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</si>
  <si>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</si>
  <si>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</si>
  <si>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</si>
  <si>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</si>
  <si>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</si>
  <si>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</si>
  <si>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</si>
  <si>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</si>
  <si>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</si>
  <si>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</si>
  <si>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</si>
  <si>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</si>
  <si>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</si>
  <si>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</si>
  <si>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</si>
  <si>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</si>
  <si>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</si>
  <si>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</si>
  <si>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</si>
  <si>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</si>
  <si>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</si>
  <si>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</si>
  <si>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</si>
  <si>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</si>
  <si>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</si>
  <si>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frame_weight</t>
  </si>
  <si>
    <t>rigid</t>
  </si>
  <si>
    <t>steel</t>
  </si>
  <si>
    <t>Tanglefoot</t>
  </si>
  <si>
    <t>XS</t>
  </si>
  <si>
    <t>bb_height</t>
  </si>
  <si>
    <t>internal</t>
  </si>
  <si>
    <t>USD</t>
  </si>
  <si>
    <t>location</t>
  </si>
  <si>
    <t>https://tanglefootcycles.com/tanglefoot/moonshiner/</t>
  </si>
  <si>
    <t>https://tanglefootcycles.com/wp-content/uploads/2021/02/Website-updates-01.jpg</t>
  </si>
  <si>
    <t>Geometry</t>
  </si>
  <si>
    <t>Small</t>
  </si>
  <si>
    <t>Medium</t>
  </si>
  <si>
    <t>Large</t>
  </si>
  <si>
    <t>Extra Large</t>
  </si>
  <si>
    <t>Stack (mm)</t>
  </si>
  <si>
    <t>Reach (mm)</t>
  </si>
  <si>
    <t>Seat Tube Length, C-T (mm)</t>
  </si>
  <si>
    <t>Top Tube Length, Effective/Horizontal Unknown (mm)</t>
  </si>
  <si>
    <t>Top Tube Slope (deg)</t>
  </si>
  <si>
    <t>Head Tube Angle (deg)</t>
  </si>
  <si>
    <t>Seat Tube Angle (deg)</t>
  </si>
  <si>
    <t>Head Tube Length (mm)</t>
  </si>
  <si>
    <t>Bottom Bracket Drop (mm)</t>
  </si>
  <si>
    <t>Bottom Bracket Height (mm)</t>
  </si>
  <si>
    <t>Chainstay Length (mm)</t>
  </si>
  <si>
    <t>Chainstay Length Horizontal (mm)</t>
  </si>
  <si>
    <t>Front-Center (mm)</t>
  </si>
  <si>
    <t>Front-Center Horizontal (mm)</t>
  </si>
  <si>
    <t>Wheelbase (mm)</t>
  </si>
  <si>
    <t>Fork Offset/Rake (mm)</t>
  </si>
  <si>
    <t>Fork Length, Unknown (mm)</t>
  </si>
  <si>
    <t>Trail (mm)</t>
  </si>
  <si>
    <t>tanglefoot linked to https://bikeinsights.com/bikes/5fc283dd36c064001735f16e-tanglefoot-cycles-moonshiner?build=base&amp;version=2023</t>
  </si>
  <si>
    <t>top_tube_slope</t>
  </si>
  <si>
    <t>chainstay_h</t>
  </si>
  <si>
    <t>front_center_h</t>
  </si>
  <si>
    <t>drop bar</t>
  </si>
  <si>
    <t>atb</t>
  </si>
  <si>
    <t>head_tube_d</t>
  </si>
  <si>
    <t>headset_upper</t>
  </si>
  <si>
    <t>headset_lower</t>
  </si>
  <si>
    <t>fork_steerer</t>
  </si>
  <si>
    <t>fork_steerer_d</t>
  </si>
  <si>
    <t>fork_material</t>
  </si>
  <si>
    <t>ZS44</t>
  </si>
  <si>
    <t>EC44</t>
  </si>
  <si>
    <t>tapered</t>
  </si>
  <si>
    <t>Moonshiner 2.0</t>
  </si>
  <si>
    <t>threaded 73</t>
  </si>
  <si>
    <t>external</t>
  </si>
  <si>
    <t>a8:g36</t>
  </si>
  <si>
    <t>Poultney, Vermont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</si>
</sst>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4"/>
      <color rgb="FF000000"/>
      <name val="Futura"/>
    </font>
    <font>
      <sz val="14"/>
      <color rgb="FF000000"/>
      <name val="Futura"/>
      <family val="2"/>
    </font>
    <font>
      <i/>
      <sz val="16"/>
      <color rgb="FF396D87"/>
      <name val="Inherit"/>
    </font>
    <font>
      <i/>
      <sz val="15"/>
      <color rgb="FF444444"/>
      <name val="Arial"/>
      <family val="2"/>
    </font>
    <font>
      <sz val="15"/>
      <color rgb="FF1B1B1B"/>
      <name val="Arial"/>
      <family val="2"/>
    </font>
    <font>
      <sz val="14"/>
      <name val="Futura Medium"/>
    </font>
    <font>
      <sz val="14"/>
      <name val="Futura"/>
      <family val="2"/>
    </font>
    <font>
      <sz val="15"/>
      <name val="Roboto"/>
    </font>
    <font>
      <sz val="14"/>
      <color rgb="FF000000"/>
      <name val="Futura Medium"/>
    </font>
    <font>
      <sz val="14"/>
      <color rgb="FF001D35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3"/>
  <sheetViews>
    <sheetView tabSelected="1" workbookViewId="0">
      <selection activeCell="B77" sqref="B77"/>
    </sheetView>
  </sheetViews>
  <sheetFormatPr baseColWidth="10" defaultRowHeight="20"/>
  <cols>
    <col min="1" max="2" width="19.6640625" customWidth="1"/>
    <col min="8" max="9" width="10.77734375" style="7"/>
  </cols>
  <sheetData>
    <row r="1" spans="1:11">
      <c r="A1" t="s">
        <v>0</v>
      </c>
      <c r="B1" s="1" t="s">
        <v>74</v>
      </c>
    </row>
    <row r="2" spans="1:11">
      <c r="A2" t="s">
        <v>1</v>
      </c>
      <c r="B2" s="1" t="s">
        <v>120</v>
      </c>
    </row>
    <row r="3" spans="1:11">
      <c r="A3" t="s">
        <v>2</v>
      </c>
      <c r="B3">
        <v>2025</v>
      </c>
    </row>
    <row r="4" spans="1:11">
      <c r="A4" t="s">
        <v>3</v>
      </c>
      <c r="B4" s="2">
        <v>45975</v>
      </c>
    </row>
    <row r="5" spans="1:11">
      <c r="A5" t="s">
        <v>4</v>
      </c>
      <c r="B5" t="s">
        <v>80</v>
      </c>
    </row>
    <row r="6" spans="1:11">
      <c r="B6" t="s">
        <v>81</v>
      </c>
    </row>
    <row r="7" spans="1:11" ht="22">
      <c r="A7" t="s">
        <v>5</v>
      </c>
      <c r="B7" s="1" t="s">
        <v>123</v>
      </c>
      <c r="C7" s="3"/>
    </row>
    <row r="8" spans="1:11">
      <c r="A8" t="s">
        <v>6</v>
      </c>
      <c r="B8" s="9" t="s">
        <v>82</v>
      </c>
      <c r="C8" s="9" t="s">
        <v>75</v>
      </c>
      <c r="D8" s="9" t="s">
        <v>83</v>
      </c>
      <c r="E8" s="9" t="s">
        <v>84</v>
      </c>
      <c r="F8" s="9" t="s">
        <v>85</v>
      </c>
      <c r="G8" s="9" t="s">
        <v>86</v>
      </c>
      <c r="H8" s="6" t="s">
        <v>105</v>
      </c>
      <c r="I8" s="8"/>
    </row>
    <row r="9" spans="1:11">
      <c r="A9" t="s">
        <v>15</v>
      </c>
      <c r="B9" s="6" t="s">
        <v>87</v>
      </c>
      <c r="C9" s="6">
        <v>580.1</v>
      </c>
      <c r="D9" s="6">
        <v>603</v>
      </c>
      <c r="E9" s="6">
        <v>635.20000000000005</v>
      </c>
      <c r="F9" s="6">
        <v>644.1</v>
      </c>
      <c r="G9" s="6">
        <v>709.9</v>
      </c>
      <c r="H9" s="8"/>
      <c r="I9" s="8"/>
    </row>
    <row r="10" spans="1:11" ht="21">
      <c r="A10" t="s">
        <v>16</v>
      </c>
      <c r="B10" s="6" t="s">
        <v>88</v>
      </c>
      <c r="C10" s="6">
        <v>370</v>
      </c>
      <c r="D10" s="6">
        <v>377</v>
      </c>
      <c r="E10" s="6">
        <v>420</v>
      </c>
      <c r="F10" s="6">
        <v>425</v>
      </c>
      <c r="G10" s="6">
        <v>440</v>
      </c>
      <c r="H10" s="8"/>
      <c r="I10" s="8"/>
      <c r="J10" s="5"/>
      <c r="K10" s="5"/>
    </row>
    <row r="11" spans="1:11">
      <c r="A11" t="s">
        <v>8</v>
      </c>
      <c r="B11" s="6" t="s">
        <v>89</v>
      </c>
      <c r="C11" s="6">
        <v>430</v>
      </c>
      <c r="D11" s="6">
        <v>465</v>
      </c>
      <c r="E11" s="6">
        <v>490</v>
      </c>
      <c r="F11" s="6">
        <v>520</v>
      </c>
      <c r="G11" s="6">
        <v>550</v>
      </c>
      <c r="H11" s="8"/>
      <c r="I11" s="8"/>
    </row>
    <row r="12" spans="1:11">
      <c r="A12" t="s">
        <v>7</v>
      </c>
      <c r="B12" s="6" t="s">
        <v>90</v>
      </c>
      <c r="C12" s="6">
        <v>564</v>
      </c>
      <c r="D12" s="6">
        <v>578.9</v>
      </c>
      <c r="E12" s="6">
        <v>632</v>
      </c>
      <c r="F12" s="6">
        <v>640.5</v>
      </c>
      <c r="G12" s="6">
        <v>677.5</v>
      </c>
      <c r="H12" s="8"/>
      <c r="I12" s="8"/>
    </row>
    <row r="13" spans="1:11">
      <c r="A13" s="1" t="s">
        <v>106</v>
      </c>
      <c r="B13" s="6" t="s">
        <v>91</v>
      </c>
      <c r="C13" s="6">
        <v>18.8</v>
      </c>
      <c r="D13" s="6">
        <v>17.2</v>
      </c>
      <c r="E13" s="6">
        <v>16.5</v>
      </c>
      <c r="F13" s="6">
        <v>14.4</v>
      </c>
      <c r="G13" s="6">
        <v>17</v>
      </c>
      <c r="H13" s="8"/>
      <c r="I13" s="8"/>
    </row>
    <row r="14" spans="1:11">
      <c r="A14" t="s">
        <v>13</v>
      </c>
      <c r="B14" s="6" t="s">
        <v>92</v>
      </c>
      <c r="C14" s="6">
        <v>69</v>
      </c>
      <c r="D14" s="6">
        <v>69</v>
      </c>
      <c r="E14" s="6">
        <v>69</v>
      </c>
      <c r="F14" s="6">
        <v>69</v>
      </c>
      <c r="G14" s="6">
        <v>69</v>
      </c>
      <c r="H14" s="8"/>
      <c r="I14" s="8"/>
    </row>
    <row r="15" spans="1:11">
      <c r="A15" t="s">
        <v>12</v>
      </c>
      <c r="B15" s="6" t="s">
        <v>93</v>
      </c>
      <c r="C15" s="6">
        <v>71.5</v>
      </c>
      <c r="D15" s="6">
        <v>71.5</v>
      </c>
      <c r="E15" s="6">
        <v>71.5</v>
      </c>
      <c r="F15" s="6">
        <v>71.5</v>
      </c>
      <c r="G15" s="6">
        <v>71.5</v>
      </c>
      <c r="H15" s="8"/>
      <c r="I15" s="8"/>
    </row>
    <row r="16" spans="1:11">
      <c r="A16" t="s">
        <v>9</v>
      </c>
      <c r="B16" s="6" t="s">
        <v>94</v>
      </c>
      <c r="C16" s="6">
        <v>139.5</v>
      </c>
      <c r="D16" s="6">
        <v>164</v>
      </c>
      <c r="E16" s="6">
        <v>198</v>
      </c>
      <c r="F16" s="6">
        <v>208</v>
      </c>
      <c r="G16" s="6">
        <v>278.5</v>
      </c>
      <c r="H16" s="8"/>
    </row>
    <row r="17" spans="1:7">
      <c r="A17" t="s">
        <v>11</v>
      </c>
      <c r="B17" s="6" t="s">
        <v>95</v>
      </c>
      <c r="C17" s="6">
        <v>50</v>
      </c>
      <c r="D17" s="6">
        <v>51</v>
      </c>
      <c r="E17" s="6">
        <v>51</v>
      </c>
      <c r="F17" s="6">
        <v>51</v>
      </c>
      <c r="G17" s="6">
        <v>51</v>
      </c>
    </row>
    <row r="18" spans="1:7">
      <c r="A18" s="1" t="s">
        <v>76</v>
      </c>
      <c r="B18" s="6" t="s">
        <v>96</v>
      </c>
      <c r="C18" s="6">
        <v>318.2</v>
      </c>
      <c r="D18" s="6">
        <v>319</v>
      </c>
      <c r="E18" s="6">
        <v>319</v>
      </c>
      <c r="F18" s="6">
        <v>319</v>
      </c>
      <c r="G18" s="6">
        <v>319</v>
      </c>
    </row>
    <row r="19" spans="1:7">
      <c r="A19" t="s">
        <v>10</v>
      </c>
      <c r="B19" s="6" t="s">
        <v>97</v>
      </c>
      <c r="C19" s="6">
        <v>450</v>
      </c>
      <c r="D19" s="6">
        <v>450</v>
      </c>
      <c r="E19" s="6">
        <v>450</v>
      </c>
      <c r="F19" s="6">
        <v>450</v>
      </c>
      <c r="G19" s="6">
        <v>450</v>
      </c>
    </row>
    <row r="20" spans="1:7">
      <c r="A20" s="1" t="s">
        <v>107</v>
      </c>
      <c r="B20" s="6" t="s">
        <v>98</v>
      </c>
      <c r="C20" s="6">
        <v>447.2</v>
      </c>
      <c r="D20" s="6">
        <v>447.1</v>
      </c>
      <c r="E20" s="6">
        <v>447.1</v>
      </c>
      <c r="F20" s="6">
        <v>447.1</v>
      </c>
      <c r="G20" s="6">
        <v>447.1</v>
      </c>
    </row>
    <row r="21" spans="1:7">
      <c r="A21" t="s">
        <v>18</v>
      </c>
      <c r="B21" s="6" t="s">
        <v>99</v>
      </c>
      <c r="C21" s="6">
        <v>629.1</v>
      </c>
      <c r="D21" s="6">
        <v>644.9</v>
      </c>
      <c r="E21" s="6">
        <v>700.2</v>
      </c>
      <c r="F21" s="6">
        <v>707.7</v>
      </c>
      <c r="G21" s="6">
        <v>748.6</v>
      </c>
    </row>
    <row r="22" spans="1:7">
      <c r="A22" s="1" t="s">
        <v>108</v>
      </c>
      <c r="B22" s="6" t="s">
        <v>100</v>
      </c>
      <c r="C22" s="6">
        <v>627.1</v>
      </c>
      <c r="D22" s="6">
        <v>642.9</v>
      </c>
      <c r="E22" s="6">
        <v>698.3</v>
      </c>
      <c r="F22" s="6">
        <v>705.9</v>
      </c>
      <c r="G22" s="6">
        <v>746.9</v>
      </c>
    </row>
    <row r="23" spans="1:7">
      <c r="A23" t="s">
        <v>17</v>
      </c>
      <c r="B23" s="6" t="s">
        <v>101</v>
      </c>
      <c r="C23" s="6">
        <v>1074.3</v>
      </c>
      <c r="D23" s="6">
        <v>1090</v>
      </c>
      <c r="E23" s="6">
        <v>1145.4000000000001</v>
      </c>
      <c r="F23" s="6">
        <v>1153</v>
      </c>
      <c r="G23" s="6">
        <v>1194</v>
      </c>
    </row>
    <row r="24" spans="1:7">
      <c r="A24" t="s">
        <v>14</v>
      </c>
      <c r="B24" s="6" t="s">
        <v>102</v>
      </c>
      <c r="C24" s="6">
        <v>50</v>
      </c>
      <c r="D24" s="6">
        <v>50</v>
      </c>
      <c r="E24" s="6">
        <v>50</v>
      </c>
      <c r="F24" s="6">
        <v>50</v>
      </c>
      <c r="G24" s="6">
        <v>50</v>
      </c>
    </row>
    <row r="25" spans="1:7">
      <c r="A25" t="s">
        <v>19</v>
      </c>
      <c r="B25" s="6" t="s">
        <v>103</v>
      </c>
      <c r="C25" s="6">
        <v>435</v>
      </c>
      <c r="D25" s="6">
        <v>435</v>
      </c>
      <c r="E25" s="6">
        <v>435</v>
      </c>
      <c r="F25" s="6">
        <v>435</v>
      </c>
      <c r="G25" s="6">
        <v>435</v>
      </c>
    </row>
    <row r="26" spans="1:7">
      <c r="A26" t="s">
        <v>20</v>
      </c>
      <c r="B26" s="6" t="s">
        <v>104</v>
      </c>
      <c r="C26" s="6">
        <v>87.8</v>
      </c>
      <c r="D26" s="6">
        <v>88.5</v>
      </c>
      <c r="E26" s="6">
        <v>88.5</v>
      </c>
      <c r="F26" s="6">
        <v>88.5</v>
      </c>
      <c r="G26" s="6">
        <v>88.5</v>
      </c>
    </row>
    <row r="27" spans="1:7">
      <c r="A27" s="1" t="s">
        <v>24</v>
      </c>
      <c r="B27" s="6"/>
      <c r="C27" s="6"/>
      <c r="D27" s="6"/>
      <c r="E27" s="6"/>
      <c r="F27" s="6"/>
      <c r="G27" s="6"/>
    </row>
    <row r="28" spans="1:7">
      <c r="A28" s="1" t="s">
        <v>71</v>
      </c>
      <c r="B28" s="6"/>
      <c r="C28" s="6"/>
      <c r="D28" s="6"/>
      <c r="E28" s="6"/>
      <c r="F28" s="6"/>
      <c r="G28" s="6"/>
    </row>
    <row r="29" spans="1:7">
      <c r="A29" t="s">
        <v>22</v>
      </c>
      <c r="B29" s="6"/>
      <c r="C29" s="6"/>
      <c r="D29" s="6"/>
      <c r="E29" s="6"/>
      <c r="F29" s="6"/>
      <c r="G29" s="6"/>
    </row>
    <row r="30" spans="1:7">
      <c r="A30" t="s">
        <v>21</v>
      </c>
      <c r="B30" s="6"/>
      <c r="C30" s="6"/>
      <c r="D30" s="6"/>
      <c r="E30" s="6"/>
      <c r="F30" s="6"/>
      <c r="G30" s="6"/>
    </row>
    <row r="31" spans="1:7">
      <c r="A31" t="s">
        <v>23</v>
      </c>
      <c r="B31" s="6"/>
      <c r="C31" s="6"/>
      <c r="D31" s="6"/>
      <c r="E31" s="6"/>
      <c r="F31" s="6"/>
      <c r="G31" s="6"/>
    </row>
    <row r="32" spans="1:7">
      <c r="A32" t="s">
        <v>25</v>
      </c>
      <c r="C32" s="1">
        <v>650</v>
      </c>
      <c r="D32" s="1">
        <v>650</v>
      </c>
      <c r="E32" s="1">
        <v>650</v>
      </c>
      <c r="F32" s="1">
        <v>650</v>
      </c>
      <c r="G32" s="1">
        <v>650</v>
      </c>
    </row>
    <row r="33" spans="1:7">
      <c r="A33" t="s">
        <v>26</v>
      </c>
      <c r="C33">
        <v>3</v>
      </c>
      <c r="D33">
        <v>3</v>
      </c>
      <c r="E33">
        <v>3</v>
      </c>
      <c r="F33">
        <v>3</v>
      </c>
      <c r="G33">
        <v>3</v>
      </c>
    </row>
    <row r="34" spans="1:7">
      <c r="A34" t="s">
        <v>27</v>
      </c>
      <c r="C34">
        <v>3</v>
      </c>
      <c r="D34">
        <v>3</v>
      </c>
      <c r="E34">
        <v>3</v>
      </c>
      <c r="F34">
        <v>3</v>
      </c>
      <c r="G34">
        <v>3</v>
      </c>
    </row>
    <row r="35" spans="1:7">
      <c r="A35" t="s">
        <v>28</v>
      </c>
      <c r="C35">
        <f>C37*2.54</f>
        <v>149.86000000000001</v>
      </c>
      <c r="D35">
        <f t="shared" ref="D35:G36" si="0">D37*2.54</f>
        <v>157.47999999999999</v>
      </c>
      <c r="E35">
        <f t="shared" si="0"/>
        <v>172.72</v>
      </c>
      <c r="F35">
        <f t="shared" si="0"/>
        <v>180.34</v>
      </c>
      <c r="G35">
        <f t="shared" si="0"/>
        <v>187.96</v>
      </c>
    </row>
    <row r="36" spans="1:7">
      <c r="A36" t="s">
        <v>29</v>
      </c>
      <c r="C36">
        <f>C38*2.54</f>
        <v>162.56</v>
      </c>
      <c r="D36">
        <f t="shared" si="0"/>
        <v>172.72</v>
      </c>
      <c r="E36">
        <f t="shared" si="0"/>
        <v>180.34</v>
      </c>
      <c r="F36">
        <f t="shared" si="0"/>
        <v>187.96</v>
      </c>
      <c r="G36">
        <f t="shared" si="0"/>
        <v>203.2</v>
      </c>
    </row>
    <row r="37" spans="1:7">
      <c r="C37">
        <v>59</v>
      </c>
      <c r="D37">
        <v>62</v>
      </c>
      <c r="E37">
        <v>68</v>
      </c>
      <c r="F37">
        <v>71</v>
      </c>
      <c r="G37">
        <v>74</v>
      </c>
    </row>
    <row r="38" spans="1:7">
      <c r="A38" s="1" t="s">
        <v>30</v>
      </c>
      <c r="B38" t="s">
        <v>31</v>
      </c>
      <c r="C38">
        <v>64</v>
      </c>
      <c r="D38">
        <v>68</v>
      </c>
      <c r="E38">
        <v>71</v>
      </c>
      <c r="F38">
        <v>74</v>
      </c>
      <c r="G38">
        <v>80</v>
      </c>
    </row>
    <row r="39" spans="1:7" ht="21">
      <c r="A39" s="1" t="s">
        <v>68</v>
      </c>
      <c r="B39" s="1" t="s">
        <v>110</v>
      </c>
      <c r="C39" s="5"/>
      <c r="D39" s="5"/>
      <c r="E39" s="5"/>
      <c r="F39" s="5"/>
      <c r="G39" s="4"/>
    </row>
    <row r="40" spans="1:7" ht="21">
      <c r="A40" s="1" t="s">
        <v>69</v>
      </c>
      <c r="B40" s="1" t="s">
        <v>109</v>
      </c>
      <c r="C40" s="5"/>
      <c r="D40" s="5"/>
      <c r="E40" s="5"/>
      <c r="F40" s="5"/>
      <c r="G40" s="4"/>
    </row>
    <row r="41" spans="1:7">
      <c r="A41" s="1" t="s">
        <v>70</v>
      </c>
      <c r="B41" s="1" t="s">
        <v>72</v>
      </c>
    </row>
    <row r="42" spans="1:7">
      <c r="A42" s="1" t="s">
        <v>32</v>
      </c>
      <c r="B42" s="1" t="s">
        <v>73</v>
      </c>
    </row>
    <row r="43" spans="1:7">
      <c r="A43" s="1" t="s">
        <v>33</v>
      </c>
      <c r="B43" s="1"/>
    </row>
    <row r="44" spans="1:7">
      <c r="A44" s="1" t="s">
        <v>35</v>
      </c>
    </row>
    <row r="45" spans="1:7">
      <c r="A45" s="1" t="s">
        <v>36</v>
      </c>
      <c r="B45">
        <v>2.8</v>
      </c>
    </row>
    <row r="46" spans="1:7">
      <c r="A46" s="1" t="s">
        <v>37</v>
      </c>
      <c r="B46">
        <v>3</v>
      </c>
    </row>
    <row r="47" spans="1:7">
      <c r="A47" s="1" t="s">
        <v>38</v>
      </c>
    </row>
    <row r="48" spans="1:7">
      <c r="A48" s="1" t="s">
        <v>39</v>
      </c>
      <c r="B48" s="1"/>
    </row>
    <row r="49" spans="1:2">
      <c r="A49" s="1" t="s">
        <v>40</v>
      </c>
    </row>
    <row r="50" spans="1:2">
      <c r="A50" s="1" t="s">
        <v>41</v>
      </c>
    </row>
    <row r="51" spans="1:2">
      <c r="A51" s="1" t="s">
        <v>42</v>
      </c>
      <c r="B51">
        <v>148</v>
      </c>
    </row>
    <row r="52" spans="1:2">
      <c r="A52" s="1" t="s">
        <v>43</v>
      </c>
      <c r="B52">
        <v>110</v>
      </c>
    </row>
    <row r="53" spans="1:2">
      <c r="A53" s="1" t="s">
        <v>111</v>
      </c>
      <c r="B53" s="1"/>
    </row>
    <row r="54" spans="1:2">
      <c r="A54" s="1" t="s">
        <v>112</v>
      </c>
      <c r="B54" s="1" t="s">
        <v>117</v>
      </c>
    </row>
    <row r="55" spans="1:2">
      <c r="A55" s="1" t="s">
        <v>113</v>
      </c>
      <c r="B55" s="1" t="s">
        <v>118</v>
      </c>
    </row>
    <row r="56" spans="1:2">
      <c r="A56" s="1" t="s">
        <v>114</v>
      </c>
      <c r="B56" s="1" t="s">
        <v>119</v>
      </c>
    </row>
    <row r="57" spans="1:2">
      <c r="A57" s="1" t="s">
        <v>115</v>
      </c>
    </row>
    <row r="58" spans="1:2">
      <c r="A58" s="1" t="s">
        <v>116</v>
      </c>
      <c r="B58" s="1" t="s">
        <v>73</v>
      </c>
    </row>
    <row r="59" spans="1:2">
      <c r="A59" s="1" t="s">
        <v>44</v>
      </c>
      <c r="B59" s="1" t="s">
        <v>121</v>
      </c>
    </row>
    <row r="60" spans="1:2">
      <c r="A60" s="1" t="s">
        <v>45</v>
      </c>
    </row>
    <row r="61" spans="1:2">
      <c r="A61" s="1" t="s">
        <v>46</v>
      </c>
      <c r="B61">
        <v>30.9</v>
      </c>
    </row>
    <row r="62" spans="1:2">
      <c r="A62" s="1" t="s">
        <v>47</v>
      </c>
    </row>
    <row r="63" spans="1:2">
      <c r="A63" s="1" t="s">
        <v>48</v>
      </c>
      <c r="B63" s="1"/>
    </row>
    <row r="64" spans="1:2">
      <c r="A64" s="1" t="s">
        <v>49</v>
      </c>
      <c r="B64" s="1"/>
    </row>
    <row r="65" spans="1:2">
      <c r="A65" s="1" t="s">
        <v>50</v>
      </c>
      <c r="B65">
        <v>180</v>
      </c>
    </row>
    <row r="66" spans="1:2">
      <c r="A66" s="1" t="s">
        <v>51</v>
      </c>
      <c r="B66">
        <v>180</v>
      </c>
    </row>
    <row r="67" spans="1:2">
      <c r="A67" s="1" t="s">
        <v>52</v>
      </c>
    </row>
    <row r="68" spans="1:2">
      <c r="A68" s="1" t="s">
        <v>53</v>
      </c>
      <c r="B68" s="1" t="s">
        <v>122</v>
      </c>
    </row>
    <row r="69" spans="1:2">
      <c r="A69" s="1" t="s">
        <v>54</v>
      </c>
      <c r="B69" s="1" t="s">
        <v>77</v>
      </c>
    </row>
    <row r="70" spans="1:2">
      <c r="A70" s="1" t="s">
        <v>55</v>
      </c>
      <c r="B70" s="1" t="s">
        <v>34</v>
      </c>
    </row>
    <row r="71" spans="1:2">
      <c r="A71" s="1" t="s">
        <v>56</v>
      </c>
      <c r="B71" s="1"/>
    </row>
    <row r="72" spans="1:2">
      <c r="A72" s="1" t="s">
        <v>57</v>
      </c>
      <c r="B72" s="1">
        <v>2</v>
      </c>
    </row>
    <row r="73" spans="1:2">
      <c r="A73" s="1" t="s">
        <v>58</v>
      </c>
      <c r="B73">
        <v>1</v>
      </c>
    </row>
    <row r="74" spans="1:2">
      <c r="A74" s="1" t="s">
        <v>59</v>
      </c>
    </row>
    <row r="75" spans="1:2">
      <c r="A75" s="1" t="s">
        <v>60</v>
      </c>
      <c r="B75" s="1">
        <v>3</v>
      </c>
    </row>
    <row r="76" spans="1:2">
      <c r="A76" s="1" t="s">
        <v>61</v>
      </c>
    </row>
    <row r="77" spans="1:2">
      <c r="A77" s="1" t="s">
        <v>62</v>
      </c>
    </row>
    <row r="78" spans="1:2">
      <c r="A78" s="1" t="s">
        <v>63</v>
      </c>
      <c r="B78" s="1" t="s">
        <v>34</v>
      </c>
    </row>
    <row r="79" spans="1:2">
      <c r="A79" s="1" t="s">
        <v>64</v>
      </c>
      <c r="B79">
        <v>1400</v>
      </c>
    </row>
    <row r="80" spans="1:2">
      <c r="A80" s="1" t="s">
        <v>65</v>
      </c>
    </row>
    <row r="81" spans="1:2">
      <c r="A81" s="1" t="s">
        <v>66</v>
      </c>
    </row>
    <row r="82" spans="1:2">
      <c r="A82" s="1" t="s">
        <v>67</v>
      </c>
      <c r="B82" s="1" t="s">
        <v>78</v>
      </c>
    </row>
    <row r="83" spans="1:2">
      <c r="A83" s="1" t="s">
        <v>79</v>
      </c>
      <c r="B83" s="10" t="s">
        <v>124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2025-07-26T16:23:46Z</dcterms:created>
  <dcterms:modified xsi:type="dcterms:W3CDTF">2025-11-18T11:39:14Z</dcterms:modified>
</cp:coreProperties>
</file>