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2563278-3383-844E-B13B-56556EB0104A}" xr6:coauthVersionLast="47" xr6:coauthVersionMax="47" xr10:uidLastSave="{00000000-0000-0000-0000-000000000000}"/>
  <bookViews>
    <workbookView xWindow="3520" yWindow="8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G34" i="1"/>
  <c r="F34" i="1"/>
  <c r="H33" i="1"/>
  <c r="C33" i="1"/>
  <c r="D34" i="1"/>
  <c r="E34" i="1"/>
  <c r="C34" i="1"/>
  <c r="E33" i="1"/>
  <c r="F33" i="1"/>
  <c r="G33" i="1"/>
  <c r="D33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D25" i="1"/>
  <c r="E25" i="1"/>
  <c r="F25" i="1"/>
  <c r="G25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25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<sst xmlns="http://schemas.openxmlformats.org/spreadsheetml/2006/main" count="114" uniqueCount="104">
  <si>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</si>
  <si>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</si>
  <si>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</si>
  <si>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</si>
  <si>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</si>
  <si>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</si>
  <si>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</si>
  <si>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</si>
  <si>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</si>
  <si>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</si>
  <si>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</si>
  <si>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</si>
  <si>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</si>
  <si>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</si>
  <si>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</si>
  <si>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</si>
  <si>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</si>
  <si>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</si>
  <si>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</si>
  <si>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</si>
  <si>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</si>
  <si>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</si>
  <si>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</si>
  <si>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</si>
  <si>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</si>
  <si>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</si>
  <si>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</si>
  <si>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</si>
  <si>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</si>
  <si>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</si>
  <si>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</si>
  <si>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</si>
  <si>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</si>
  <si>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</si>
  <si>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</si>
  <si>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</si>
  <si>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</si>
  <si>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</si>
  <si>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</si>
  <si>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</si>
  <si>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</si>
  <si>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</si>
  <si>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</si>
  <si>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</si>
  <si>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</si>
  <si>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</si>
  <si>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</si>
  <si>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</si>
  <si>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</si>
  <si>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</si>
  <si>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</si>
  <si>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</si>
  <si>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</si>
  <si>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</si>
  <si>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</si>
  <si>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</si>
  <si>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</si>
  <si>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</si>
  <si>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</si>
  <si>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</si>
  <si>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</si>
  <si>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</si>
  <si>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</si>
  <si>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</si>
  <si>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</si>
  <si>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</si>
  <si>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</si>
  <si>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</si>
  <si>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</si>
  <si>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</si>
  <si>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</si>
  <si>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</si>
  <si>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</si>
  <si>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</si>
  <si>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</si>
  <si>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</si>
  <si>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</si>
  <si>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</si>
  <si>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</si>
  <si>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</si>
  <si>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</si>
  <si>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</si>
  <si>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</si>
  <si>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</si>
  <si>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</si>
  <si>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</si>
  <si>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</si>
  <si>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</si>
  <si>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</si>
  <si>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</si>
  <si>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0 Stack (cm)</t>
  </si>
  <si>
    <t>P Reach (cm)</t>
  </si>
  <si>
    <t>Q Axle to Crown</t>
  </si>
  <si>
    <t>Frame Size</t>
  </si>
  <si>
    <t>axle_crown</t>
  </si>
  <si>
    <t>https://www.cannondale.com/en-us/bikes/road/gravel/topstone-carbon</t>
  </si>
  <si>
    <t>suspension</t>
  </si>
  <si>
    <t>yes</t>
  </si>
  <si>
    <t>internal</t>
  </si>
  <si>
    <t>threaded</t>
  </si>
  <si>
    <t>usd</t>
  </si>
  <si>
    <t>a8:h34</t>
  </si>
  <si>
    <t xml:space="preserve">Topstone Carbon Lefty </t>
  </si>
  <si>
    <t>frame is 52, fork is 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</si>
</sst>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topLeftCell="A8" workbookViewId="0">
      <selection activeCell="J39" sqref="J39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102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45887</v>
      </c>
    </row>
    <row r="5" spans="1:16" x14ac:dyDescent="0.3">
      <c r="A5" t="s">
        <v>5</v>
      </c>
      <c r="B5" t="s">
        <v>95</v>
      </c>
    </row>
    <row r="7" spans="1:16" x14ac:dyDescent="0.3">
      <c r="A7" t="s">
        <v>6</v>
      </c>
      <c r="B7" s="3" t="s">
        <v>101</v>
      </c>
    </row>
    <row r="8" spans="1:16" x14ac:dyDescent="0.3">
      <c r="A8" t="s">
        <v>7</v>
      </c>
      <c r="B8" s="3" t="s">
        <v>93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/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4" si="6">K14*10</f>
        <v>716</v>
      </c>
      <c r="D14">
        <f t="shared" ref="D14:D24" si="7">L14*10</f>
        <v>741</v>
      </c>
      <c r="E14">
        <f t="shared" ref="E14:E24" si="8">M14*10</f>
        <v>772</v>
      </c>
      <c r="F14">
        <f t="shared" ref="F14:F24" si="9">N14*10</f>
        <v>800</v>
      </c>
      <c r="G14">
        <f t="shared" ref="G14:G24" si="10">O14*10</f>
        <v>831</v>
      </c>
      <c r="H14">
        <f t="shared" ref="H14:H24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0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90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390</v>
      </c>
      <c r="J24" s="2" t="s">
        <v>91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</v>
      </c>
    </row>
    <row r="25" spans="1:16" x14ac:dyDescent="0.3">
      <c r="A25" s="3" t="s">
        <v>94</v>
      </c>
      <c r="B25" t="str">
        <f t="shared" si="5"/>
        <v>Q Axle to Crown</v>
      </c>
      <c r="C25">
        <f>K25</f>
        <v>429</v>
      </c>
      <c r="D25">
        <f t="shared" ref="D25:H25" si="12">L25</f>
        <v>429</v>
      </c>
      <c r="E25">
        <f t="shared" si="12"/>
        <v>429</v>
      </c>
      <c r="F25">
        <f t="shared" si="12"/>
        <v>429</v>
      </c>
      <c r="G25">
        <f t="shared" si="12"/>
        <v>429</v>
      </c>
      <c r="H25">
        <f t="shared" si="12"/>
        <v>429</v>
      </c>
      <c r="J25" s="2" t="s">
        <v>92</v>
      </c>
      <c r="K25" s="2">
        <v>429</v>
      </c>
      <c r="L25" s="2">
        <v>429</v>
      </c>
      <c r="M25" s="2">
        <v>429</v>
      </c>
      <c r="N25" s="2">
        <v>429</v>
      </c>
      <c r="O25" s="2">
        <v>429</v>
      </c>
      <c r="P25" s="2">
        <v>429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44</v>
      </c>
      <c r="D31">
        <v>44</v>
      </c>
      <c r="E31">
        <v>44</v>
      </c>
      <c r="F31">
        <v>44</v>
      </c>
      <c r="G31">
        <v>44</v>
      </c>
      <c r="H31">
        <v>44</v>
      </c>
    </row>
    <row r="32" spans="1:16" x14ac:dyDescent="0.3">
      <c r="A32" t="s">
        <v>30</v>
      </c>
      <c r="B32" t="s">
        <v>30</v>
      </c>
      <c r="C32">
        <v>47</v>
      </c>
      <c r="D32">
        <v>47</v>
      </c>
      <c r="E32">
        <v>47</v>
      </c>
      <c r="F32">
        <v>47</v>
      </c>
      <c r="G32">
        <v>47</v>
      </c>
      <c r="H32">
        <v>47</v>
      </c>
    </row>
    <row r="33" spans="1:8" x14ac:dyDescent="0.3">
      <c r="A33" t="s">
        <v>31</v>
      </c>
      <c r="B33" t="s">
        <v>31</v>
      </c>
      <c r="C33">
        <f>C37*2.54</f>
        <v>149.86000000000001</v>
      </c>
      <c r="D33">
        <f>AVERAGE(D37,C38)*2.54</f>
        <v>166.37</v>
      </c>
      <c r="E33">
        <f t="shared" ref="E33:H33" si="13">AVERAGE(E37,D38)*2.54</f>
        <v>173.99</v>
      </c>
      <c r="F33">
        <f t="shared" si="13"/>
        <v>179.07</v>
      </c>
      <c r="G33">
        <f t="shared" si="13"/>
        <v>184.15</v>
      </c>
      <c r="H33">
        <f t="shared" si="13"/>
        <v>191.77</v>
      </c>
    </row>
    <row r="34" spans="1:8" x14ac:dyDescent="0.3">
      <c r="A34" t="s">
        <v>32</v>
      </c>
      <c r="B34" t="s">
        <v>32</v>
      </c>
      <c r="C34">
        <f>D33</f>
        <v>166.37</v>
      </c>
      <c r="D34">
        <f t="shared" ref="D34:E34" si="14">E33</f>
        <v>173.99</v>
      </c>
      <c r="E34">
        <f t="shared" si="14"/>
        <v>179.07</v>
      </c>
      <c r="F34">
        <f>G33</f>
        <v>184.15</v>
      </c>
      <c r="G34">
        <f>H33</f>
        <v>191.77</v>
      </c>
      <c r="H34">
        <f>H38*2.54</f>
        <v>200.66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  <c r="C37">
        <v>59</v>
      </c>
      <c r="D37">
        <v>65</v>
      </c>
      <c r="E37">
        <v>68</v>
      </c>
      <c r="F37">
        <v>70</v>
      </c>
      <c r="G37">
        <v>72</v>
      </c>
      <c r="H37">
        <v>75</v>
      </c>
    </row>
    <row r="38" spans="1:8" x14ac:dyDescent="0.3">
      <c r="A38" t="s">
        <v>73</v>
      </c>
      <c r="B38" t="s">
        <v>74</v>
      </c>
      <c r="C38">
        <v>66</v>
      </c>
      <c r="D38">
        <v>69</v>
      </c>
      <c r="E38">
        <v>71</v>
      </c>
      <c r="F38">
        <v>73</v>
      </c>
      <c r="G38">
        <v>76</v>
      </c>
      <c r="H38">
        <v>79</v>
      </c>
    </row>
    <row r="39" spans="1:8" x14ac:dyDescent="0.3">
      <c r="A39" t="s">
        <v>75</v>
      </c>
      <c r="B39" s="3" t="s">
        <v>96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97</v>
      </c>
    </row>
    <row r="42" spans="1:8" x14ac:dyDescent="0.3">
      <c r="A42" t="s">
        <v>38</v>
      </c>
    </row>
    <row r="43" spans="1:8" x14ac:dyDescent="0.3">
      <c r="A43" t="s">
        <v>39</v>
      </c>
      <c r="B43">
        <v>47</v>
      </c>
      <c r="C43" s="3" t="s">
        <v>103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  <c r="B46">
        <v>40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99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97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 s="3" t="s">
        <v>98</v>
      </c>
    </row>
    <row r="62" spans="1:2" x14ac:dyDescent="0.3">
      <c r="A62" t="s">
        <v>58</v>
      </c>
    </row>
    <row r="63" spans="1:2" x14ac:dyDescent="0.3">
      <c r="A63" t="s">
        <v>59</v>
      </c>
      <c r="B63" s="3" t="s">
        <v>97</v>
      </c>
    </row>
    <row r="64" spans="1:2" x14ac:dyDescent="0.3">
      <c r="A64" t="s">
        <v>60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6999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2025-09-26T22:55:15Z</dcterms:modified>
</cp:coreProperties>
</file>