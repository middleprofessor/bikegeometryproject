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A684835-AB1D-7F4B-BC07-959149CBE16F}" xr6:coauthVersionLast="47" xr6:coauthVersionMax="47" xr10:uidLastSave="{00000000-0000-0000-0000-000000000000}"/>
  <bookViews>
    <workbookView xWindow="42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C34" i="1"/>
  <c r="D34" i="1"/>
  <c r="E34" i="1"/>
  <c r="F34" i="1"/>
  <c r="G34" i="1"/>
  <c r="D33" i="1"/>
  <c r="E33" i="1"/>
  <c r="F33" i="1"/>
  <c r="G33" i="1"/>
  <c r="C33" i="1"/>
  <c r="D17" i="1"/>
  <c r="E17" i="1"/>
  <c r="F17" i="1"/>
  <c r="G17" i="1"/>
  <c r="C17" i="1"/>
  <c r="D9" i="1"/>
  <c r="E9" i="1"/>
  <c r="F9" i="1"/>
  <c r="G9" i="1"/>
  <c r="C9" i="1"/>
</calcChain>
</file>

<file path=xl/sharedStrings.xml><?xml version="1.0" encoding="utf-8"?>
<sst xmlns="http://schemas.openxmlformats.org/spreadsheetml/2006/main" count="126" uniqueCount="122">
  <si>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</si>
  <si>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</si>
  <si>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</si>
  <si>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</si>
  <si>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</si>
  <si>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</si>
  <si>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</si>
  <si>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</si>
  <si>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</si>
  <si>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</si>
  <si>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</si>
  <si>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</si>
  <si>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</si>
  <si>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</si>
  <si>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</si>
  <si>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</si>
  <si>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</si>
  <si>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</si>
  <si>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</si>
  <si>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</si>
  <si>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</si>
  <si>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</si>
  <si>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</si>
  <si>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</si>
  <si>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</si>
  <si>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</si>
  <si>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</si>
  <si>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</si>
  <si>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</si>
  <si>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</si>
  <si>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</si>
  <si>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</si>
  <si>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</si>
  <si>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</si>
  <si>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</si>
  <si>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</si>
  <si>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</si>
  <si>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</si>
  <si>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</si>
  <si>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</si>
  <si>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</si>
  <si>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</si>
  <si>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</si>
  <si>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</si>
  <si>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</si>
  <si>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</si>
  <si>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</si>
  <si>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</si>
  <si>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</si>
  <si>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</si>
  <si>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</si>
  <si>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</si>
  <si>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</si>
  <si>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</si>
  <si>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</si>
  <si>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</si>
  <si>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</si>
  <si>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</si>
  <si>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</si>
  <si>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</si>
  <si>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</si>
  <si>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</si>
  <si>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</si>
  <si>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</si>
  <si>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</si>
  <si>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</si>
  <si>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</si>
  <si>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</si>
  <si>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</si>
  <si>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location</t>
  </si>
  <si>
    <t>S</t>
  </si>
  <si>
    <t>M</t>
  </si>
  <si>
    <t>L</t>
  </si>
  <si>
    <t>XL</t>
  </si>
  <si>
    <t>internal</t>
  </si>
  <si>
    <t>frame size</t>
  </si>
  <si>
    <t>USD</t>
  </si>
  <si>
    <t>Neuhaus</t>
  </si>
  <si>
    <t>hardtail</t>
  </si>
  <si>
    <t>flat bar</t>
  </si>
  <si>
    <t>suspension</t>
  </si>
  <si>
    <t>ML</t>
  </si>
  <si>
    <t>Saddle Height (mm)</t>
  </si>
  <si>
    <t>660–700</t>
  </si>
  <si>
    <t>690–730</t>
  </si>
  <si>
    <t>720–760</t>
  </si>
  <si>
    <t>750–790</t>
  </si>
  <si>
    <t>780–820</t>
  </si>
  <si>
    <t>Stack (mm)</t>
  </si>
  <si>
    <t>Reach (mm)</t>
  </si>
  <si>
    <t>Effective Top Tube (mm)</t>
  </si>
  <si>
    <t>Seat Tube Length (mm)</t>
  </si>
  <si>
    <t>Seat Tube Angle (deg)</t>
  </si>
  <si>
    <t>Head Tube Angle (deg)</t>
  </si>
  <si>
    <t>Wheelbase (mm, min)</t>
  </si>
  <si>
    <t>Chainstay (mm)</t>
  </si>
  <si>
    <t>420–435</t>
  </si>
  <si>
    <t>BB Drop (mm)</t>
  </si>
  <si>
    <t>Min Steerer (mm)</t>
  </si>
  <si>
    <t>Travel (mm)</t>
  </si>
  <si>
    <t>saddle height mid</t>
  </si>
  <si>
    <t>saddle_height</t>
  </si>
  <si>
    <t>steerer_min</t>
  </si>
  <si>
    <t>rigid 120 Fox 34</t>
  </si>
  <si>
    <t>steel</t>
  </si>
  <si>
    <t>yes</t>
  </si>
  <si>
    <t>frame</t>
  </si>
  <si>
    <t>https://neuhausmetalworks.com/cdn/shop/files/Hummingbird_Core_Blue.jpg?v=1760472481&amp;width=823</t>
  </si>
  <si>
    <t>https://neuhausmetalworks.com/products/hummingbird</t>
  </si>
  <si>
    <t>threaded 73</t>
  </si>
  <si>
    <t>external</t>
  </si>
  <si>
    <t>Novato, California, USA</t>
  </si>
  <si>
    <t>Hummingbird Core (short)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</si>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</sst>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  <font>
      <i/>
      <sz val="14"/>
      <color theme="1"/>
      <name val="Futura Medium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neuhausmetalworks.com/cdn/shop/files/Hummingbird_Core_Blue.jpg?v=1760472481&amp;width=8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3" t="s">
        <v>77</v>
      </c>
    </row>
    <row r="2" spans="1:13" x14ac:dyDescent="0.3">
      <c r="A2" t="s">
        <v>1</v>
      </c>
      <c r="B2" s="3" t="s">
        <v>112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45958</v>
      </c>
    </row>
    <row r="5" spans="1:13" x14ac:dyDescent="0.3">
      <c r="A5" t="s">
        <v>4</v>
      </c>
      <c r="B5" t="s">
        <v>108</v>
      </c>
    </row>
    <row r="6" spans="1:13" x14ac:dyDescent="0.3">
      <c r="B6" s="7" t="s">
        <v>107</v>
      </c>
    </row>
    <row r="7" spans="1:13" x14ac:dyDescent="0.3">
      <c r="A7" t="s">
        <v>5</v>
      </c>
      <c r="B7" s="3" t="s">
        <v>121</v>
      </c>
    </row>
    <row r="8" spans="1:13" x14ac:dyDescent="0.3">
      <c r="A8" t="s">
        <v>6</v>
      </c>
      <c r="B8" s="3" t="s">
        <v>75</v>
      </c>
      <c r="C8" t="s">
        <v>70</v>
      </c>
      <c r="D8" t="s">
        <v>71</v>
      </c>
      <c r="E8" t="s">
        <v>81</v>
      </c>
      <c r="F8" t="s">
        <v>72</v>
      </c>
      <c r="G8" t="s">
        <v>73</v>
      </c>
    </row>
    <row r="9" spans="1:13" x14ac:dyDescent="0.3">
      <c r="A9" s="3" t="s">
        <v>101</v>
      </c>
      <c r="B9" s="3" t="s">
        <v>100</v>
      </c>
      <c r="C9">
        <f>(VALUE(LEFT(I9,3))+VALUE(RIGHT(I9,3)))/2</f>
        <v>680</v>
      </c>
      <c r="D9">
        <f t="shared" ref="D9:G9" si="0">(VALUE(LEFT(J9,3))+VALUE(RIGHT(J9,3)))/2</f>
        <v>710</v>
      </c>
      <c r="E9">
        <f t="shared" si="0"/>
        <v>740</v>
      </c>
      <c r="F9">
        <f t="shared" si="0"/>
        <v>770</v>
      </c>
      <c r="G9">
        <f t="shared" si="0"/>
        <v>800</v>
      </c>
      <c r="H9" s="3" t="s">
        <v>82</v>
      </c>
      <c r="I9" t="s">
        <v>83</v>
      </c>
      <c r="J9" t="s">
        <v>84</v>
      </c>
      <c r="K9" t="s">
        <v>85</v>
      </c>
      <c r="L9" t="s">
        <v>86</v>
      </c>
      <c r="M9" t="s">
        <v>87</v>
      </c>
    </row>
    <row r="10" spans="1:13" x14ac:dyDescent="0.3">
      <c r="A10" s="3" t="s">
        <v>10</v>
      </c>
      <c r="B10" s="3" t="s">
        <v>88</v>
      </c>
      <c r="C10">
        <v>606</v>
      </c>
      <c r="D10">
        <v>615</v>
      </c>
      <c r="E10">
        <v>634</v>
      </c>
      <c r="F10">
        <v>652</v>
      </c>
      <c r="G10">
        <v>661</v>
      </c>
    </row>
    <row r="11" spans="1:13" x14ac:dyDescent="0.3">
      <c r="A11" t="s">
        <v>9</v>
      </c>
      <c r="B11" s="3" t="s">
        <v>89</v>
      </c>
      <c r="C11">
        <v>415</v>
      </c>
      <c r="D11">
        <v>435</v>
      </c>
      <c r="E11">
        <v>455</v>
      </c>
      <c r="F11">
        <v>470</v>
      </c>
      <c r="G11">
        <v>485</v>
      </c>
    </row>
    <row r="12" spans="1:13" x14ac:dyDescent="0.3">
      <c r="A12" t="s">
        <v>7</v>
      </c>
      <c r="B12" s="3" t="s">
        <v>90</v>
      </c>
      <c r="C12">
        <v>589</v>
      </c>
      <c r="D12">
        <v>611</v>
      </c>
      <c r="E12">
        <v>631</v>
      </c>
      <c r="F12">
        <v>651</v>
      </c>
      <c r="G12">
        <v>668</v>
      </c>
    </row>
    <row r="13" spans="1:13" x14ac:dyDescent="0.3">
      <c r="A13" t="s">
        <v>11</v>
      </c>
      <c r="B13" s="3" t="s">
        <v>91</v>
      </c>
      <c r="C13">
        <v>370</v>
      </c>
      <c r="D13">
        <v>390</v>
      </c>
      <c r="E13">
        <v>420</v>
      </c>
      <c r="F13">
        <v>440</v>
      </c>
      <c r="G13">
        <v>460</v>
      </c>
    </row>
    <row r="14" spans="1:13" x14ac:dyDescent="0.3">
      <c r="A14" t="s">
        <v>14</v>
      </c>
      <c r="B14" s="3" t="s">
        <v>92</v>
      </c>
      <c r="C14">
        <v>74.5</v>
      </c>
      <c r="D14">
        <v>74.5</v>
      </c>
      <c r="E14">
        <v>74.5</v>
      </c>
      <c r="F14">
        <v>74.5</v>
      </c>
      <c r="G14">
        <v>74.5</v>
      </c>
    </row>
    <row r="15" spans="1:13" x14ac:dyDescent="0.3">
      <c r="A15" t="s">
        <v>13</v>
      </c>
      <c r="B15" s="3" t="s">
        <v>93</v>
      </c>
      <c r="C15">
        <v>66</v>
      </c>
      <c r="D15">
        <v>66</v>
      </c>
      <c r="E15">
        <v>66</v>
      </c>
      <c r="F15">
        <v>66</v>
      </c>
      <c r="G15">
        <v>66</v>
      </c>
    </row>
    <row r="16" spans="1:13" x14ac:dyDescent="0.3">
      <c r="A16" t="s">
        <v>19</v>
      </c>
      <c r="B16" s="3" t="s">
        <v>94</v>
      </c>
      <c r="C16">
        <v>1124</v>
      </c>
      <c r="D16">
        <v>1149</v>
      </c>
      <c r="E16">
        <v>1177</v>
      </c>
      <c r="F16">
        <v>1200</v>
      </c>
      <c r="G16">
        <v>1219</v>
      </c>
    </row>
    <row r="17" spans="1:12" x14ac:dyDescent="0.3">
      <c r="A17" t="s">
        <v>16</v>
      </c>
      <c r="B17" s="3" t="s">
        <v>95</v>
      </c>
      <c r="C17">
        <f>VALUE(LEFT(H17,3))</f>
        <v>420</v>
      </c>
      <c r="D17">
        <f t="shared" ref="D17:G17" si="1">VALUE(LEFT(I17,3))</f>
        <v>420</v>
      </c>
      <c r="E17">
        <f t="shared" si="1"/>
        <v>420</v>
      </c>
      <c r="F17">
        <f t="shared" si="1"/>
        <v>420</v>
      </c>
      <c r="G17">
        <f t="shared" si="1"/>
        <v>420</v>
      </c>
      <c r="H17" t="s">
        <v>96</v>
      </c>
      <c r="I17" t="s">
        <v>96</v>
      </c>
      <c r="J17" t="s">
        <v>96</v>
      </c>
      <c r="K17" t="s">
        <v>96</v>
      </c>
      <c r="L17" t="s">
        <v>96</v>
      </c>
    </row>
    <row r="18" spans="1:12" x14ac:dyDescent="0.3">
      <c r="A18" t="s">
        <v>15</v>
      </c>
      <c r="B18" s="3" t="s">
        <v>97</v>
      </c>
      <c r="C18">
        <v>56</v>
      </c>
      <c r="D18">
        <v>56</v>
      </c>
      <c r="E18">
        <v>56</v>
      </c>
      <c r="F18">
        <v>56</v>
      </c>
      <c r="G18">
        <v>56</v>
      </c>
    </row>
    <row r="19" spans="1:12" x14ac:dyDescent="0.3">
      <c r="A19" s="3" t="s">
        <v>102</v>
      </c>
      <c r="B19" s="3" t="s">
        <v>98</v>
      </c>
      <c r="C19">
        <v>150</v>
      </c>
      <c r="D19">
        <v>160</v>
      </c>
      <c r="E19">
        <v>180</v>
      </c>
      <c r="F19">
        <v>200</v>
      </c>
      <c r="G19">
        <v>210</v>
      </c>
    </row>
    <row r="20" spans="1:12" x14ac:dyDescent="0.3">
      <c r="A20" s="3" t="s">
        <v>119</v>
      </c>
      <c r="B20" s="3" t="s">
        <v>99</v>
      </c>
      <c r="C20">
        <v>120</v>
      </c>
      <c r="D20">
        <v>120</v>
      </c>
      <c r="E20">
        <v>120</v>
      </c>
      <c r="F20">
        <v>120</v>
      </c>
      <c r="G20">
        <v>120</v>
      </c>
    </row>
    <row r="21" spans="1:12" x14ac:dyDescent="0.3">
      <c r="A21" t="s">
        <v>8</v>
      </c>
      <c r="B21" s="3"/>
    </row>
    <row r="22" spans="1:12" x14ac:dyDescent="0.3">
      <c r="A22" s="3" t="s">
        <v>12</v>
      </c>
      <c r="B22" s="3"/>
    </row>
    <row r="23" spans="1:12" x14ac:dyDescent="0.3">
      <c r="A23" t="s">
        <v>18</v>
      </c>
      <c r="B23" s="3"/>
      <c r="C23">
        <v>44</v>
      </c>
      <c r="D23">
        <v>44</v>
      </c>
      <c r="E23">
        <v>44</v>
      </c>
      <c r="F23">
        <v>44</v>
      </c>
      <c r="G23">
        <v>44</v>
      </c>
      <c r="H23" s="3" t="s">
        <v>103</v>
      </c>
    </row>
    <row r="24" spans="1:12" x14ac:dyDescent="0.3">
      <c r="A24" t="s">
        <v>17</v>
      </c>
      <c r="B24" s="3"/>
      <c r="C24">
        <v>530</v>
      </c>
      <c r="D24">
        <v>530</v>
      </c>
      <c r="E24">
        <v>530</v>
      </c>
      <c r="F24">
        <v>530</v>
      </c>
      <c r="G24">
        <v>530</v>
      </c>
    </row>
    <row r="25" spans="1:12" x14ac:dyDescent="0.3">
      <c r="A25" s="3" t="s">
        <v>120</v>
      </c>
      <c r="B25" s="3"/>
    </row>
    <row r="26" spans="1:12" x14ac:dyDescent="0.3">
      <c r="A26" t="s">
        <v>22</v>
      </c>
      <c r="B26" s="5"/>
      <c r="C26" s="4"/>
      <c r="D26" s="4"/>
      <c r="E26" s="4"/>
      <c r="F26" s="4"/>
      <c r="G26" s="4"/>
    </row>
    <row r="27" spans="1:12" x14ac:dyDescent="0.3">
      <c r="A27" t="s">
        <v>20</v>
      </c>
    </row>
    <row r="28" spans="1:12" x14ac:dyDescent="0.3">
      <c r="A28" t="s">
        <v>21</v>
      </c>
      <c r="B28" s="5"/>
      <c r="C28" s="4"/>
      <c r="D28" s="4"/>
      <c r="E28" s="4"/>
      <c r="G28" s="4"/>
    </row>
    <row r="29" spans="1:12" x14ac:dyDescent="0.3">
      <c r="A29" t="s">
        <v>23</v>
      </c>
      <c r="F29" s="6"/>
    </row>
    <row r="30" spans="1:12" x14ac:dyDescent="0.3">
      <c r="A30" t="s">
        <v>24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12" x14ac:dyDescent="0.3">
      <c r="A31" t="s">
        <v>25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2" x14ac:dyDescent="0.3">
      <c r="A32" t="s">
        <v>26</v>
      </c>
      <c r="C32">
        <v>2.6</v>
      </c>
      <c r="D32">
        <v>2.6</v>
      </c>
      <c r="E32">
        <v>2.6</v>
      </c>
      <c r="F32">
        <v>2.6</v>
      </c>
      <c r="G32">
        <v>2.6</v>
      </c>
    </row>
    <row r="33" spans="1:8" x14ac:dyDescent="0.3">
      <c r="A33" t="s">
        <v>27</v>
      </c>
      <c r="C33">
        <f>C35*2.54</f>
        <v>162.56</v>
      </c>
      <c r="D33">
        <f t="shared" ref="D33:G34" si="2">D35*2.54</f>
        <v>170.18</v>
      </c>
      <c r="E33">
        <f t="shared" si="2"/>
        <v>175.26</v>
      </c>
      <c r="F33">
        <f t="shared" si="2"/>
        <v>180.34</v>
      </c>
      <c r="G33">
        <f t="shared" si="2"/>
        <v>185.42000000000002</v>
      </c>
    </row>
    <row r="34" spans="1:8" x14ac:dyDescent="0.3">
      <c r="A34" t="s">
        <v>28</v>
      </c>
      <c r="C34">
        <f>C36*2.54</f>
        <v>170.18</v>
      </c>
      <c r="D34">
        <f t="shared" si="2"/>
        <v>175.26</v>
      </c>
      <c r="E34">
        <f t="shared" si="2"/>
        <v>180.34</v>
      </c>
      <c r="F34">
        <f t="shared" si="2"/>
        <v>185.42000000000002</v>
      </c>
      <c r="G34">
        <f t="shared" si="2"/>
        <v>190.5</v>
      </c>
    </row>
    <row r="35" spans="1:8" x14ac:dyDescent="0.3">
      <c r="C35">
        <v>64</v>
      </c>
      <c r="D35">
        <v>67</v>
      </c>
      <c r="E35">
        <v>69</v>
      </c>
      <c r="F35">
        <v>71</v>
      </c>
      <c r="G35">
        <v>73</v>
      </c>
    </row>
    <row r="36" spans="1:8" x14ac:dyDescent="0.3">
      <c r="A36" t="s">
        <v>29</v>
      </c>
      <c r="B36" t="s">
        <v>30</v>
      </c>
      <c r="C36">
        <v>67</v>
      </c>
      <c r="D36">
        <v>69</v>
      </c>
      <c r="E36">
        <v>71</v>
      </c>
      <c r="F36">
        <v>73</v>
      </c>
      <c r="G36">
        <v>75</v>
      </c>
    </row>
    <row r="37" spans="1:8" x14ac:dyDescent="0.3">
      <c r="A37" t="s">
        <v>66</v>
      </c>
      <c r="B37" s="3" t="s">
        <v>78</v>
      </c>
      <c r="H37" s="2"/>
    </row>
    <row r="38" spans="1:8" x14ac:dyDescent="0.3">
      <c r="A38" t="s">
        <v>67</v>
      </c>
      <c r="B38" s="3" t="s">
        <v>79</v>
      </c>
    </row>
    <row r="39" spans="1:8" x14ac:dyDescent="0.3">
      <c r="A39" t="s">
        <v>68</v>
      </c>
      <c r="B39" s="3" t="s">
        <v>80</v>
      </c>
    </row>
    <row r="40" spans="1:8" x14ac:dyDescent="0.3">
      <c r="A40" t="s">
        <v>31</v>
      </c>
      <c r="B40" s="3" t="s">
        <v>104</v>
      </c>
    </row>
    <row r="41" spans="1:8" x14ac:dyDescent="0.3">
      <c r="A41" t="s">
        <v>32</v>
      </c>
      <c r="B41" s="3" t="s">
        <v>105</v>
      </c>
    </row>
    <row r="42" spans="1:8" x14ac:dyDescent="0.3">
      <c r="A42" t="s">
        <v>33</v>
      </c>
      <c r="B42">
        <v>15</v>
      </c>
    </row>
    <row r="43" spans="1:8" x14ac:dyDescent="0.3">
      <c r="A43" t="s">
        <v>34</v>
      </c>
      <c r="B43">
        <v>2.6</v>
      </c>
    </row>
    <row r="44" spans="1:8" x14ac:dyDescent="0.3">
      <c r="A44" t="s">
        <v>35</v>
      </c>
    </row>
    <row r="45" spans="1:8" x14ac:dyDescent="0.3">
      <c r="A45" t="s">
        <v>36</v>
      </c>
      <c r="B45">
        <v>120</v>
      </c>
    </row>
    <row r="46" spans="1:8" x14ac:dyDescent="0.3">
      <c r="A46" t="s">
        <v>37</v>
      </c>
      <c r="B46">
        <v>120</v>
      </c>
    </row>
    <row r="47" spans="1:8" x14ac:dyDescent="0.3">
      <c r="A47" t="s">
        <v>38</v>
      </c>
    </row>
    <row r="48" spans="1:8" x14ac:dyDescent="0.3">
      <c r="A48" t="s">
        <v>39</v>
      </c>
    </row>
    <row r="49" spans="1:2" x14ac:dyDescent="0.3">
      <c r="A49" t="s">
        <v>40</v>
      </c>
      <c r="B49">
        <v>148</v>
      </c>
    </row>
    <row r="50" spans="1:2" x14ac:dyDescent="0.3">
      <c r="A50" t="s">
        <v>41</v>
      </c>
      <c r="B50">
        <v>110</v>
      </c>
    </row>
    <row r="51" spans="1:2" x14ac:dyDescent="0.3">
      <c r="A51" t="s">
        <v>113</v>
      </c>
    </row>
    <row r="52" spans="1:2" x14ac:dyDescent="0.3">
      <c r="A52" t="s">
        <v>114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117</v>
      </c>
    </row>
    <row r="56" spans="1:2" x14ac:dyDescent="0.3">
      <c r="A56" t="s">
        <v>118</v>
      </c>
    </row>
    <row r="57" spans="1:2" x14ac:dyDescent="0.3">
      <c r="A57" t="s">
        <v>42</v>
      </c>
      <c r="B57" s="3" t="s">
        <v>109</v>
      </c>
    </row>
    <row r="58" spans="1:2" x14ac:dyDescent="0.3">
      <c r="A58" t="s">
        <v>43</v>
      </c>
    </row>
    <row r="59" spans="1:2" x14ac:dyDescent="0.3">
      <c r="A59" t="s">
        <v>44</v>
      </c>
      <c r="B59">
        <v>31.6</v>
      </c>
    </row>
    <row r="60" spans="1:2" x14ac:dyDescent="0.3">
      <c r="A60" t="s">
        <v>45</v>
      </c>
    </row>
    <row r="61" spans="1:2" x14ac:dyDescent="0.3">
      <c r="A61" t="s">
        <v>46</v>
      </c>
    </row>
    <row r="62" spans="1:2" x14ac:dyDescent="0.3">
      <c r="A62" t="s">
        <v>47</v>
      </c>
    </row>
    <row r="63" spans="1:2" x14ac:dyDescent="0.3">
      <c r="A63" t="s">
        <v>48</v>
      </c>
    </row>
    <row r="64" spans="1:2" x14ac:dyDescent="0.3">
      <c r="A64" t="s">
        <v>49</v>
      </c>
    </row>
    <row r="65" spans="1:3" x14ac:dyDescent="0.3">
      <c r="A65" t="s">
        <v>50</v>
      </c>
    </row>
    <row r="66" spans="1:3" x14ac:dyDescent="0.3">
      <c r="A66" t="s">
        <v>51</v>
      </c>
      <c r="B66" s="3" t="s">
        <v>110</v>
      </c>
    </row>
    <row r="67" spans="1:3" x14ac:dyDescent="0.3">
      <c r="A67" t="s">
        <v>52</v>
      </c>
      <c r="B67" s="3" t="s">
        <v>74</v>
      </c>
    </row>
    <row r="68" spans="1:3" x14ac:dyDescent="0.3">
      <c r="A68" t="s">
        <v>53</v>
      </c>
    </row>
    <row r="69" spans="1:3" x14ac:dyDescent="0.3">
      <c r="A69" t="s">
        <v>54</v>
      </c>
      <c r="B69" s="3"/>
    </row>
    <row r="70" spans="1:3" x14ac:dyDescent="0.3">
      <c r="A70" t="s">
        <v>55</v>
      </c>
      <c r="B70">
        <v>2</v>
      </c>
    </row>
    <row r="71" spans="1:3" x14ac:dyDescent="0.3">
      <c r="A71" t="s">
        <v>56</v>
      </c>
    </row>
    <row r="72" spans="1:3" x14ac:dyDescent="0.3">
      <c r="A72" t="s">
        <v>57</v>
      </c>
      <c r="B72" s="3"/>
    </row>
    <row r="73" spans="1:3" x14ac:dyDescent="0.3">
      <c r="A73" t="s">
        <v>58</v>
      </c>
      <c r="B73" s="3"/>
    </row>
    <row r="74" spans="1:3" x14ac:dyDescent="0.3">
      <c r="A74" t="s">
        <v>59</v>
      </c>
      <c r="B74" s="3"/>
    </row>
    <row r="75" spans="1:3" x14ac:dyDescent="0.3">
      <c r="A75" t="s">
        <v>60</v>
      </c>
      <c r="B75" s="3"/>
    </row>
    <row r="76" spans="1:3" x14ac:dyDescent="0.3">
      <c r="A76" t="s">
        <v>61</v>
      </c>
      <c r="B76" s="3"/>
    </row>
    <row r="77" spans="1:3" x14ac:dyDescent="0.3">
      <c r="A77" t="s">
        <v>62</v>
      </c>
      <c r="B77">
        <v>1399</v>
      </c>
      <c r="C77" s="3" t="s">
        <v>106</v>
      </c>
    </row>
    <row r="78" spans="1:3" x14ac:dyDescent="0.3">
      <c r="A78" t="s">
        <v>63</v>
      </c>
      <c r="B78" s="3">
        <f>B77+1999</f>
        <v>3398</v>
      </c>
    </row>
    <row r="79" spans="1:3" x14ac:dyDescent="0.3">
      <c r="A79" t="s">
        <v>64</v>
      </c>
    </row>
    <row r="80" spans="1:3" x14ac:dyDescent="0.3">
      <c r="A80" t="s">
        <v>65</v>
      </c>
      <c r="B80" s="3" t="s">
        <v>76</v>
      </c>
    </row>
    <row r="81" spans="1:2" x14ac:dyDescent="0.3">
      <c r="A81" t="s">
        <v>69</v>
      </c>
      <c r="B81" s="3" t="s">
        <v>111</v>
      </c>
    </row>
  </sheetData>
  <hyperlinks>
    <hyperlink ref="B6" r:id="rId1" xr:uid="{F29BEC95-4E79-CC4C-9F7F-7B65EBCB5EC9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2025-11-30T01:10:24Z</dcterms:modified>
</cp:coreProperties>
</file>