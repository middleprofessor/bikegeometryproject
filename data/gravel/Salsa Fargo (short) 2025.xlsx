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9F52C83-8873-7146-A613-3F8E1A4D10A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C18" i="1"/>
  <c r="D21" i="1"/>
  <c r="E21" i="1"/>
  <c r="F21" i="1"/>
  <c r="G21" i="1"/>
  <c r="C21" i="1"/>
</calcChain>
</file>

<file path=xl/sharedStrings.xml><?xml version="1.0" encoding="utf-8"?>
<sst xmlns="http://schemas.openxmlformats.org/spreadsheetml/2006/main" count="132" uniqueCount="121">
  <si>
    <t>brand</t>
  </si>
  <si>
    <t>Salsa</t>
  </si>
  <si>
    <t>model</t>
  </si>
  <si>
    <t>model_year</t>
  </si>
  <si>
    <t>input_date</t>
  </si>
  <si>
    <t>url</t>
  </si>
  <si>
    <t>data_range</t>
  </si>
  <si>
    <t>frame_size</t>
  </si>
  <si>
    <t>frame size</t>
  </si>
  <si>
    <t>XS</t>
  </si>
  <si>
    <t>SM</t>
  </si>
  <si>
    <t>MD</t>
  </si>
  <si>
    <t>LG</t>
  </si>
  <si>
    <t>XL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</si>
  <si>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</si>
  <si>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</si>
  <si>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</si>
  <si>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</si>
  <si>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</si>
  <si>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</si>
  <si>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</si>
  <si>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</si>
  <si>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</si>
  <si>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</si>
  <si>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</si>
  <si>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</si>
  <si>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</si>
  <si>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</si>
  <si>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</si>
  <si>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</si>
  <si>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</si>
  <si>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</si>
  <si>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</si>
  <si>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</si>
  <si>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</si>
  <si>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</si>
  <si>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</si>
  <si>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</si>
  <si>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</si>
  <si>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</si>
  <si>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</si>
  <si>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</si>
  <si>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</si>
  <si>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</si>
  <si>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</si>
  <si>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</si>
  <si>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</si>
  <si>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</si>
  <si>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</si>
  <si>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</si>
  <si>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</si>
  <si>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</si>
  <si>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</si>
  <si>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</si>
  <si>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</si>
  <si>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</si>
  <si>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</si>
  <si>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</si>
  <si>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</si>
  <si>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</si>
  <si>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</si>
  <si>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</si>
  <si>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</si>
  <si>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</si>
  <si>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</si>
  <si>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</si>
  <si>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</si>
  <si>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</si>
  <si>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</si>
  <si>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</si>
  <si>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</si>
  <si>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</si>
  <si>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</si>
  <si>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</si>
  <si>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</si>
  <si>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</si>
  <si>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</si>
  <si>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</si>
  <si>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</si>
  <si>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</si>
  <si>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</si>
  <si>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</si>
  <si>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</si>
  <si>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</si>
  <si>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</si>
  <si>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</si>
  <si>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</si>
  <si>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</si>
  <si>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</si>
  <si>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</si>
  <si>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</si>
  <si>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</si>
  <si>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</si>
  <si>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</si>
  <si>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</si>
  <si>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</si>
  <si>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https://www.salsacycles.com/collections/fargo</t>
  </si>
  <si>
    <t>USD</t>
  </si>
  <si>
    <t>445.0- 462.0</t>
  </si>
  <si>
    <t>1050.0- 1067.0</t>
  </si>
  <si>
    <t>1067.0- 1084.0</t>
  </si>
  <si>
    <t>1083.0- 1100.0</t>
  </si>
  <si>
    <t>1110.0- 1127.0</t>
  </si>
  <si>
    <t>1141.0- 1158.0</t>
  </si>
  <si>
    <t>Salsa Cutthroat fork</t>
  </si>
  <si>
    <t>threaded 73</t>
  </si>
  <si>
    <t>yes</t>
  </si>
  <si>
    <t>Fargo (short)</t>
  </si>
  <si>
    <t>no</t>
  </si>
  <si>
    <t>https://www.salsacycles.com/cdn/shop/files/salsa-fargo-grx-610-bike-brass-BK01152-1920x1080-uc-1.png?v=1739311642&amp;width=1346</t>
  </si>
  <si>
    <t>location</t>
  </si>
  <si>
    <t>Bloomington,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</si>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</sst>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107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45932</v>
      </c>
    </row>
    <row r="5" spans="1:7" x14ac:dyDescent="0.3">
      <c r="A5" t="s">
        <v>5</v>
      </c>
      <c r="B5" t="s">
        <v>96</v>
      </c>
    </row>
    <row r="6" spans="1:7" x14ac:dyDescent="0.3">
      <c r="B6" t="s">
        <v>109</v>
      </c>
    </row>
    <row r="7" spans="1:7" x14ac:dyDescent="0.3">
      <c r="A7" t="s">
        <v>6</v>
      </c>
      <c r="B7" s="2" t="s">
        <v>120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520</v>
      </c>
      <c r="D9">
        <v>540</v>
      </c>
      <c r="E9">
        <v>565</v>
      </c>
      <c r="F9">
        <v>590</v>
      </c>
      <c r="G9">
        <v>620</v>
      </c>
    </row>
    <row r="10" spans="1:7" x14ac:dyDescent="0.3">
      <c r="A10" t="s">
        <v>16</v>
      </c>
      <c r="B10" t="s">
        <v>17</v>
      </c>
      <c r="C10">
        <v>690</v>
      </c>
      <c r="D10">
        <v>732</v>
      </c>
      <c r="E10">
        <v>778</v>
      </c>
      <c r="F10">
        <v>821</v>
      </c>
      <c r="G10">
        <v>859</v>
      </c>
    </row>
    <row r="11" spans="1:7" x14ac:dyDescent="0.3">
      <c r="A11" t="s">
        <v>18</v>
      </c>
      <c r="B11" t="s">
        <v>19</v>
      </c>
      <c r="C11">
        <v>350</v>
      </c>
      <c r="D11">
        <v>364</v>
      </c>
      <c r="E11">
        <v>368</v>
      </c>
      <c r="F11">
        <v>385</v>
      </c>
      <c r="G11">
        <v>409</v>
      </c>
    </row>
    <row r="12" spans="1:7" x14ac:dyDescent="0.3">
      <c r="A12" t="s">
        <v>20</v>
      </c>
      <c r="B12" t="s">
        <v>21</v>
      </c>
      <c r="C12">
        <v>594</v>
      </c>
      <c r="D12">
        <v>615</v>
      </c>
      <c r="E12">
        <v>643</v>
      </c>
      <c r="F12">
        <v>671</v>
      </c>
      <c r="G12">
        <v>690</v>
      </c>
    </row>
    <row r="13" spans="1:7" x14ac:dyDescent="0.3">
      <c r="A13" t="s">
        <v>22</v>
      </c>
      <c r="B13" t="s">
        <v>23</v>
      </c>
      <c r="C13">
        <v>355.6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24</v>
      </c>
      <c r="B14" t="s">
        <v>25</v>
      </c>
      <c r="C14">
        <v>90</v>
      </c>
      <c r="D14">
        <v>110</v>
      </c>
      <c r="E14">
        <v>140</v>
      </c>
      <c r="F14">
        <v>170</v>
      </c>
      <c r="G14">
        <v>190</v>
      </c>
    </row>
    <row r="15" spans="1:7" x14ac:dyDescent="0.3">
      <c r="A15" t="s">
        <v>26</v>
      </c>
      <c r="B15" t="s">
        <v>27</v>
      </c>
      <c r="C15">
        <v>68.5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28</v>
      </c>
      <c r="B16" t="s">
        <v>29</v>
      </c>
      <c r="C16">
        <v>74</v>
      </c>
      <c r="D16">
        <v>74</v>
      </c>
      <c r="E16">
        <v>73</v>
      </c>
      <c r="F16">
        <v>73</v>
      </c>
      <c r="G16">
        <v>73</v>
      </c>
    </row>
    <row r="17" spans="1:12" x14ac:dyDescent="0.3">
      <c r="A17" t="s">
        <v>30</v>
      </c>
      <c r="B17" t="s">
        <v>31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12" x14ac:dyDescent="0.3">
      <c r="A18" t="s">
        <v>32</v>
      </c>
      <c r="B18" t="s">
        <v>33</v>
      </c>
      <c r="C18">
        <f>VALUE(LEFT(H18,3))</f>
        <v>445</v>
      </c>
      <c r="D18">
        <f t="shared" ref="D18:G18" si="0">VALUE(LEFT(I18,3))</f>
        <v>445</v>
      </c>
      <c r="E18">
        <f t="shared" si="0"/>
        <v>445</v>
      </c>
      <c r="F18">
        <f t="shared" si="0"/>
        <v>445</v>
      </c>
      <c r="G18">
        <f t="shared" si="0"/>
        <v>445</v>
      </c>
      <c r="H18" t="s">
        <v>98</v>
      </c>
      <c r="I18" t="s">
        <v>98</v>
      </c>
      <c r="J18" t="s">
        <v>98</v>
      </c>
      <c r="K18" t="s">
        <v>98</v>
      </c>
      <c r="L18" t="s">
        <v>98</v>
      </c>
    </row>
    <row r="19" spans="1:12" x14ac:dyDescent="0.3">
      <c r="A19" t="s">
        <v>34</v>
      </c>
      <c r="B19" t="s">
        <v>35</v>
      </c>
      <c r="C19">
        <v>480</v>
      </c>
      <c r="D19">
        <v>480</v>
      </c>
      <c r="E19">
        <v>480</v>
      </c>
      <c r="F19">
        <v>480</v>
      </c>
      <c r="G19">
        <v>480</v>
      </c>
      <c r="H19" s="2" t="s">
        <v>104</v>
      </c>
    </row>
    <row r="20" spans="1:12" x14ac:dyDescent="0.3">
      <c r="A20" t="s">
        <v>36</v>
      </c>
      <c r="B20" t="s">
        <v>37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12" x14ac:dyDescent="0.3">
      <c r="A21" t="s">
        <v>38</v>
      </c>
      <c r="B21" t="s">
        <v>39</v>
      </c>
      <c r="C21">
        <f>VALUE(LEFT(H21,4))</f>
        <v>1050</v>
      </c>
      <c r="D21">
        <f t="shared" ref="D21:G21" si="1">VALUE(LEFT(I21,4))</f>
        <v>1067</v>
      </c>
      <c r="E21">
        <f t="shared" si="1"/>
        <v>1083</v>
      </c>
      <c r="F21">
        <f t="shared" si="1"/>
        <v>1110</v>
      </c>
      <c r="G21">
        <f t="shared" si="1"/>
        <v>1141</v>
      </c>
      <c r="H21" t="s">
        <v>99</v>
      </c>
      <c r="I21" t="s">
        <v>100</v>
      </c>
      <c r="J21" t="s">
        <v>101</v>
      </c>
      <c r="K21" t="s">
        <v>102</v>
      </c>
      <c r="L21" t="s">
        <v>103</v>
      </c>
    </row>
    <row r="22" spans="1:12" x14ac:dyDescent="0.3">
      <c r="A22" t="s">
        <v>40</v>
      </c>
      <c r="B22" t="s">
        <v>41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12" x14ac:dyDescent="0.3">
      <c r="A23" t="s">
        <v>42</v>
      </c>
      <c r="B23" t="s">
        <v>43</v>
      </c>
      <c r="C23">
        <v>440</v>
      </c>
      <c r="D23">
        <v>460</v>
      </c>
      <c r="E23">
        <v>480</v>
      </c>
      <c r="F23">
        <v>500</v>
      </c>
      <c r="G23">
        <v>520</v>
      </c>
    </row>
    <row r="24" spans="1:12" x14ac:dyDescent="0.3">
      <c r="A24" t="s">
        <v>44</v>
      </c>
      <c r="B24" t="s">
        <v>45</v>
      </c>
      <c r="C24">
        <v>60</v>
      </c>
      <c r="D24">
        <v>70</v>
      </c>
      <c r="E24">
        <v>70</v>
      </c>
      <c r="F24">
        <v>80</v>
      </c>
      <c r="G24">
        <v>80</v>
      </c>
    </row>
    <row r="25" spans="1:12" x14ac:dyDescent="0.3">
      <c r="A25" s="2" t="s">
        <v>118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12" x14ac:dyDescent="0.3">
      <c r="A26" s="2" t="s">
        <v>119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12" x14ac:dyDescent="0.3">
      <c r="A27" t="s">
        <v>46</v>
      </c>
    </row>
    <row r="28" spans="1:12" x14ac:dyDescent="0.3">
      <c r="A28" t="s">
        <v>47</v>
      </c>
      <c r="B28" t="s">
        <v>47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2" x14ac:dyDescent="0.3">
      <c r="A29" t="s">
        <v>48</v>
      </c>
      <c r="B29" t="s">
        <v>48</v>
      </c>
      <c r="C29">
        <v>2.2000000000000002</v>
      </c>
      <c r="D29">
        <v>2.2000000000000002</v>
      </c>
      <c r="E29">
        <v>2.2000000000000002</v>
      </c>
      <c r="F29">
        <v>2.2000000000000002</v>
      </c>
      <c r="G29">
        <v>2.2000000000000002</v>
      </c>
    </row>
    <row r="30" spans="1:12" x14ac:dyDescent="0.3">
      <c r="A30" t="s">
        <v>49</v>
      </c>
      <c r="B30" t="s">
        <v>49</v>
      </c>
      <c r="C30">
        <v>2.6</v>
      </c>
      <c r="D30">
        <v>3</v>
      </c>
      <c r="E30">
        <v>3</v>
      </c>
      <c r="F30">
        <v>3</v>
      </c>
      <c r="G30">
        <v>3</v>
      </c>
    </row>
    <row r="31" spans="1:12" x14ac:dyDescent="0.3">
      <c r="A31" t="s">
        <v>50</v>
      </c>
      <c r="B31" t="s">
        <v>50</v>
      </c>
      <c r="C31">
        <v>150</v>
      </c>
      <c r="D31">
        <v>160</v>
      </c>
      <c r="E31">
        <v>173</v>
      </c>
      <c r="F31">
        <v>180</v>
      </c>
      <c r="G31">
        <v>188</v>
      </c>
    </row>
    <row r="32" spans="1:12" x14ac:dyDescent="0.3">
      <c r="A32" t="s">
        <v>51</v>
      </c>
      <c r="B32" t="s">
        <v>51</v>
      </c>
      <c r="C32">
        <v>160</v>
      </c>
      <c r="D32">
        <v>175</v>
      </c>
      <c r="E32">
        <v>183</v>
      </c>
      <c r="F32">
        <v>191</v>
      </c>
      <c r="G32">
        <v>198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90</v>
      </c>
      <c r="B35" t="s">
        <v>91</v>
      </c>
    </row>
    <row r="36" spans="1:2" x14ac:dyDescent="0.3">
      <c r="A36" t="s">
        <v>92</v>
      </c>
      <c r="B36" t="s">
        <v>93</v>
      </c>
    </row>
    <row r="37" spans="1:2" x14ac:dyDescent="0.3">
      <c r="A37" t="s">
        <v>94</v>
      </c>
      <c r="B37" t="s">
        <v>95</v>
      </c>
    </row>
    <row r="38" spans="1:2" x14ac:dyDescent="0.3">
      <c r="A38" t="s">
        <v>54</v>
      </c>
      <c r="B38" t="s">
        <v>55</v>
      </c>
    </row>
    <row r="39" spans="1:2" x14ac:dyDescent="0.3">
      <c r="A39" t="s">
        <v>56</v>
      </c>
    </row>
    <row r="40" spans="1:2" x14ac:dyDescent="0.3">
      <c r="A40" t="s">
        <v>57</v>
      </c>
      <c r="B40">
        <v>17</v>
      </c>
    </row>
    <row r="41" spans="1:2" x14ac:dyDescent="0.3">
      <c r="A41" t="s">
        <v>58</v>
      </c>
      <c r="B41">
        <v>3</v>
      </c>
    </row>
    <row r="42" spans="1:2" x14ac:dyDescent="0.3">
      <c r="A42" t="s">
        <v>59</v>
      </c>
      <c r="B42">
        <v>3</v>
      </c>
    </row>
    <row r="43" spans="1:2" x14ac:dyDescent="0.3">
      <c r="A43" t="s">
        <v>60</v>
      </c>
      <c r="B43">
        <v>100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  <c r="B47">
        <v>148</v>
      </c>
    </row>
    <row r="48" spans="1:2" x14ac:dyDescent="0.3">
      <c r="A48" t="s">
        <v>65</v>
      </c>
      <c r="B48">
        <v>110</v>
      </c>
    </row>
    <row r="49" spans="1:2" x14ac:dyDescent="0.3">
      <c r="A49" t="s">
        <v>112</v>
      </c>
    </row>
    <row r="50" spans="1:2" x14ac:dyDescent="0.3">
      <c r="A50" t="s">
        <v>113</v>
      </c>
    </row>
    <row r="51" spans="1:2" x14ac:dyDescent="0.3">
      <c r="A51" t="s">
        <v>114</v>
      </c>
    </row>
    <row r="52" spans="1:2" x14ac:dyDescent="0.3">
      <c r="A52" t="s">
        <v>115</v>
      </c>
    </row>
    <row r="53" spans="1:2" x14ac:dyDescent="0.3">
      <c r="A53" t="s">
        <v>116</v>
      </c>
    </row>
    <row r="54" spans="1:2" x14ac:dyDescent="0.3">
      <c r="A54" t="s">
        <v>117</v>
      </c>
    </row>
    <row r="55" spans="1:2" x14ac:dyDescent="0.3">
      <c r="A55" t="s">
        <v>66</v>
      </c>
      <c r="B55" s="2" t="s">
        <v>105</v>
      </c>
    </row>
    <row r="56" spans="1:2" x14ac:dyDescent="0.3">
      <c r="A56" t="s">
        <v>67</v>
      </c>
    </row>
    <row r="57" spans="1:2" x14ac:dyDescent="0.3">
      <c r="A57" t="s">
        <v>68</v>
      </c>
      <c r="B57">
        <v>27.2</v>
      </c>
    </row>
    <row r="58" spans="1:2" x14ac:dyDescent="0.3">
      <c r="A58" t="s">
        <v>69</v>
      </c>
      <c r="B58" s="2" t="s">
        <v>106</v>
      </c>
    </row>
    <row r="59" spans="1:2" x14ac:dyDescent="0.3">
      <c r="A59" t="s">
        <v>70</v>
      </c>
      <c r="B59">
        <v>36</v>
      </c>
    </row>
    <row r="60" spans="1:2" x14ac:dyDescent="0.3">
      <c r="A60" t="s">
        <v>71</v>
      </c>
      <c r="B60">
        <v>42</v>
      </c>
    </row>
    <row r="61" spans="1:2" x14ac:dyDescent="0.3">
      <c r="A61" t="s">
        <v>72</v>
      </c>
      <c r="B61">
        <v>180</v>
      </c>
    </row>
    <row r="62" spans="1:2" x14ac:dyDescent="0.3">
      <c r="A62" t="s">
        <v>73</v>
      </c>
      <c r="B62">
        <v>160</v>
      </c>
    </row>
    <row r="63" spans="1:2" x14ac:dyDescent="0.3">
      <c r="A63" t="s">
        <v>74</v>
      </c>
    </row>
    <row r="64" spans="1:2" x14ac:dyDescent="0.3">
      <c r="A64" t="s">
        <v>75</v>
      </c>
    </row>
    <row r="65" spans="1:2" x14ac:dyDescent="0.3">
      <c r="A65" t="s">
        <v>76</v>
      </c>
      <c r="B65" s="2" t="s">
        <v>108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  <c r="B68">
        <v>2</v>
      </c>
    </row>
    <row r="69" spans="1:2" x14ac:dyDescent="0.3">
      <c r="A69" t="s">
        <v>80</v>
      </c>
      <c r="B69">
        <v>1</v>
      </c>
    </row>
    <row r="70" spans="1:2" x14ac:dyDescent="0.3">
      <c r="A70" t="s">
        <v>81</v>
      </c>
    </row>
    <row r="71" spans="1:2" x14ac:dyDescent="0.3">
      <c r="A71" t="s">
        <v>82</v>
      </c>
      <c r="B71">
        <v>3</v>
      </c>
    </row>
    <row r="72" spans="1:2" x14ac:dyDescent="0.3">
      <c r="A72" t="s">
        <v>83</v>
      </c>
    </row>
    <row r="73" spans="1:2" x14ac:dyDescent="0.3">
      <c r="A73" t="s">
        <v>84</v>
      </c>
      <c r="B73" s="2" t="s">
        <v>106</v>
      </c>
    </row>
    <row r="74" spans="1:2" x14ac:dyDescent="0.3">
      <c r="A74" t="s">
        <v>85</v>
      </c>
      <c r="B74" s="2" t="s">
        <v>106</v>
      </c>
    </row>
    <row r="75" spans="1:2" x14ac:dyDescent="0.3">
      <c r="A75" t="s">
        <v>86</v>
      </c>
      <c r="B75">
        <v>999</v>
      </c>
    </row>
    <row r="76" spans="1:2" x14ac:dyDescent="0.3">
      <c r="A76" t="s">
        <v>87</v>
      </c>
      <c r="B76">
        <v>2599</v>
      </c>
    </row>
    <row r="77" spans="1:2" x14ac:dyDescent="0.3">
      <c r="A77" t="s">
        <v>88</v>
      </c>
    </row>
    <row r="78" spans="1:2" x14ac:dyDescent="0.3">
      <c r="A78" t="s">
        <v>89</v>
      </c>
      <c r="B78" s="2" t="s">
        <v>97</v>
      </c>
    </row>
    <row r="79" spans="1:2" x14ac:dyDescent="0.3">
      <c r="A79" t="s">
        <v>110</v>
      </c>
      <c r="B79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2025-11-30T13:09:09Z</dcterms:modified>
</cp:coreProperties>
</file>