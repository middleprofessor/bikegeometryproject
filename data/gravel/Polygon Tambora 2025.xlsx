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75332E5-1EF2-1649-ABD2-47F042F9F770}" xr6:coauthVersionLast="47" xr6:coauthVersionMax="47" xr10:uidLastSave="{00000000-0000-0000-0000-000000000000}"/>
  <bookViews>
    <workbookView xWindow="30320" yWindow="-2588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E33" i="1"/>
  <c r="F33" i="1"/>
  <c r="D34" i="1"/>
  <c r="E34" i="1"/>
  <c r="F34" i="1"/>
  <c r="C34" i="1"/>
  <c r="C33" i="1"/>
</calcChain>
</file>

<file path=xl/sharedStrings.xml><?xml version="1.0" encoding="utf-8"?>
<sst xmlns="http://schemas.openxmlformats.org/spreadsheetml/2006/main" count="123" uniqueCount="121">
  <si>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</si>
  <si>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</si>
  <si>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</si>
  <si>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</si>
  <si>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</si>
  <si>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</si>
  <si>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</si>
  <si>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</si>
  <si>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</si>
  <si>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</si>
  <si>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chainstay_length</t>
  </si>
  <si>
    <t>front_center</t>
  </si>
  <si>
    <t>wheelbase</t>
  </si>
  <si>
    <t>bottom_bracket_drop</t>
  </si>
  <si>
    <t>head_tube_length</t>
  </si>
  <si>
    <t>head_tube_angle</t>
  </si>
  <si>
    <t>seat_tube_angle</t>
  </si>
  <si>
    <t>standover</t>
  </si>
  <si>
    <t>reach</t>
  </si>
  <si>
    <t>stack</t>
  </si>
  <si>
    <t>fork_offset_rake</t>
  </si>
  <si>
    <t>frame_weight</t>
  </si>
  <si>
    <t>trail</t>
  </si>
  <si>
    <t>axle_crown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</si>
  <si>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</si>
  <si>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</si>
  <si>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</si>
  <si>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</si>
  <si>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</si>
  <si>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</si>
  <si>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</si>
  <si>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</si>
  <si>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</si>
  <si>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</si>
  <si>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</si>
  <si>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</si>
  <si>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</si>
  <si>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</si>
  <si>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</si>
  <si>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</si>
  <si>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</si>
  <si>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</si>
  <si>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</si>
  <si>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</si>
  <si>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</si>
  <si>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</si>
  <si>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</si>
  <si>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</si>
  <si>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</si>
  <si>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</si>
  <si>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</si>
  <si>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</si>
  <si>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</si>
  <si>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</si>
  <si>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</si>
  <si>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</si>
  <si>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</si>
  <si>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</si>
  <si>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</si>
  <si>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</si>
  <si>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</si>
  <si>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</si>
  <si>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</si>
  <si>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</si>
  <si>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</si>
  <si>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</si>
  <si>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</si>
  <si>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</si>
  <si>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</si>
  <si>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</si>
  <si>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</si>
  <si>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</si>
  <si>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</si>
  <si>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</si>
  <si>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USD</t>
  </si>
  <si>
    <t>S</t>
  </si>
  <si>
    <t>M</t>
  </si>
  <si>
    <t>L</t>
  </si>
  <si>
    <t>XL</t>
  </si>
  <si>
    <t>Height (cm)</t>
  </si>
  <si>
    <t>150-163</t>
  </si>
  <si>
    <t>163-175</t>
  </si>
  <si>
    <t>175-188</t>
  </si>
  <si>
    <t>188-195</t>
  </si>
  <si>
    <t>Seat Tube Length (A)</t>
  </si>
  <si>
    <t>Seat Tube Angle (B)</t>
  </si>
  <si>
    <t>Effective Seat Tube Angle (C)</t>
  </si>
  <si>
    <t>Head Tube Length (D)</t>
  </si>
  <si>
    <t>Head Tube Angle (E)</t>
  </si>
  <si>
    <t>Effective Top Tube (F)</t>
  </si>
  <si>
    <t>Bb Height (G)</t>
  </si>
  <si>
    <t>Bb Offset (H)</t>
  </si>
  <si>
    <t>Chainstay Length (I)</t>
  </si>
  <si>
    <t>Wheelbase (J)</t>
  </si>
  <si>
    <t>Frame Reach (K)</t>
  </si>
  <si>
    <t>Frame Stack (L)</t>
  </si>
  <si>
    <t>Standover Height (M)</t>
  </si>
  <si>
    <t>Polygon</t>
  </si>
  <si>
    <t>bb_height</t>
  </si>
  <si>
    <t>actual_seat_tube_angle</t>
  </si>
  <si>
    <t>a8:f34</t>
  </si>
  <si>
    <t>internal</t>
  </si>
  <si>
    <t>yes</t>
  </si>
  <si>
    <t>location</t>
  </si>
  <si>
    <t>Sidoarjo, Indonesia</t>
  </si>
  <si>
    <t>head_tube_d</t>
  </si>
  <si>
    <t>headset_upper</t>
  </si>
  <si>
    <t>headset_lower</t>
  </si>
  <si>
    <t>fork_steerer</t>
  </si>
  <si>
    <t>fork_steerer_d</t>
  </si>
  <si>
    <t>fork_material</t>
  </si>
  <si>
    <t>rigid</t>
  </si>
  <si>
    <t>carbon</t>
  </si>
  <si>
    <t>https://www.polygonbikes.com/us/tambora-series-us/</t>
  </si>
  <si>
    <t>https://media.polygonbikes.com/wp-content/uploads/2023/10/14140944/MY23-TAMBORA-G8X-P-1-1-768x576.png</t>
  </si>
  <si>
    <t>Tambora (speed gravel carbon)</t>
  </si>
  <si>
    <t>frame size</t>
  </si>
  <si>
    <t>flip</t>
  </si>
  <si>
    <t>IS52/28.6</t>
  </si>
  <si>
    <t>IS52/40</t>
  </si>
  <si>
    <t>threaded t47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</si>
</sst>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E2E2E"/>
      <name val="Futura Medium"/>
    </font>
    <font>
      <sz val="14"/>
      <color rgb="FF2E2E2E"/>
      <name val="Futura Medium"/>
    </font>
    <font>
      <sz val="14"/>
      <color rgb="FF2E2E2E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workbookViewId="0">
      <selection activeCell="B58" sqref="B58"/>
    </sheetView>
  </sheetViews>
  <sheetFormatPr baseColWidth="10" defaultRowHeight="20" x14ac:dyDescent="0.3"/>
  <cols>
    <col min="1" max="2" width="19.6640625" customWidth="1"/>
  </cols>
  <sheetData>
    <row r="1" spans="1:12" x14ac:dyDescent="0.3">
      <c r="A1" t="s">
        <v>0</v>
      </c>
      <c r="B1" s="1" t="s">
        <v>97</v>
      </c>
    </row>
    <row r="2" spans="1:12" x14ac:dyDescent="0.3">
      <c r="A2" t="s">
        <v>1</v>
      </c>
      <c r="B2" s="1" t="s">
        <v>115</v>
      </c>
    </row>
    <row r="3" spans="1:12" x14ac:dyDescent="0.3">
      <c r="A3" t="s">
        <v>2</v>
      </c>
      <c r="B3" t="s">
        <v>3</v>
      </c>
    </row>
    <row r="4" spans="1:12" x14ac:dyDescent="0.3">
      <c r="A4" t="s">
        <v>4</v>
      </c>
      <c r="B4" s="2">
        <v>46018</v>
      </c>
    </row>
    <row r="5" spans="1:12" x14ac:dyDescent="0.3">
      <c r="A5" t="s">
        <v>5</v>
      </c>
      <c r="B5" t="s">
        <v>113</v>
      </c>
    </row>
    <row r="6" spans="1:12" x14ac:dyDescent="0.3">
      <c r="B6" t="s">
        <v>114</v>
      </c>
    </row>
    <row r="7" spans="1:12" x14ac:dyDescent="0.3">
      <c r="A7" t="s">
        <v>6</v>
      </c>
      <c r="B7" s="1" t="s">
        <v>100</v>
      </c>
    </row>
    <row r="8" spans="1:12" x14ac:dyDescent="0.3">
      <c r="A8" t="s">
        <v>7</v>
      </c>
      <c r="B8" s="1" t="s">
        <v>116</v>
      </c>
      <c r="C8" t="s">
        <v>75</v>
      </c>
      <c r="D8" s="3" t="s">
        <v>76</v>
      </c>
      <c r="E8" s="3" t="s">
        <v>77</v>
      </c>
      <c r="F8" s="3" t="s">
        <v>78</v>
      </c>
    </row>
    <row r="9" spans="1:12" x14ac:dyDescent="0.3">
      <c r="A9" t="s">
        <v>9</v>
      </c>
      <c r="B9" s="3" t="s">
        <v>84</v>
      </c>
      <c r="C9" s="3">
        <v>404</v>
      </c>
      <c r="D9" s="3">
        <v>448</v>
      </c>
      <c r="E9" s="3">
        <v>492</v>
      </c>
      <c r="F9" s="3">
        <v>535</v>
      </c>
      <c r="H9" s="4"/>
      <c r="I9" s="5"/>
      <c r="J9" s="5"/>
      <c r="K9" s="5"/>
      <c r="L9" s="5"/>
    </row>
    <row r="10" spans="1:12" x14ac:dyDescent="0.3">
      <c r="A10" s="1" t="s">
        <v>99</v>
      </c>
      <c r="B10" s="3" t="s">
        <v>85</v>
      </c>
      <c r="C10" s="3">
        <v>74.5</v>
      </c>
      <c r="D10" s="3">
        <v>74</v>
      </c>
      <c r="E10" s="3">
        <v>73.5</v>
      </c>
      <c r="F10" s="3">
        <v>73</v>
      </c>
      <c r="H10" s="4"/>
      <c r="I10" s="5"/>
      <c r="J10" s="5"/>
      <c r="K10" s="5"/>
      <c r="L10" s="5"/>
    </row>
    <row r="11" spans="1:12" x14ac:dyDescent="0.3">
      <c r="A11" t="s">
        <v>16</v>
      </c>
      <c r="B11" s="3" t="s">
        <v>86</v>
      </c>
      <c r="C11" s="3">
        <v>74.5</v>
      </c>
      <c r="D11" s="3">
        <v>74</v>
      </c>
      <c r="E11" s="3">
        <v>73.5</v>
      </c>
      <c r="F11" s="3">
        <v>73</v>
      </c>
      <c r="H11" s="4"/>
      <c r="I11" s="5"/>
      <c r="J11" s="5"/>
      <c r="K11" s="5"/>
      <c r="L11" s="5"/>
    </row>
    <row r="12" spans="1:12" x14ac:dyDescent="0.3">
      <c r="A12" t="s">
        <v>14</v>
      </c>
      <c r="B12" s="3" t="s">
        <v>87</v>
      </c>
      <c r="C12" s="3">
        <v>143</v>
      </c>
      <c r="D12" s="3">
        <v>163</v>
      </c>
      <c r="E12" s="3">
        <v>193</v>
      </c>
      <c r="F12" s="3">
        <v>221</v>
      </c>
      <c r="H12" s="4"/>
      <c r="I12" s="5"/>
      <c r="J12" s="5"/>
      <c r="K12" s="5"/>
      <c r="L12" s="5"/>
    </row>
    <row r="13" spans="1:12" x14ac:dyDescent="0.3">
      <c r="A13" t="s">
        <v>15</v>
      </c>
      <c r="B13" s="3" t="s">
        <v>88</v>
      </c>
      <c r="C13" s="3">
        <v>70</v>
      </c>
      <c r="D13" s="3">
        <v>71.5</v>
      </c>
      <c r="E13" s="3">
        <v>71.8</v>
      </c>
      <c r="F13" s="3">
        <v>72</v>
      </c>
      <c r="H13" s="4"/>
      <c r="I13" s="5"/>
      <c r="J13" s="5"/>
      <c r="K13" s="5"/>
      <c r="L13" s="5"/>
    </row>
    <row r="14" spans="1:12" x14ac:dyDescent="0.3">
      <c r="A14" t="s">
        <v>8</v>
      </c>
      <c r="B14" s="3" t="s">
        <v>89</v>
      </c>
      <c r="C14" s="3">
        <v>526</v>
      </c>
      <c r="D14" s="3">
        <v>551</v>
      </c>
      <c r="E14" s="3">
        <v>581</v>
      </c>
      <c r="F14" s="3">
        <v>611</v>
      </c>
      <c r="H14" s="4"/>
      <c r="I14" s="5"/>
      <c r="J14" s="5"/>
      <c r="K14" s="5"/>
      <c r="L14" s="5"/>
    </row>
    <row r="15" spans="1:12" x14ac:dyDescent="0.3">
      <c r="A15" s="1" t="s">
        <v>98</v>
      </c>
      <c r="B15" s="3" t="s">
        <v>90</v>
      </c>
      <c r="C15" s="3">
        <v>280</v>
      </c>
      <c r="D15" s="3">
        <v>280</v>
      </c>
      <c r="E15" s="3">
        <v>280</v>
      </c>
      <c r="F15" s="3">
        <v>280</v>
      </c>
      <c r="H15" s="4"/>
      <c r="I15" s="5"/>
      <c r="J15" s="5"/>
      <c r="K15" s="5"/>
      <c r="L15" s="5"/>
    </row>
    <row r="16" spans="1:12" x14ac:dyDescent="0.3">
      <c r="A16" t="s">
        <v>13</v>
      </c>
      <c r="B16" s="3" t="s">
        <v>91</v>
      </c>
      <c r="C16" s="3">
        <v>78</v>
      </c>
      <c r="D16" s="3">
        <v>78</v>
      </c>
      <c r="E16" s="3">
        <v>78</v>
      </c>
      <c r="F16" s="3">
        <v>78</v>
      </c>
      <c r="H16" s="4"/>
      <c r="I16" s="5"/>
      <c r="J16" s="5"/>
      <c r="K16" s="5"/>
      <c r="L16" s="5"/>
    </row>
    <row r="17" spans="1:12" x14ac:dyDescent="0.3">
      <c r="A17" t="s">
        <v>10</v>
      </c>
      <c r="B17" s="3" t="s">
        <v>92</v>
      </c>
      <c r="C17" s="3">
        <v>425</v>
      </c>
      <c r="D17" s="3">
        <v>425</v>
      </c>
      <c r="E17" s="3">
        <v>425</v>
      </c>
      <c r="F17" s="3">
        <v>425</v>
      </c>
      <c r="H17" s="4"/>
      <c r="I17" s="5"/>
      <c r="J17" s="5"/>
      <c r="K17" s="5"/>
      <c r="L17" s="5"/>
    </row>
    <row r="18" spans="1:12" x14ac:dyDescent="0.3">
      <c r="A18" t="s">
        <v>12</v>
      </c>
      <c r="B18" s="3" t="s">
        <v>93</v>
      </c>
      <c r="C18" s="3">
        <v>1017</v>
      </c>
      <c r="D18" s="3">
        <v>1022</v>
      </c>
      <c r="E18" s="3">
        <v>1045</v>
      </c>
      <c r="F18" s="3">
        <v>1067</v>
      </c>
      <c r="H18" s="4"/>
      <c r="I18" s="5"/>
      <c r="J18" s="5"/>
      <c r="K18" s="5"/>
      <c r="L18" s="5"/>
    </row>
    <row r="19" spans="1:12" x14ac:dyDescent="0.3">
      <c r="A19" t="s">
        <v>18</v>
      </c>
      <c r="B19" s="3" t="s">
        <v>94</v>
      </c>
      <c r="C19" s="3">
        <v>369</v>
      </c>
      <c r="D19" s="3">
        <v>381</v>
      </c>
      <c r="E19" s="3">
        <v>397</v>
      </c>
      <c r="F19" s="3">
        <v>412</v>
      </c>
      <c r="H19" s="4"/>
      <c r="I19" s="5"/>
      <c r="J19" s="5"/>
      <c r="K19" s="5"/>
      <c r="L19" s="5"/>
    </row>
    <row r="20" spans="1:12" x14ac:dyDescent="0.3">
      <c r="A20" t="s">
        <v>19</v>
      </c>
      <c r="B20" s="3" t="s">
        <v>95</v>
      </c>
      <c r="C20" s="3">
        <v>568</v>
      </c>
      <c r="D20" s="3">
        <v>593</v>
      </c>
      <c r="E20" s="3">
        <v>622</v>
      </c>
      <c r="F20" s="3">
        <v>650</v>
      </c>
      <c r="H20" s="4"/>
      <c r="I20" s="5"/>
      <c r="J20" s="5"/>
      <c r="K20" s="5"/>
      <c r="L20" s="5"/>
    </row>
    <row r="21" spans="1:12" x14ac:dyDescent="0.3">
      <c r="A21" s="1" t="s">
        <v>17</v>
      </c>
      <c r="B21" s="3" t="s">
        <v>96</v>
      </c>
      <c r="C21" s="3">
        <v>716</v>
      </c>
      <c r="D21" s="3">
        <v>755</v>
      </c>
      <c r="E21" s="3">
        <v>798</v>
      </c>
      <c r="F21" s="3">
        <v>833</v>
      </c>
      <c r="H21" s="4"/>
      <c r="I21" s="5"/>
      <c r="J21" s="5"/>
      <c r="K21" s="5"/>
      <c r="L21" s="5"/>
    </row>
    <row r="22" spans="1:12" x14ac:dyDescent="0.3">
      <c r="A22" t="s">
        <v>11</v>
      </c>
    </row>
    <row r="23" spans="1:12" x14ac:dyDescent="0.3">
      <c r="A23" t="s">
        <v>23</v>
      </c>
      <c r="C23" s="3"/>
      <c r="D23" s="3"/>
      <c r="E23" s="3"/>
      <c r="F23" s="3"/>
      <c r="G23" s="1"/>
    </row>
    <row r="24" spans="1:12" x14ac:dyDescent="0.3">
      <c r="A24" t="s">
        <v>20</v>
      </c>
      <c r="C24" s="3"/>
      <c r="D24" s="3"/>
      <c r="E24" s="3"/>
      <c r="F24" s="3"/>
    </row>
    <row r="25" spans="1:12" x14ac:dyDescent="0.3">
      <c r="A25" t="s">
        <v>21</v>
      </c>
    </row>
    <row r="26" spans="1:12" x14ac:dyDescent="0.3">
      <c r="A26" t="s">
        <v>22</v>
      </c>
    </row>
    <row r="27" spans="1:12" x14ac:dyDescent="0.3">
      <c r="A27" t="s">
        <v>24</v>
      </c>
    </row>
    <row r="28" spans="1:12" x14ac:dyDescent="0.3">
      <c r="A28" t="s">
        <v>25</v>
      </c>
    </row>
    <row r="29" spans="1:12" x14ac:dyDescent="0.3">
      <c r="A29" t="s">
        <v>26</v>
      </c>
    </row>
    <row r="30" spans="1:12" x14ac:dyDescent="0.3">
      <c r="A30" t="s">
        <v>27</v>
      </c>
      <c r="C30">
        <v>700</v>
      </c>
      <c r="D30">
        <v>700</v>
      </c>
      <c r="E30">
        <v>700</v>
      </c>
      <c r="F30">
        <v>700</v>
      </c>
    </row>
    <row r="31" spans="1:12" x14ac:dyDescent="0.3">
      <c r="A31" t="s">
        <v>28</v>
      </c>
      <c r="C31">
        <v>40</v>
      </c>
      <c r="D31">
        <v>40</v>
      </c>
      <c r="E31">
        <v>40</v>
      </c>
      <c r="F31">
        <v>40</v>
      </c>
    </row>
    <row r="32" spans="1:12" x14ac:dyDescent="0.3">
      <c r="A32" t="s">
        <v>29</v>
      </c>
      <c r="C32">
        <v>45</v>
      </c>
      <c r="D32">
        <v>45</v>
      </c>
      <c r="E32">
        <v>45</v>
      </c>
      <c r="F32">
        <v>45</v>
      </c>
    </row>
    <row r="33" spans="1:7" x14ac:dyDescent="0.3">
      <c r="A33" t="s">
        <v>30</v>
      </c>
      <c r="C33">
        <f>VALUE(LEFT(C35,3))</f>
        <v>150</v>
      </c>
      <c r="D33">
        <f t="shared" ref="D33:F33" si="0">VALUE(LEFT(D35,3))</f>
        <v>163</v>
      </c>
      <c r="E33">
        <f t="shared" si="0"/>
        <v>175</v>
      </c>
      <c r="F33">
        <f t="shared" si="0"/>
        <v>188</v>
      </c>
    </row>
    <row r="34" spans="1:7" x14ac:dyDescent="0.3">
      <c r="A34" t="s">
        <v>31</v>
      </c>
      <c r="C34">
        <f>VALUE(RIGHT(C35,3))</f>
        <v>163</v>
      </c>
      <c r="D34">
        <f t="shared" ref="D34:F34" si="1">VALUE(RIGHT(D35,3))</f>
        <v>175</v>
      </c>
      <c r="E34">
        <f t="shared" si="1"/>
        <v>188</v>
      </c>
      <c r="F34">
        <f t="shared" si="1"/>
        <v>195</v>
      </c>
    </row>
    <row r="35" spans="1:7" x14ac:dyDescent="0.3">
      <c r="C35" s="3" t="s">
        <v>80</v>
      </c>
      <c r="D35" s="3" t="s">
        <v>81</v>
      </c>
      <c r="E35" s="3" t="s">
        <v>82</v>
      </c>
      <c r="F35" s="3" t="s">
        <v>83</v>
      </c>
      <c r="G35" s="3" t="s">
        <v>79</v>
      </c>
    </row>
    <row r="36" spans="1:7" x14ac:dyDescent="0.3">
      <c r="A36" t="s">
        <v>32</v>
      </c>
      <c r="B36" t="s">
        <v>33</v>
      </c>
    </row>
    <row r="37" spans="1:7" x14ac:dyDescent="0.3">
      <c r="A37" t="s">
        <v>69</v>
      </c>
      <c r="B37" t="s">
        <v>70</v>
      </c>
    </row>
    <row r="38" spans="1:7" x14ac:dyDescent="0.3">
      <c r="A38" t="s">
        <v>71</v>
      </c>
      <c r="B38" t="s">
        <v>72</v>
      </c>
    </row>
    <row r="39" spans="1:7" x14ac:dyDescent="0.3">
      <c r="A39" t="s">
        <v>73</v>
      </c>
      <c r="B39" s="1" t="s">
        <v>111</v>
      </c>
    </row>
    <row r="40" spans="1:7" x14ac:dyDescent="0.3">
      <c r="A40" t="s">
        <v>34</v>
      </c>
      <c r="B40" s="1" t="s">
        <v>112</v>
      </c>
    </row>
    <row r="41" spans="1:7" x14ac:dyDescent="0.3">
      <c r="A41" t="s">
        <v>35</v>
      </c>
    </row>
    <row r="42" spans="1:7" x14ac:dyDescent="0.3">
      <c r="A42" t="s">
        <v>36</v>
      </c>
      <c r="B42" s="1" t="s">
        <v>117</v>
      </c>
    </row>
    <row r="43" spans="1:7" x14ac:dyDescent="0.3">
      <c r="A43" t="s">
        <v>37</v>
      </c>
      <c r="B43">
        <v>45</v>
      </c>
    </row>
    <row r="44" spans="1:7" x14ac:dyDescent="0.3">
      <c r="A44" t="s">
        <v>38</v>
      </c>
    </row>
    <row r="45" spans="1:7" x14ac:dyDescent="0.3">
      <c r="A45" t="s">
        <v>39</v>
      </c>
    </row>
    <row r="46" spans="1:7" x14ac:dyDescent="0.3">
      <c r="A46" t="s">
        <v>40</v>
      </c>
    </row>
    <row r="47" spans="1:7" x14ac:dyDescent="0.3">
      <c r="A47" t="s">
        <v>41</v>
      </c>
    </row>
    <row r="48" spans="1:7" x14ac:dyDescent="0.3">
      <c r="A48" t="s">
        <v>42</v>
      </c>
    </row>
    <row r="49" spans="1:3" x14ac:dyDescent="0.3">
      <c r="A49" t="s">
        <v>43</v>
      </c>
      <c r="B49">
        <v>142</v>
      </c>
    </row>
    <row r="50" spans="1:3" x14ac:dyDescent="0.3">
      <c r="A50" t="s">
        <v>44</v>
      </c>
      <c r="B50">
        <v>100</v>
      </c>
    </row>
    <row r="51" spans="1:3" x14ac:dyDescent="0.3">
      <c r="A51" t="s">
        <v>105</v>
      </c>
    </row>
    <row r="52" spans="1:3" x14ac:dyDescent="0.3">
      <c r="A52" t="s">
        <v>106</v>
      </c>
      <c r="B52" s="1" t="s">
        <v>118</v>
      </c>
    </row>
    <row r="53" spans="1:3" x14ac:dyDescent="0.3">
      <c r="A53" t="s">
        <v>107</v>
      </c>
      <c r="B53" s="1" t="s">
        <v>119</v>
      </c>
    </row>
    <row r="54" spans="1:3" x14ac:dyDescent="0.3">
      <c r="A54" t="s">
        <v>108</v>
      </c>
    </row>
    <row r="55" spans="1:3" x14ac:dyDescent="0.3">
      <c r="A55" t="s">
        <v>109</v>
      </c>
    </row>
    <row r="56" spans="1:3" x14ac:dyDescent="0.3">
      <c r="A56" t="s">
        <v>110</v>
      </c>
    </row>
    <row r="57" spans="1:3" x14ac:dyDescent="0.3">
      <c r="A57" t="s">
        <v>45</v>
      </c>
      <c r="B57" s="1" t="s">
        <v>120</v>
      </c>
      <c r="C57">
        <v>85.5</v>
      </c>
    </row>
    <row r="58" spans="1:3" x14ac:dyDescent="0.3">
      <c r="A58" t="s">
        <v>46</v>
      </c>
    </row>
    <row r="59" spans="1:3" x14ac:dyDescent="0.3">
      <c r="A59" t="s">
        <v>47</v>
      </c>
      <c r="B59">
        <v>27.2</v>
      </c>
    </row>
    <row r="60" spans="1:3" x14ac:dyDescent="0.3">
      <c r="A60" t="s">
        <v>48</v>
      </c>
      <c r="B60" s="1" t="s">
        <v>102</v>
      </c>
    </row>
    <row r="61" spans="1:3" x14ac:dyDescent="0.3">
      <c r="A61" t="s">
        <v>49</v>
      </c>
      <c r="B61">
        <v>42</v>
      </c>
    </row>
    <row r="62" spans="1:3" x14ac:dyDescent="0.3">
      <c r="A62" t="s">
        <v>50</v>
      </c>
    </row>
    <row r="63" spans="1:3" x14ac:dyDescent="0.3">
      <c r="A63" t="s">
        <v>51</v>
      </c>
      <c r="B63">
        <v>160</v>
      </c>
    </row>
    <row r="64" spans="1:3" x14ac:dyDescent="0.3">
      <c r="A64" t="s">
        <v>52</v>
      </c>
      <c r="B64">
        <v>160</v>
      </c>
    </row>
    <row r="65" spans="1:2" x14ac:dyDescent="0.3">
      <c r="A65" t="s">
        <v>53</v>
      </c>
    </row>
    <row r="66" spans="1:2" x14ac:dyDescent="0.3">
      <c r="A66" t="s">
        <v>54</v>
      </c>
    </row>
    <row r="67" spans="1:2" x14ac:dyDescent="0.3">
      <c r="A67" t="s">
        <v>55</v>
      </c>
      <c r="B67" s="1" t="s">
        <v>101</v>
      </c>
    </row>
    <row r="68" spans="1:2" x14ac:dyDescent="0.3">
      <c r="A68" t="s">
        <v>56</v>
      </c>
    </row>
    <row r="69" spans="1:2" x14ac:dyDescent="0.3">
      <c r="A69" t="s">
        <v>57</v>
      </c>
    </row>
    <row r="70" spans="1:2" x14ac:dyDescent="0.3">
      <c r="A70" t="s">
        <v>58</v>
      </c>
      <c r="B70">
        <v>3</v>
      </c>
    </row>
    <row r="71" spans="1:2" x14ac:dyDescent="0.3">
      <c r="A71" t="s">
        <v>59</v>
      </c>
      <c r="B71" s="1">
        <v>1</v>
      </c>
    </row>
    <row r="72" spans="1:2" x14ac:dyDescent="0.3">
      <c r="A72" t="s">
        <v>60</v>
      </c>
    </row>
    <row r="73" spans="1:2" x14ac:dyDescent="0.3">
      <c r="A73" t="s">
        <v>61</v>
      </c>
    </row>
    <row r="74" spans="1:2" x14ac:dyDescent="0.3">
      <c r="A74" t="s">
        <v>62</v>
      </c>
      <c r="B74" s="1" t="s">
        <v>102</v>
      </c>
    </row>
    <row r="75" spans="1:2" x14ac:dyDescent="0.3">
      <c r="A75" t="s">
        <v>63</v>
      </c>
      <c r="B75" s="1"/>
    </row>
    <row r="76" spans="1:2" x14ac:dyDescent="0.3">
      <c r="A76" t="s">
        <v>64</v>
      </c>
      <c r="B76" s="1" t="s">
        <v>102</v>
      </c>
    </row>
    <row r="77" spans="1:2" x14ac:dyDescent="0.3">
      <c r="A77" t="s">
        <v>65</v>
      </c>
    </row>
    <row r="78" spans="1:2" x14ac:dyDescent="0.3">
      <c r="A78" t="s">
        <v>66</v>
      </c>
      <c r="B78">
        <v>1799</v>
      </c>
    </row>
    <row r="79" spans="1:2" x14ac:dyDescent="0.3">
      <c r="A79" t="s">
        <v>67</v>
      </c>
    </row>
    <row r="80" spans="1:2" x14ac:dyDescent="0.3">
      <c r="A80" t="s">
        <v>68</v>
      </c>
      <c r="B80" s="1" t="s">
        <v>74</v>
      </c>
    </row>
    <row r="81" spans="1:2" x14ac:dyDescent="0.3">
      <c r="A81" t="s">
        <v>103</v>
      </c>
      <c r="B81" t="s">
        <v>104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2025-07-26T16:23:50Z</dcterms:created>
  <dcterms:modified xsi:type="dcterms:W3CDTF">2025-12-27T16:26:42Z</dcterms:modified>
</cp:coreProperties>
</file>