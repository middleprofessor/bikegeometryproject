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8936C20-C413-544A-A2AC-81A3DD591E92}" xr6:coauthVersionLast="47" xr6:coauthVersionMax="47" xr10:uidLastSave="{00000000-0000-0000-0000-000000000000}"/>
  <bookViews>
    <workbookView xWindow="0" yWindow="500" windowWidth="28800" windowHeight="17500" xr2:uid="{ABFFBBBD-2C2A-DA41-8959-3BF392F3D8AC}"/>
  </bookViews>
  <sheets>
    <sheet name="Chumba Cenote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E19" i="1"/>
  <c r="D19" i="1"/>
  <c r="G19" i="1"/>
  <c r="H19" i="1"/>
  <c r="C19" i="1"/>
  <c r="D18" i="1"/>
  <c r="E18" i="1"/>
  <c r="F18" i="1"/>
  <c r="G18" i="1"/>
  <c r="H18" i="1"/>
  <c r="C18" i="1"/>
  <c r="D16" i="1"/>
  <c r="E16" i="1"/>
  <c r="F16" i="1"/>
  <c r="G16" i="1"/>
  <c r="H16" i="1"/>
  <c r="C16" i="1"/>
</calcChain>
</file>

<file path=xl/sharedStrings.xml><?xml version="1.0" encoding="utf-8"?>
<sst xmlns="http://schemas.openxmlformats.org/spreadsheetml/2006/main" count="118" uniqueCount="86">
  <si>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</si>
  <si>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</si>
  <si>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</si>
  <si>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</si>
  <si>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</si>
  <si>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</si>
  <si>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</si>
  <si>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</si>
  <si>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</si>
  <si>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</si>
  <si>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</si>
  <si>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</si>
  <si>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</si>
  <si>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</si>
  <si>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</si>
  <si>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</si>
  <si>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</si>
  <si>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</si>
  <si>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</si>
  <si>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</si>
  <si>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</si>
  <si>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</si>
  <si>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</si>
  <si>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</si>
  <si>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</si>
  <si>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</si>
  <si>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</si>
  <si>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</si>
  <si>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E - BB DROP (MM)</t>
  </si>
  <si>
    <t>F - *SEAT ANGLE°</t>
  </si>
  <si>
    <t>G - *HEAD ANGLE°</t>
  </si>
  <si>
    <t>H - FORK OFFSET</t>
  </si>
  <si>
    <t>I - STACK (MM)</t>
  </si>
  <si>
    <t>J - REACH (MM)</t>
  </si>
  <si>
    <t>K - WHEEL BASE (MM)</t>
  </si>
  <si>
    <t>DOWN TUBE OD</t>
  </si>
  <si>
    <t>TOP TUBE OD</t>
  </si>
  <si>
    <t>brand</t>
  </si>
  <si>
    <t>material</t>
  </si>
  <si>
    <t>frame weight</t>
  </si>
  <si>
    <t>UDH</t>
  </si>
  <si>
    <t>yes</t>
  </si>
  <si>
    <t>Head Tube Angle</t>
  </si>
  <si>
    <t>Seat Tube Angle</t>
  </si>
  <si>
    <t>Trail | mm</t>
  </si>
  <si>
    <t>Chumba</t>
  </si>
  <si>
    <t>Cenote</t>
  </si>
  <si>
    <t>https://chumbausa.com/cenote-titanium-suspension-gravel-bike</t>
  </si>
  <si>
    <t>titanium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</si>
  <si>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</si>
  <si>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</si>
  <si>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</si>
  <si>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</si>
  <si>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</si>
  <si>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</si>
  <si>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</si>
  <si>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</si>
  <si>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Effective Top Tube</t>
  </si>
  <si>
    <t>70°</t>
  </si>
  <si>
    <t>Head Tube Length</t>
  </si>
  <si>
    <t>74.5°</t>
  </si>
  <si>
    <t>74°</t>
  </si>
  <si>
    <t>73.5°</t>
  </si>
  <si>
    <t>Seat Tube Length</t>
  </si>
  <si>
    <t>Chainstay Length</t>
  </si>
  <si>
    <t>425-445</t>
  </si>
  <si>
    <t>430-450</t>
  </si>
  <si>
    <t>Bottom Bracket Drop</t>
  </si>
  <si>
    <t>Wheelbase</t>
  </si>
  <si>
    <t>1015-1035</t>
  </si>
  <si>
    <t>1028-1048</t>
  </si>
  <si>
    <t>1050-1070</t>
  </si>
  <si>
    <t>1067-1087</t>
  </si>
  <si>
    <t>1084-2004</t>
  </si>
  <si>
    <t>1111-1131</t>
  </si>
  <si>
    <t>Standover Height</t>
  </si>
  <si>
    <t>28.7"</t>
  </si>
  <si>
    <t>29.7"</t>
  </si>
  <si>
    <t>30"</t>
  </si>
  <si>
    <t>31.9"</t>
  </si>
  <si>
    <t>32.7"</t>
  </si>
  <si>
    <t>Reach</t>
  </si>
  <si>
    <t>Stack</t>
  </si>
  <si>
    <t>measure range</t>
  </si>
  <si>
    <t>a10:h33</t>
  </si>
  <si>
    <t xml:space="preserve"> 50-80 recommended. I filled this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</si>
</sst>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2"/>
      <color rgb="FFFFFFFF"/>
      <name val="Inherit"/>
    </font>
    <font>
      <sz val="12"/>
      <color rgb="FF000000"/>
      <name val="Inherit"/>
    </font>
    <font>
      <b/>
      <sz val="12"/>
      <color theme="1"/>
      <name val="Inherit"/>
    </font>
    <font>
      <b/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88900</xdr:colOff>
      <xdr:row>28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12700</xdr:colOff>
      <xdr:row>28</xdr:row>
      <xdr:rowOff>165100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10248900" y="70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30</xdr:row>
      <xdr:rowOff>50800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127127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2865921F-66BE-7845-A9F2-215DBDD79B9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658584C-381D-5044-AE4E-1929155FB38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04F244B-2581-F744-BCAC-C2896FA4C8EC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8B0BB83-3AFD-B540-AE65-841DEB2F4246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CB5D10-4672-7243-9D0A-07705234BED1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F123A8D-0A31-1140-91D2-2AFEB31D57E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1C746C-0C84-BF4C-841E-C5CD8D40278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BE0AAB82-FC40-7549-B727-60B837FFB35E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2921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73386B7-C1B0-4F47-A067-2CC70A23403B}"/>
            </a:ext>
          </a:extLst>
        </xdr:cNvPr>
        <xdr:cNvSpPr>
          <a:spLocks noChangeAspect="1" noChangeArrowheads="1"/>
        </xdr:cNvSpPr>
      </xdr:nvSpPr>
      <xdr:spPr bwMode="auto">
        <a:xfrm>
          <a:off x="5384800" y="482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526B8CB6-8182-C942-8F13-2168D4AD14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428ABC1-EA92-0047-80A4-D0DB21CD37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BD420393-5B97-0A49-9C26-3C7E1FDB78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2B5220EA-8961-244B-BBC8-5F2062C951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F93F93A5-9432-7648-807B-F03B242BD2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B302F67-6FDD-9E4B-822D-8A2F6D0968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603DDF9-1138-104A-91AC-9660EEE1F9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9488326C-35BD-A745-93D3-00C6036382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A36"/>
  <sheetViews>
    <sheetView tabSelected="1" topLeftCell="A5" workbookViewId="0">
      <selection activeCell="I27" sqref="I27"/>
    </sheetView>
  </sheetViews>
  <sheetFormatPr baseColWidth="10" defaultRowHeight="20"/>
  <cols>
    <col min="1" max="1" width="29.33203125" style="1" bestFit="1" customWidth="1"/>
    <col min="2" max="2" width="27.6640625" style="1" customWidth="1"/>
    <col min="3" max="8" width="13.5" style="1" customWidth="1"/>
    <col min="9" max="16384" width="10.83203125" style="1"/>
  </cols>
  <sheetData>
    <row r="1" spans="1:27">
      <c r="A1" s="1" t="s">
        <v>37</v>
      </c>
      <c r="B1" s="1" t="s">
        <v>45</v>
      </c>
    </row>
    <row r="2" spans="1:27">
      <c r="A2" s="1" t="s">
        <v>0</v>
      </c>
      <c r="B2" s="1" t="s">
        <v>46</v>
      </c>
    </row>
    <row r="3" spans="1:27">
      <c r="A3" s="1" t="s">
        <v>1</v>
      </c>
      <c r="B3" s="1">
        <v>2025</v>
      </c>
    </row>
    <row r="4" spans="1:27">
      <c r="A4" s="1" t="s">
        <v>2</v>
      </c>
      <c r="B4" s="5">
        <v>45846</v>
      </c>
    </row>
    <row r="5" spans="1:27">
      <c r="A5" s="1" t="s">
        <v>3</v>
      </c>
      <c r="B5" s="1" t="s">
        <v>47</v>
      </c>
    </row>
    <row r="6" spans="1:27">
      <c r="A6" s="1" t="s">
        <v>38</v>
      </c>
      <c r="B6" s="1" t="s">
        <v>44</v>
      </c>
    </row>
    <row r="7" spans="1:27">
      <c r="A7" s="1" t="s">
        <v>39</v>
      </c>
      <c r="B7" s="1" t="s">
        <v>48</v>
      </c>
    </row>
    <row r="8" spans="1:27">
      <c r="A8" s="1" t="s">
        <v>40</v>
      </c>
      <c r="B8" s="1" t="s">
        <v>41</v>
      </c>
    </row>
    <row r="9" spans="1:27">
      <c r="A9" s="1" t="s">
        <v>83</v>
      </c>
      <c r="B9" s="1" t="s">
        <v>84</v>
      </c>
    </row>
    <row r="10" spans="1:27">
      <c r="A10" s="1" t="s">
        <v>4</v>
      </c>
      <c r="B10" s="6" t="s">
        <v>49</v>
      </c>
      <c r="C10" s="1">
        <v>50</v>
      </c>
      <c r="D10" s="1">
        <v>52</v>
      </c>
      <c r="E10" s="1">
        <v>54</v>
      </c>
      <c r="F10" s="1">
        <v>56</v>
      </c>
      <c r="G10" s="1">
        <v>58</v>
      </c>
      <c r="H10" s="1">
        <v>60</v>
      </c>
      <c r="J10" t="s">
        <v>49</v>
      </c>
      <c r="K10" s="1">
        <v>50</v>
      </c>
      <c r="L10" s="1">
        <v>52</v>
      </c>
      <c r="M10" s="1">
        <v>54</v>
      </c>
      <c r="N10" s="1">
        <v>56</v>
      </c>
      <c r="O10" s="1">
        <v>58</v>
      </c>
      <c r="P10" s="1">
        <v>60</v>
      </c>
      <c r="S10" s="2" t="s">
        <v>28</v>
      </c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35</v>
      </c>
      <c r="AA10" s="2" t="s">
        <v>36</v>
      </c>
    </row>
    <row r="11" spans="1:27">
      <c r="A11" s="1" t="s">
        <v>6</v>
      </c>
      <c r="B11" s="6" t="s">
        <v>57</v>
      </c>
      <c r="C11" s="1">
        <v>524</v>
      </c>
      <c r="D11" s="1">
        <v>542</v>
      </c>
      <c r="E11" s="1">
        <v>562</v>
      </c>
      <c r="F11" s="1">
        <v>578</v>
      </c>
      <c r="G11" s="1">
        <v>598</v>
      </c>
      <c r="H11" s="1">
        <v>618</v>
      </c>
      <c r="J11" s="6" t="s">
        <v>50</v>
      </c>
      <c r="K11" s="1" t="s">
        <v>51</v>
      </c>
      <c r="L11" s="1" t="s">
        <v>52</v>
      </c>
      <c r="M11" s="1" t="s">
        <v>53</v>
      </c>
      <c r="N11" s="1" t="s">
        <v>54</v>
      </c>
      <c r="O11" s="1" t="s">
        <v>55</v>
      </c>
      <c r="P11" s="1" t="s">
        <v>56</v>
      </c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1" t="s">
        <v>10</v>
      </c>
      <c r="B12" s="6" t="s">
        <v>42</v>
      </c>
      <c r="C12" s="1">
        <v>70</v>
      </c>
      <c r="D12" s="1">
        <v>70</v>
      </c>
      <c r="E12" s="1">
        <v>70</v>
      </c>
      <c r="F12" s="1">
        <v>70</v>
      </c>
      <c r="G12" s="1">
        <v>70</v>
      </c>
      <c r="H12" s="1">
        <v>70</v>
      </c>
      <c r="J12" s="6" t="s">
        <v>57</v>
      </c>
      <c r="K12" s="1">
        <v>524</v>
      </c>
      <c r="L12" s="1">
        <v>542</v>
      </c>
      <c r="M12" s="1">
        <v>562</v>
      </c>
      <c r="N12" s="1">
        <v>578</v>
      </c>
      <c r="O12" s="1">
        <v>598</v>
      </c>
      <c r="P12" s="1">
        <v>618</v>
      </c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1" t="s">
        <v>9</v>
      </c>
      <c r="B13" s="6" t="s">
        <v>59</v>
      </c>
      <c r="C13" s="1">
        <v>90</v>
      </c>
      <c r="D13" s="1">
        <v>100</v>
      </c>
      <c r="E13" s="1">
        <v>120</v>
      </c>
      <c r="F13" s="1">
        <v>140</v>
      </c>
      <c r="G13" s="1">
        <v>160</v>
      </c>
      <c r="H13" s="1">
        <v>180</v>
      </c>
      <c r="J13" s="6" t="s">
        <v>42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58</v>
      </c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1" t="s">
        <v>11</v>
      </c>
      <c r="B14" s="6" t="s">
        <v>43</v>
      </c>
      <c r="C14" s="1">
        <v>74.5</v>
      </c>
      <c r="D14" s="1">
        <v>74</v>
      </c>
      <c r="E14" s="1">
        <v>74</v>
      </c>
      <c r="F14" s="1">
        <v>74</v>
      </c>
      <c r="G14" s="1">
        <v>74</v>
      </c>
      <c r="H14" s="1">
        <v>73.5</v>
      </c>
      <c r="J14" s="6" t="s">
        <v>59</v>
      </c>
      <c r="K14" s="1">
        <v>90</v>
      </c>
      <c r="L14" s="1">
        <v>100</v>
      </c>
      <c r="M14" s="1">
        <v>120</v>
      </c>
      <c r="N14" s="1">
        <v>140</v>
      </c>
      <c r="O14" s="1">
        <v>160</v>
      </c>
      <c r="P14" s="1">
        <v>180</v>
      </c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1" t="s">
        <v>5</v>
      </c>
      <c r="B15" s="6" t="s">
        <v>63</v>
      </c>
      <c r="C15" s="1">
        <v>430</v>
      </c>
      <c r="D15" s="1">
        <v>465</v>
      </c>
      <c r="E15" s="1">
        <v>490</v>
      </c>
      <c r="F15" s="1">
        <v>495</v>
      </c>
      <c r="G15" s="1">
        <v>520</v>
      </c>
      <c r="H15" s="1">
        <v>545</v>
      </c>
      <c r="J15" s="6" t="s">
        <v>43</v>
      </c>
      <c r="K15" s="1" t="s">
        <v>60</v>
      </c>
      <c r="L15" s="1" t="s">
        <v>61</v>
      </c>
      <c r="M15" s="1" t="s">
        <v>61</v>
      </c>
      <c r="N15" s="1" t="s">
        <v>61</v>
      </c>
      <c r="O15" s="1" t="s">
        <v>61</v>
      </c>
      <c r="P15" s="1" t="s">
        <v>62</v>
      </c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1" t="s">
        <v>13</v>
      </c>
      <c r="B16" s="6" t="s">
        <v>64</v>
      </c>
      <c r="C16" s="1">
        <f>VALUE(LEFT(K17,3))</f>
        <v>425</v>
      </c>
      <c r="D16" s="1">
        <f t="shared" ref="D16:H16" si="0">VALUE(LEFT(L17,3))</f>
        <v>425</v>
      </c>
      <c r="E16" s="1">
        <f t="shared" si="0"/>
        <v>425</v>
      </c>
      <c r="F16" s="1">
        <f t="shared" si="0"/>
        <v>425</v>
      </c>
      <c r="G16" s="1">
        <f t="shared" si="0"/>
        <v>425</v>
      </c>
      <c r="H16" s="1">
        <f t="shared" si="0"/>
        <v>430</v>
      </c>
      <c r="J16" s="6" t="s">
        <v>63</v>
      </c>
      <c r="K16" s="1">
        <v>430</v>
      </c>
      <c r="L16" s="1">
        <v>465</v>
      </c>
      <c r="M16" s="1">
        <v>490</v>
      </c>
      <c r="N16" s="1">
        <v>495</v>
      </c>
      <c r="O16" s="1">
        <v>520</v>
      </c>
      <c r="P16" s="1">
        <v>545</v>
      </c>
      <c r="S16"/>
      <c r="T16"/>
      <c r="U16"/>
      <c r="V16"/>
      <c r="W16"/>
      <c r="X16"/>
      <c r="Y16"/>
      <c r="Z16"/>
      <c r="AA16"/>
    </row>
    <row r="17" spans="1:19">
      <c r="A17" s="1" t="s">
        <v>15</v>
      </c>
      <c r="B17" s="6" t="s">
        <v>67</v>
      </c>
      <c r="C17" s="1">
        <v>68</v>
      </c>
      <c r="D17" s="1">
        <v>68</v>
      </c>
      <c r="E17" s="1">
        <v>68</v>
      </c>
      <c r="F17" s="1">
        <v>68</v>
      </c>
      <c r="G17" s="1">
        <v>65</v>
      </c>
      <c r="H17" s="1">
        <v>65</v>
      </c>
      <c r="J17" s="6" t="s">
        <v>64</v>
      </c>
      <c r="K17" s="1" t="s">
        <v>65</v>
      </c>
      <c r="L17" s="1" t="s">
        <v>65</v>
      </c>
      <c r="M17" s="1" t="s">
        <v>65</v>
      </c>
      <c r="N17" s="1" t="s">
        <v>65</v>
      </c>
      <c r="O17" s="1" t="s">
        <v>65</v>
      </c>
      <c r="P17" s="1" t="s">
        <v>66</v>
      </c>
    </row>
    <row r="18" spans="1:19">
      <c r="A18" s="1" t="s">
        <v>14</v>
      </c>
      <c r="B18" s="6" t="s">
        <v>68</v>
      </c>
      <c r="C18" s="1">
        <f>VALUE(LEFT(K19,4))</f>
        <v>1015</v>
      </c>
      <c r="D18" s="1">
        <f t="shared" ref="D18:H18" si="1">VALUE(LEFT(L19,4))</f>
        <v>1028</v>
      </c>
      <c r="E18" s="1">
        <f t="shared" si="1"/>
        <v>1050</v>
      </c>
      <c r="F18" s="1">
        <f t="shared" si="1"/>
        <v>1067</v>
      </c>
      <c r="G18" s="1">
        <f t="shared" si="1"/>
        <v>1084</v>
      </c>
      <c r="H18" s="1">
        <f t="shared" si="1"/>
        <v>1111</v>
      </c>
      <c r="J18" s="6" t="s">
        <v>67</v>
      </c>
      <c r="K18" s="1">
        <v>68</v>
      </c>
      <c r="L18" s="1">
        <v>68</v>
      </c>
      <c r="M18" s="1">
        <v>68</v>
      </c>
      <c r="N18" s="1">
        <v>68</v>
      </c>
      <c r="O18" s="1">
        <v>65</v>
      </c>
      <c r="P18" s="1">
        <v>65</v>
      </c>
    </row>
    <row r="19" spans="1:19">
      <c r="A19" s="1" t="s">
        <v>22</v>
      </c>
      <c r="B19" s="6" t="s">
        <v>75</v>
      </c>
      <c r="C19" s="1">
        <f>VALUE(LEFT(K20,4))*25.4</f>
        <v>728.9799999999999</v>
      </c>
      <c r="D19" s="1">
        <f>VALUE(LEFT(L20,4))*25.4</f>
        <v>754.38</v>
      </c>
      <c r="E19" s="1">
        <f>VALUE(LEFT(M20,2))*25.4</f>
        <v>762</v>
      </c>
      <c r="F19" s="1">
        <f>VALUE(LEFT(N20,2))*25.4</f>
        <v>762</v>
      </c>
      <c r="G19" s="1">
        <f>VALUE(LEFT(O20,4))*25.4</f>
        <v>810.25999999999988</v>
      </c>
      <c r="H19" s="1">
        <f>VALUE(LEFT(P20,4))*25.4</f>
        <v>830.58</v>
      </c>
      <c r="J19" s="6" t="s">
        <v>68</v>
      </c>
      <c r="K19" s="1" t="s">
        <v>69</v>
      </c>
      <c r="L19" s="1" t="s">
        <v>70</v>
      </c>
      <c r="M19" s="1" t="s">
        <v>71</v>
      </c>
      <c r="N19" s="1" t="s">
        <v>72</v>
      </c>
      <c r="O19" s="1" t="s">
        <v>73</v>
      </c>
      <c r="P19" s="1" t="s">
        <v>74</v>
      </c>
      <c r="S19"/>
    </row>
    <row r="20" spans="1:19">
      <c r="A20" s="1" t="s">
        <v>7</v>
      </c>
      <c r="B20" s="6" t="s">
        <v>81</v>
      </c>
      <c r="C20" s="1">
        <v>370</v>
      </c>
      <c r="D20" s="1">
        <v>380</v>
      </c>
      <c r="E20" s="1">
        <v>395</v>
      </c>
      <c r="F20" s="1">
        <v>405</v>
      </c>
      <c r="G20" s="1">
        <v>415</v>
      </c>
      <c r="H20" s="1">
        <v>430</v>
      </c>
      <c r="J20" s="6" t="s">
        <v>75</v>
      </c>
      <c r="K20" s="1" t="s">
        <v>76</v>
      </c>
      <c r="L20" s="1" t="s">
        <v>77</v>
      </c>
      <c r="M20" s="1" t="s">
        <v>78</v>
      </c>
      <c r="N20" s="1" t="s">
        <v>78</v>
      </c>
      <c r="O20" s="1" t="s">
        <v>79</v>
      </c>
      <c r="P20" s="1" t="s">
        <v>80</v>
      </c>
      <c r="S20"/>
    </row>
    <row r="21" spans="1:19">
      <c r="A21" s="1" t="s">
        <v>8</v>
      </c>
      <c r="B21" s="6" t="s">
        <v>82</v>
      </c>
      <c r="C21" s="1">
        <v>555</v>
      </c>
      <c r="D21" s="1">
        <v>564</v>
      </c>
      <c r="E21" s="1">
        <v>583</v>
      </c>
      <c r="F21" s="1">
        <v>602</v>
      </c>
      <c r="G21" s="1">
        <v>618</v>
      </c>
      <c r="H21" s="1">
        <v>637</v>
      </c>
      <c r="J21" s="6" t="s">
        <v>81</v>
      </c>
      <c r="K21" s="1">
        <v>370</v>
      </c>
      <c r="L21" s="1">
        <v>380</v>
      </c>
      <c r="M21" s="1">
        <v>395</v>
      </c>
      <c r="N21" s="1">
        <v>405</v>
      </c>
      <c r="O21" s="1">
        <v>415</v>
      </c>
      <c r="P21" s="1">
        <v>430</v>
      </c>
      <c r="S21"/>
    </row>
    <row r="22" spans="1:19">
      <c r="A22" s="1" t="s">
        <v>17</v>
      </c>
      <c r="B22" s="6"/>
      <c r="C22" s="1">
        <v>45</v>
      </c>
      <c r="D22" s="1">
        <v>45</v>
      </c>
      <c r="E22" s="1">
        <v>45</v>
      </c>
      <c r="F22" s="1">
        <v>45</v>
      </c>
      <c r="G22" s="1">
        <v>45</v>
      </c>
      <c r="H22" s="1">
        <v>45</v>
      </c>
      <c r="J22" s="6" t="s">
        <v>82</v>
      </c>
      <c r="K22" s="1">
        <v>555</v>
      </c>
      <c r="L22" s="1">
        <v>564</v>
      </c>
      <c r="M22" s="1">
        <v>583</v>
      </c>
      <c r="N22" s="1">
        <v>602</v>
      </c>
      <c r="O22" s="1">
        <v>618</v>
      </c>
      <c r="P22" s="1">
        <v>637</v>
      </c>
      <c r="S22"/>
    </row>
    <row r="23" spans="1:19">
      <c r="A23" s="1" t="s">
        <v>16</v>
      </c>
      <c r="B23" s="6"/>
      <c r="C23" s="1">
        <v>435</v>
      </c>
      <c r="D23" s="1">
        <v>435</v>
      </c>
      <c r="E23" s="1">
        <v>435</v>
      </c>
      <c r="F23" s="1">
        <v>435</v>
      </c>
      <c r="G23" s="1">
        <v>435</v>
      </c>
      <c r="H23" s="1">
        <v>435</v>
      </c>
      <c r="S23"/>
    </row>
    <row r="24" spans="1:19">
      <c r="A24" s="1" t="s">
        <v>18</v>
      </c>
      <c r="S24"/>
    </row>
    <row r="25" spans="1:19">
      <c r="A25" s="1" t="s">
        <v>12</v>
      </c>
      <c r="S25"/>
    </row>
    <row r="26" spans="1:19">
      <c r="A26" s="1" t="s">
        <v>19</v>
      </c>
      <c r="S26"/>
    </row>
    <row r="27" spans="1:19">
      <c r="A27" s="1" t="s">
        <v>20</v>
      </c>
      <c r="C27" s="1">
        <v>50</v>
      </c>
      <c r="D27" s="1">
        <v>60</v>
      </c>
      <c r="E27" s="1">
        <v>70</v>
      </c>
      <c r="F27" s="1">
        <v>70</v>
      </c>
      <c r="G27" s="1">
        <v>80</v>
      </c>
      <c r="H27" s="1">
        <v>80</v>
      </c>
      <c r="I27" s="1" t="s">
        <v>85</v>
      </c>
      <c r="S27"/>
    </row>
    <row r="28" spans="1:19">
      <c r="A28" s="1" t="s">
        <v>21</v>
      </c>
      <c r="S28"/>
    </row>
    <row r="29" spans="1:19">
      <c r="A29" s="1" t="s">
        <v>23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  <c r="H29" s="1">
        <v>700</v>
      </c>
      <c r="S29"/>
    </row>
    <row r="30" spans="1:19">
      <c r="A30" s="1" t="s">
        <v>24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  <c r="H30" s="1">
        <v>50</v>
      </c>
      <c r="S30"/>
    </row>
    <row r="31" spans="1:19">
      <c r="A31" s="1" t="s">
        <v>25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  <c r="H31" s="1">
        <v>50</v>
      </c>
      <c r="S31"/>
    </row>
    <row r="32" spans="1:19">
      <c r="A32" s="1" t="s">
        <v>26</v>
      </c>
      <c r="C32" s="1">
        <v>150</v>
      </c>
      <c r="D32" s="1">
        <v>160</v>
      </c>
      <c r="E32" s="1">
        <v>168</v>
      </c>
      <c r="F32" s="1">
        <v>176</v>
      </c>
      <c r="G32" s="1">
        <v>184</v>
      </c>
      <c r="H32" s="1">
        <v>192</v>
      </c>
    </row>
    <row r="33" spans="1:8">
      <c r="A33" s="1" t="s">
        <v>27</v>
      </c>
      <c r="C33" s="1">
        <v>160</v>
      </c>
      <c r="D33" s="1">
        <v>168</v>
      </c>
      <c r="E33" s="1">
        <v>176</v>
      </c>
      <c r="F33" s="1">
        <v>184</v>
      </c>
      <c r="G33" s="1">
        <v>192</v>
      </c>
      <c r="H33" s="1">
        <v>200</v>
      </c>
    </row>
    <row r="34" spans="1:8">
      <c r="C34" s="1">
        <v>60</v>
      </c>
      <c r="D34" s="1">
        <v>63.5</v>
      </c>
      <c r="E34" s="1">
        <v>67.5</v>
      </c>
      <c r="F34" s="1">
        <v>70</v>
      </c>
      <c r="G34" s="1">
        <v>72</v>
      </c>
      <c r="H34" s="1">
        <v>73.5</v>
      </c>
    </row>
    <row r="35" spans="1:8">
      <c r="C35" s="1">
        <v>63.5</v>
      </c>
      <c r="D35" s="1">
        <v>67.5</v>
      </c>
      <c r="E35" s="1">
        <v>70</v>
      </c>
      <c r="F35" s="1">
        <v>72</v>
      </c>
      <c r="G35" s="1">
        <v>73.5</v>
      </c>
      <c r="H35" s="1">
        <v>75</v>
      </c>
    </row>
    <row r="36" spans="1:8">
      <c r="B36" s="6" t="s">
        <v>50</v>
      </c>
      <c r="C36" s="1" t="s">
        <v>51</v>
      </c>
      <c r="D36" s="1" t="s">
        <v>52</v>
      </c>
      <c r="E36" s="1" t="s">
        <v>53</v>
      </c>
      <c r="F36" s="1" t="s">
        <v>54</v>
      </c>
      <c r="G36" s="1" t="s">
        <v>55</v>
      </c>
      <c r="H36" s="1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Chumba Cenote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2025-07-13T09:38:03Z</dcterms:modified>
</cp:coreProperties>
</file>