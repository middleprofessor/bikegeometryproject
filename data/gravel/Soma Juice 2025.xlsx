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D518F27-FA4B-AA4D-B98E-70777B018FFA}" xr6:coauthVersionLast="47" xr6:coauthVersionMax="47" xr10:uidLastSave="{00000000-0000-0000-0000-000000000000}"/>
  <bookViews>
    <workbookView xWindow="6440" yWindow="500" windowWidth="27000" windowHeight="15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C18" i="1"/>
  <c r="C12" i="1"/>
  <c r="C11" i="1"/>
  <c r="C15" i="1"/>
  <c r="C10" i="1"/>
  <c r="C13" i="1"/>
  <c r="C14" i="1"/>
  <c r="C16" i="1"/>
  <c r="C17" i="1"/>
  <c r="C19" i="1"/>
  <c r="C20" i="1"/>
  <c r="C21" i="1"/>
  <c r="C9" i="1"/>
  <c r="C8" i="1"/>
</calcChain>
</file>

<file path=xl/sharedStrings.xml><?xml version="1.0" encoding="utf-8"?>
<sst xmlns="http://schemas.openxmlformats.org/spreadsheetml/2006/main" count="164" uniqueCount="137">
  <si>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</si>
  <si>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</si>
  <si>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</si>
  <si>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</si>
  <si>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</si>
  <si>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</si>
  <si>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</si>
  <si>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</si>
  <si>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</si>
  <si>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</si>
  <si>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</si>
  <si>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</si>
  <si>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</si>
  <si>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</si>
  <si>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</si>
  <si>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</si>
  <si>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</si>
  <si>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</si>
  <si>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</si>
  <si>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</si>
  <si>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</si>
  <si>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</si>
  <si>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</si>
  <si>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</si>
  <si>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</si>
  <si>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</si>
  <si>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</si>
  <si>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</si>
  <si>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</si>
  <si>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</si>
  <si>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</si>
  <si>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</si>
  <si>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</si>
  <si>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</si>
  <si>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</si>
  <si>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</si>
  <si>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</si>
  <si>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</si>
  <si>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</si>
  <si>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</si>
  <si>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</si>
  <si>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</si>
  <si>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</si>
  <si>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</si>
  <si>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</si>
  <si>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</si>
  <si>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</si>
  <si>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</si>
  <si>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</si>
  <si>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</si>
  <si>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</si>
  <si>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</si>
  <si>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</si>
  <si>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</si>
  <si>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</si>
  <si>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</si>
  <si>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</si>
  <si>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</si>
  <si>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</si>
  <si>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</si>
  <si>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</si>
  <si>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</si>
  <si>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</si>
  <si>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</si>
  <si>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</si>
  <si>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</si>
  <si>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</si>
  <si>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</si>
  <si>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Soma</t>
  </si>
  <si>
    <t>Seat Tube (C-T)</t>
  </si>
  <si>
    <t>Top Tube, Effective (C-C)</t>
  </si>
  <si>
    <t>Head Tube Angle</t>
  </si>
  <si>
    <t>Seat Tube Angle</t>
  </si>
  <si>
    <t>Headtube Length</t>
  </si>
  <si>
    <t>Bottom Bracket Drop</t>
  </si>
  <si>
    <t>Standover Height</t>
  </si>
  <si>
    <t>Front Center</t>
  </si>
  <si>
    <t>Wheelbase</t>
  </si>
  <si>
    <t>Frame Stack</t>
  </si>
  <si>
    <t>Frame Reach</t>
  </si>
  <si>
    <t>front_center</t>
  </si>
  <si>
    <t>steel</t>
  </si>
  <si>
    <t>USD</t>
  </si>
  <si>
    <t>yes</t>
  </si>
  <si>
    <t>Chainstay Length (Min.)</t>
  </si>
  <si>
    <t>axle_crown</t>
  </si>
  <si>
    <t>location</t>
  </si>
  <si>
    <t>South San Francisco, California, USA</t>
  </si>
  <si>
    <t>head_tube_d</t>
  </si>
  <si>
    <t>headset_upper</t>
  </si>
  <si>
    <t>headset_lower</t>
  </si>
  <si>
    <t>fork_steerer</t>
  </si>
  <si>
    <t>fork_steerer_d</t>
  </si>
  <si>
    <t>fork_material</t>
  </si>
  <si>
    <t>Juice</t>
  </si>
  <si>
    <t>hardtail</t>
  </si>
  <si>
    <t>flat bar</t>
  </si>
  <si>
    <t>suspension</t>
  </si>
  <si>
    <t>Size (Virtual)</t>
  </si>
  <si>
    <t>SM</t>
  </si>
  <si>
    <t>MD</t>
  </si>
  <si>
    <t>LG</t>
  </si>
  <si>
    <t>XL</t>
  </si>
  <si>
    <t>587.5(584)</t>
  </si>
  <si>
    <t>614(610)</t>
  </si>
  <si>
    <t>644(640)</t>
  </si>
  <si>
    <t>675(671)</t>
  </si>
  <si>
    <t>67.2(68.4)</t>
  </si>
  <si>
    <t>67.3(68.4)</t>
  </si>
  <si>
    <t>67.4(68.4)</t>
  </si>
  <si>
    <t>67.4(68.5)</t>
  </si>
  <si>
    <t>73.2(74.3)</t>
  </si>
  <si>
    <t>73.3(74.4)</t>
  </si>
  <si>
    <t>437-452</t>
  </si>
  <si>
    <t>52(61)</t>
  </si>
  <si>
    <t>603(596)</t>
  </si>
  <si>
    <t>613(605)</t>
  </si>
  <si>
    <t>624(615)</t>
  </si>
  <si>
    <t>635(626)</t>
  </si>
  <si>
    <t>402(414)</t>
  </si>
  <si>
    <t>426(438)</t>
  </si>
  <si>
    <t>453(465)</t>
  </si>
  <si>
    <t>481(493)</t>
  </si>
  <si>
    <t>Fork Unsagged/Rigid</t>
  </si>
  <si>
    <t>509(484)</t>
  </si>
  <si>
    <t>Based on non-specific 29 x 2.2 tires and a 100 mm travel fork with unsagged length of 509 mm. Some figures with a sagged (484mm) fork</t>
  </si>
  <si>
    <t>fork_travel</t>
  </si>
  <si>
    <t>fork_sag</t>
  </si>
  <si>
    <t>threaded 73</t>
  </si>
  <si>
    <t>BSA</t>
  </si>
  <si>
    <t>ZS44</t>
  </si>
  <si>
    <t>EC44</t>
  </si>
  <si>
    <t>internal</t>
  </si>
  <si>
    <t>chromoly</t>
  </si>
  <si>
    <t>https://www.somafabshop.com/web/image/product.image/1943/image_1024/Stoked%20to%20have%20this%20Soma%20Juice%20in%20Orange?unique=9f515db</t>
  </si>
  <si>
    <t>https://www.somafab.com/archives/product/juice29er</t>
  </si>
  <si>
    <t>a8:f33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</si>
</sst>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17" x14ac:dyDescent="0.3">
      <c r="A1" t="s">
        <v>0</v>
      </c>
      <c r="B1" s="1" t="s">
        <v>68</v>
      </c>
    </row>
    <row r="2" spans="1:17" x14ac:dyDescent="0.3">
      <c r="A2" t="s">
        <v>1</v>
      </c>
      <c r="B2" s="1" t="s">
        <v>94</v>
      </c>
    </row>
    <row r="3" spans="1:17" x14ac:dyDescent="0.3">
      <c r="A3" t="s">
        <v>2</v>
      </c>
      <c r="B3">
        <v>2025</v>
      </c>
    </row>
    <row r="4" spans="1:17" x14ac:dyDescent="0.3">
      <c r="A4" t="s">
        <v>3</v>
      </c>
      <c r="B4" s="2">
        <v>46004</v>
      </c>
    </row>
    <row r="5" spans="1:17" ht="20" customHeight="1" x14ac:dyDescent="0.3">
      <c r="A5" t="s">
        <v>4</v>
      </c>
      <c r="B5" t="s">
        <v>135</v>
      </c>
      <c r="H5" s="8"/>
      <c r="I5" s="8"/>
      <c r="J5" s="8"/>
      <c r="K5" s="8"/>
      <c r="L5" s="8"/>
    </row>
    <row r="6" spans="1:17" ht="20" customHeight="1" x14ac:dyDescent="0.3">
      <c r="B6" t="s">
        <v>134</v>
      </c>
      <c r="H6" s="8"/>
      <c r="I6" s="8"/>
      <c r="J6" s="8"/>
      <c r="K6" s="8"/>
      <c r="L6" s="8"/>
    </row>
    <row r="7" spans="1:17" ht="20" customHeight="1" x14ac:dyDescent="0.3">
      <c r="A7" t="s">
        <v>5</v>
      </c>
      <c r="B7" s="1" t="s">
        <v>136</v>
      </c>
      <c r="H7" s="9" t="s">
        <v>125</v>
      </c>
      <c r="I7" s="8"/>
      <c r="J7" s="8"/>
      <c r="K7" s="8"/>
      <c r="L7" s="8"/>
    </row>
    <row r="8" spans="1:17" x14ac:dyDescent="0.3">
      <c r="A8" t="s">
        <v>6</v>
      </c>
      <c r="B8" t="s">
        <v>98</v>
      </c>
      <c r="C8" s="1" t="str">
        <f>I8</f>
        <v>SM</v>
      </c>
      <c r="D8" s="1" t="str">
        <f>J8</f>
        <v>MD</v>
      </c>
      <c r="E8" s="1" t="str">
        <f>K8</f>
        <v>LG</v>
      </c>
      <c r="F8" s="1" t="str">
        <f>L8</f>
        <v>XL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</row>
    <row r="9" spans="1:17" x14ac:dyDescent="0.3">
      <c r="A9" t="s">
        <v>15</v>
      </c>
      <c r="B9" t="s">
        <v>69</v>
      </c>
      <c r="C9" s="1">
        <f>VALUE(LEFT(I9,3))</f>
        <v>390</v>
      </c>
      <c r="D9" s="1">
        <f>VALUE(LEFT(J9,3))</f>
        <v>420</v>
      </c>
      <c r="E9" s="1">
        <f>VALUE(LEFT(K9,3))</f>
        <v>460</v>
      </c>
      <c r="F9" s="1">
        <f>VALUE(LEFT(L9,3))</f>
        <v>510</v>
      </c>
      <c r="G9" s="7"/>
      <c r="H9" t="s">
        <v>69</v>
      </c>
      <c r="I9">
        <v>390</v>
      </c>
      <c r="J9">
        <v>420</v>
      </c>
      <c r="K9">
        <v>460</v>
      </c>
      <c r="L9" s="1">
        <v>510</v>
      </c>
      <c r="Q9" s="1"/>
    </row>
    <row r="10" spans="1:17" x14ac:dyDescent="0.3">
      <c r="A10" t="s">
        <v>16</v>
      </c>
      <c r="B10" t="s">
        <v>70</v>
      </c>
      <c r="C10" s="1">
        <f>VALUE(LEFT(I10,3))</f>
        <v>587</v>
      </c>
      <c r="D10" s="1">
        <f>VALUE(LEFT(J10,3))</f>
        <v>614</v>
      </c>
      <c r="E10" s="1">
        <f>VALUE(LEFT(K10,3))</f>
        <v>644</v>
      </c>
      <c r="F10" s="1">
        <f>VALUE(LEFT(L10,3))</f>
        <v>675</v>
      </c>
      <c r="G10" s="7"/>
      <c r="H10" t="s">
        <v>70</v>
      </c>
      <c r="I10" t="s">
        <v>103</v>
      </c>
      <c r="J10" t="s">
        <v>104</v>
      </c>
      <c r="K10" t="s">
        <v>105</v>
      </c>
      <c r="L10" s="1" t="s">
        <v>106</v>
      </c>
    </row>
    <row r="11" spans="1:17" x14ac:dyDescent="0.3">
      <c r="A11" t="s">
        <v>9</v>
      </c>
      <c r="B11" t="s">
        <v>71</v>
      </c>
      <c r="C11" s="1">
        <f>VALUE(LEFT(I11,4))</f>
        <v>67.2</v>
      </c>
      <c r="D11" s="1">
        <f>VALUE(LEFT(J11,4))</f>
        <v>67.3</v>
      </c>
      <c r="E11" s="1">
        <f>VALUE(LEFT(K11,4))</f>
        <v>67.400000000000006</v>
      </c>
      <c r="F11" s="1">
        <f>VALUE(LEFT(L11,4))</f>
        <v>67.400000000000006</v>
      </c>
      <c r="G11" s="7"/>
      <c r="H11" t="s">
        <v>71</v>
      </c>
      <c r="I11" t="s">
        <v>107</v>
      </c>
      <c r="J11" t="s">
        <v>108</v>
      </c>
      <c r="K11" t="s">
        <v>109</v>
      </c>
      <c r="L11" s="1" t="s">
        <v>110</v>
      </c>
      <c r="Q11" s="1"/>
    </row>
    <row r="12" spans="1:17" x14ac:dyDescent="0.3">
      <c r="A12" t="s">
        <v>13</v>
      </c>
      <c r="B12" t="s">
        <v>72</v>
      </c>
      <c r="C12" s="1">
        <f>VALUE(LEFT(I12,4))</f>
        <v>73.2</v>
      </c>
      <c r="D12" s="1">
        <f>VALUE(LEFT(J12,4))</f>
        <v>73.2</v>
      </c>
      <c r="E12" s="1">
        <f>VALUE(LEFT(K12,4))</f>
        <v>73.2</v>
      </c>
      <c r="F12" s="1">
        <f>VALUE(LEFT(L12,4))</f>
        <v>73.3</v>
      </c>
      <c r="G12" s="7"/>
      <c r="H12" t="s">
        <v>72</v>
      </c>
      <c r="I12" t="s">
        <v>111</v>
      </c>
      <c r="J12" t="s">
        <v>111</v>
      </c>
      <c r="K12" t="s">
        <v>111</v>
      </c>
      <c r="L12" s="1" t="s">
        <v>112</v>
      </c>
    </row>
    <row r="13" spans="1:17" x14ac:dyDescent="0.3">
      <c r="A13" t="s">
        <v>12</v>
      </c>
      <c r="B13" t="s">
        <v>84</v>
      </c>
      <c r="C13" s="1">
        <f>VALUE(LEFT(I13,3))</f>
        <v>437</v>
      </c>
      <c r="D13" s="1">
        <f>VALUE(LEFT(J13,3))</f>
        <v>437</v>
      </c>
      <c r="E13" s="1">
        <f>VALUE(LEFT(K13,3))</f>
        <v>437</v>
      </c>
      <c r="F13" s="1">
        <f>VALUE(LEFT(L13,3))</f>
        <v>437</v>
      </c>
      <c r="G13" s="7"/>
      <c r="H13" t="s">
        <v>84</v>
      </c>
      <c r="I13" t="s">
        <v>113</v>
      </c>
      <c r="J13" t="s">
        <v>113</v>
      </c>
      <c r="K13" t="s">
        <v>113</v>
      </c>
      <c r="L13" s="1" t="s">
        <v>113</v>
      </c>
      <c r="Q13" s="1"/>
    </row>
    <row r="14" spans="1:17" x14ac:dyDescent="0.3">
      <c r="A14" t="s">
        <v>14</v>
      </c>
      <c r="B14" s="1" t="s">
        <v>73</v>
      </c>
      <c r="C14" s="1">
        <f>VALUE(LEFT(I14,3))</f>
        <v>100</v>
      </c>
      <c r="D14" s="1">
        <f>VALUE(LEFT(J14,3))</f>
        <v>110</v>
      </c>
      <c r="E14" s="1">
        <f>VALUE(LEFT(K14,3))</f>
        <v>120</v>
      </c>
      <c r="F14" s="1">
        <f>VALUE(LEFT(L14,3))</f>
        <v>130</v>
      </c>
      <c r="G14" s="7"/>
      <c r="H14" s="1" t="s">
        <v>73</v>
      </c>
      <c r="I14" s="1">
        <v>100</v>
      </c>
      <c r="J14" s="1">
        <v>110</v>
      </c>
      <c r="K14">
        <v>120</v>
      </c>
      <c r="L14" s="1">
        <v>130</v>
      </c>
    </row>
    <row r="15" spans="1:17" x14ac:dyDescent="0.3">
      <c r="A15" t="s">
        <v>10</v>
      </c>
      <c r="B15" t="s">
        <v>74</v>
      </c>
      <c r="C15" s="1">
        <f>VALUE(LEFT(I15,2))</f>
        <v>52</v>
      </c>
      <c r="D15" s="1">
        <f>VALUE(LEFT(J15,2))</f>
        <v>52</v>
      </c>
      <c r="E15" s="1">
        <f>VALUE(LEFT(K15,2))</f>
        <v>52</v>
      </c>
      <c r="F15" s="1">
        <f>VALUE(LEFT(L15,2))</f>
        <v>52</v>
      </c>
      <c r="G15" s="7"/>
      <c r="H15" t="s">
        <v>74</v>
      </c>
      <c r="I15" t="s">
        <v>114</v>
      </c>
      <c r="J15" t="s">
        <v>114</v>
      </c>
      <c r="K15" t="s">
        <v>114</v>
      </c>
      <c r="L15" s="1" t="s">
        <v>114</v>
      </c>
      <c r="Q15" s="1"/>
    </row>
    <row r="16" spans="1:17" x14ac:dyDescent="0.3">
      <c r="A16" t="s">
        <v>18</v>
      </c>
      <c r="B16" t="s">
        <v>75</v>
      </c>
      <c r="C16" s="1">
        <f>VALUE(LEFT(I16,3))</f>
        <v>776</v>
      </c>
      <c r="D16" s="1">
        <f>VALUE(LEFT(J16,3))</f>
        <v>796</v>
      </c>
      <c r="E16" s="1">
        <f>VALUE(LEFT(K16,3))</f>
        <v>819</v>
      </c>
      <c r="F16" s="1">
        <f>VALUE(LEFT(L16,3))</f>
        <v>849</v>
      </c>
      <c r="G16" s="7"/>
      <c r="H16" t="s">
        <v>75</v>
      </c>
      <c r="I16">
        <v>776</v>
      </c>
      <c r="J16">
        <v>796</v>
      </c>
      <c r="K16">
        <v>819</v>
      </c>
      <c r="L16" s="1">
        <v>849</v>
      </c>
    </row>
    <row r="17" spans="1:17" x14ac:dyDescent="0.3">
      <c r="A17" s="1" t="s">
        <v>80</v>
      </c>
      <c r="B17" t="s">
        <v>76</v>
      </c>
      <c r="C17" s="1">
        <f>VALUE(LEFT(I17,3))</f>
        <v>685</v>
      </c>
      <c r="D17" s="1">
        <f>VALUE(LEFT(J17,3))</f>
        <v>712</v>
      </c>
      <c r="E17" s="1">
        <f>VALUE(LEFT(K17,3))</f>
        <v>744</v>
      </c>
      <c r="F17" s="1">
        <f>VALUE(LEFT(L17,3))</f>
        <v>776</v>
      </c>
      <c r="G17" s="7"/>
      <c r="H17" t="s">
        <v>76</v>
      </c>
      <c r="I17">
        <v>685</v>
      </c>
      <c r="J17">
        <v>712</v>
      </c>
      <c r="K17">
        <v>744</v>
      </c>
      <c r="L17" s="1">
        <v>776</v>
      </c>
      <c r="O17" s="1"/>
      <c r="Q17" s="1"/>
    </row>
    <row r="18" spans="1:17" x14ac:dyDescent="0.3">
      <c r="A18" t="s">
        <v>11</v>
      </c>
      <c r="B18" t="s">
        <v>77</v>
      </c>
      <c r="C18" s="1">
        <f>VALUE(LEFT(I18,4))</f>
        <v>1117</v>
      </c>
      <c r="D18" s="1">
        <f>VALUE(LEFT(J18,4))</f>
        <v>1145</v>
      </c>
      <c r="E18" s="1">
        <f>VALUE(LEFT(K18,4))</f>
        <v>1175</v>
      </c>
      <c r="F18" s="1">
        <f>VALUE(LEFT(L18,4))</f>
        <v>1208</v>
      </c>
      <c r="G18" s="7"/>
      <c r="H18" t="s">
        <v>77</v>
      </c>
      <c r="I18">
        <v>1117</v>
      </c>
      <c r="J18">
        <v>1145</v>
      </c>
      <c r="K18">
        <v>1175</v>
      </c>
      <c r="L18" s="1">
        <v>1208</v>
      </c>
      <c r="O18" s="1"/>
      <c r="Q18" s="1"/>
    </row>
    <row r="19" spans="1:17" x14ac:dyDescent="0.3">
      <c r="A19" t="s">
        <v>8</v>
      </c>
      <c r="B19" t="s">
        <v>78</v>
      </c>
      <c r="C19" s="1">
        <f>VALUE(LEFT(I19,3))</f>
        <v>603</v>
      </c>
      <c r="D19" s="1">
        <f>VALUE(LEFT(J19,3))</f>
        <v>613</v>
      </c>
      <c r="E19" s="1">
        <f>VALUE(LEFT(K19,3))</f>
        <v>624</v>
      </c>
      <c r="F19" s="1">
        <f>VALUE(LEFT(L19,3))</f>
        <v>635</v>
      </c>
      <c r="G19" s="7"/>
      <c r="H19" t="s">
        <v>78</v>
      </c>
      <c r="I19" t="s">
        <v>115</v>
      </c>
      <c r="J19" t="s">
        <v>116</v>
      </c>
      <c r="K19" t="s">
        <v>117</v>
      </c>
      <c r="L19" s="1" t="s">
        <v>118</v>
      </c>
    </row>
    <row r="20" spans="1:17" x14ac:dyDescent="0.3">
      <c r="A20" t="s">
        <v>7</v>
      </c>
      <c r="B20" t="s">
        <v>79</v>
      </c>
      <c r="C20" s="1">
        <f>VALUE(LEFT(I20,3))</f>
        <v>402</v>
      </c>
      <c r="D20" s="1">
        <f>VALUE(LEFT(J20,3))</f>
        <v>426</v>
      </c>
      <c r="E20" s="1">
        <f>VALUE(LEFT(K20,3))</f>
        <v>453</v>
      </c>
      <c r="F20" s="1">
        <f>VALUE(LEFT(L20,3))</f>
        <v>481</v>
      </c>
      <c r="G20" s="7"/>
      <c r="H20" t="s">
        <v>79</v>
      </c>
      <c r="I20" t="s">
        <v>119</v>
      </c>
      <c r="J20" t="s">
        <v>120</v>
      </c>
      <c r="K20" t="s">
        <v>121</v>
      </c>
      <c r="L20" s="1" t="s">
        <v>122</v>
      </c>
      <c r="Q20" s="1"/>
    </row>
    <row r="21" spans="1:17" x14ac:dyDescent="0.3">
      <c r="A21" s="1" t="s">
        <v>85</v>
      </c>
      <c r="B21" t="s">
        <v>123</v>
      </c>
      <c r="C21" s="1">
        <f>VALUE(LEFT(I21,3))</f>
        <v>509</v>
      </c>
      <c r="D21" s="1">
        <f>VALUE(LEFT(J21,3))</f>
        <v>509</v>
      </c>
      <c r="E21" s="1">
        <f>VALUE(LEFT(K21,3))</f>
        <v>509</v>
      </c>
      <c r="F21" s="1">
        <f>VALUE(LEFT(L21,3))</f>
        <v>509</v>
      </c>
      <c r="G21" s="7"/>
      <c r="H21" t="s">
        <v>123</v>
      </c>
      <c r="I21" t="s">
        <v>124</v>
      </c>
      <c r="J21" t="s">
        <v>124</v>
      </c>
      <c r="K21" t="s">
        <v>124</v>
      </c>
      <c r="L21" s="1" t="s">
        <v>124</v>
      </c>
      <c r="O21" s="4"/>
      <c r="Q21" s="1"/>
    </row>
    <row r="22" spans="1:17" x14ac:dyDescent="0.3">
      <c r="A22" s="1" t="s">
        <v>17</v>
      </c>
      <c r="C22" s="1"/>
      <c r="D22" s="1"/>
      <c r="E22" s="1"/>
      <c r="F22" s="1"/>
      <c r="G22" s="1"/>
      <c r="H22" s="1"/>
      <c r="I22" s="1"/>
      <c r="J22" s="1"/>
      <c r="K22" s="1"/>
      <c r="M22" s="1"/>
      <c r="N22" s="1"/>
    </row>
    <row r="23" spans="1:17" x14ac:dyDescent="0.3">
      <c r="A23" s="1" t="s">
        <v>126</v>
      </c>
      <c r="C23" s="1">
        <v>100</v>
      </c>
      <c r="D23" s="1">
        <v>100</v>
      </c>
      <c r="E23" s="1">
        <v>100</v>
      </c>
      <c r="F23" s="1">
        <v>100</v>
      </c>
      <c r="G23" s="1"/>
      <c r="H23" s="1"/>
      <c r="I23" s="1"/>
      <c r="J23" s="1"/>
      <c r="K23" s="1"/>
      <c r="M23" s="1"/>
      <c r="N23" s="1"/>
    </row>
    <row r="24" spans="1:17" x14ac:dyDescent="0.3">
      <c r="A24" s="1" t="s">
        <v>127</v>
      </c>
      <c r="C24" s="1">
        <v>0</v>
      </c>
      <c r="D24" s="1">
        <v>0</v>
      </c>
      <c r="E24" s="1">
        <v>0</v>
      </c>
      <c r="F24" s="1">
        <v>0</v>
      </c>
      <c r="G24" s="1"/>
      <c r="H24" s="1"/>
      <c r="I24" s="1"/>
      <c r="J24" s="1"/>
      <c r="K24" s="1"/>
      <c r="M24" s="1"/>
      <c r="N24" s="1"/>
    </row>
    <row r="25" spans="1:17" x14ac:dyDescent="0.3">
      <c r="A25" t="s">
        <v>19</v>
      </c>
      <c r="M25" s="1"/>
      <c r="N25" s="1"/>
      <c r="Q25" s="1"/>
    </row>
    <row r="26" spans="1:17" x14ac:dyDescent="0.3">
      <c r="A26" t="s">
        <v>20</v>
      </c>
      <c r="H26" s="1"/>
      <c r="N26" s="1"/>
    </row>
    <row r="27" spans="1:17" x14ac:dyDescent="0.3">
      <c r="A27" t="s">
        <v>21</v>
      </c>
      <c r="H27" s="1"/>
      <c r="N27" s="1"/>
      <c r="Q27" s="1"/>
    </row>
    <row r="28" spans="1:17" x14ac:dyDescent="0.3">
      <c r="A28" t="s">
        <v>22</v>
      </c>
      <c r="G28" s="3"/>
      <c r="H28" s="1"/>
    </row>
    <row r="29" spans="1:17" x14ac:dyDescent="0.3">
      <c r="A29" t="s">
        <v>23</v>
      </c>
      <c r="C29">
        <v>29</v>
      </c>
      <c r="D29">
        <v>29</v>
      </c>
      <c r="E29">
        <v>29</v>
      </c>
      <c r="F29">
        <v>29</v>
      </c>
      <c r="N29" s="5"/>
      <c r="O29" s="5"/>
      <c r="Q29" s="1"/>
    </row>
    <row r="30" spans="1:17" x14ac:dyDescent="0.3">
      <c r="A30" t="s">
        <v>24</v>
      </c>
      <c r="C30">
        <v>2.2000000000000002</v>
      </c>
      <c r="D30">
        <v>2.2000000000000002</v>
      </c>
      <c r="E30">
        <v>2.2000000000000002</v>
      </c>
      <c r="F30">
        <v>2.2000000000000002</v>
      </c>
      <c r="N30" s="5"/>
      <c r="O30" s="5"/>
      <c r="Q30" s="1"/>
    </row>
    <row r="31" spans="1:17" x14ac:dyDescent="0.3">
      <c r="A31" t="s">
        <v>25</v>
      </c>
      <c r="C31">
        <v>2.6</v>
      </c>
      <c r="D31">
        <v>2.6</v>
      </c>
      <c r="E31">
        <v>2.6</v>
      </c>
      <c r="F31">
        <v>2.6</v>
      </c>
      <c r="N31" s="1"/>
    </row>
    <row r="32" spans="1:17" x14ac:dyDescent="0.3">
      <c r="A32" t="s">
        <v>26</v>
      </c>
      <c r="C32">
        <v>158</v>
      </c>
      <c r="D32">
        <v>168</v>
      </c>
      <c r="E32">
        <v>180</v>
      </c>
      <c r="F32">
        <v>191</v>
      </c>
      <c r="H32" s="1"/>
      <c r="I32" s="1"/>
      <c r="J32" s="1"/>
      <c r="K32" s="1"/>
      <c r="N32" s="1"/>
      <c r="Q32" s="6"/>
    </row>
    <row r="33" spans="1:17" x14ac:dyDescent="0.3">
      <c r="A33" t="s">
        <v>27</v>
      </c>
      <c r="C33">
        <v>168</v>
      </c>
      <c r="D33">
        <v>180</v>
      </c>
      <c r="E33">
        <v>191</v>
      </c>
      <c r="F33">
        <v>200</v>
      </c>
      <c r="H33" s="1"/>
      <c r="I33" s="1"/>
      <c r="J33" s="1"/>
      <c r="K33" s="1"/>
      <c r="N33" s="1"/>
      <c r="Q33" s="6"/>
    </row>
    <row r="34" spans="1:17" x14ac:dyDescent="0.3">
      <c r="H34" s="1"/>
      <c r="I34" s="1"/>
      <c r="J34" s="1"/>
      <c r="K34" s="1"/>
      <c r="L34" s="1"/>
      <c r="N34" s="1"/>
    </row>
    <row r="35" spans="1:17" x14ac:dyDescent="0.3">
      <c r="A35" t="s">
        <v>28</v>
      </c>
      <c r="B35" t="s">
        <v>29</v>
      </c>
      <c r="H35" s="1"/>
      <c r="N35" s="1"/>
    </row>
    <row r="36" spans="1:17" x14ac:dyDescent="0.3">
      <c r="A36" t="s">
        <v>65</v>
      </c>
      <c r="B36" s="1" t="s">
        <v>95</v>
      </c>
      <c r="H36" s="1"/>
    </row>
    <row r="37" spans="1:17" x14ac:dyDescent="0.3">
      <c r="A37" t="s">
        <v>66</v>
      </c>
      <c r="B37" s="1" t="s">
        <v>96</v>
      </c>
      <c r="H37" s="1"/>
      <c r="I37" s="1"/>
      <c r="J37" s="1"/>
      <c r="K37" s="1"/>
      <c r="L37" s="1"/>
      <c r="N37" s="1"/>
    </row>
    <row r="38" spans="1:17" x14ac:dyDescent="0.3">
      <c r="A38" t="s">
        <v>67</v>
      </c>
      <c r="B38" s="1" t="s">
        <v>97</v>
      </c>
      <c r="H38" s="1"/>
      <c r="N38" s="1"/>
    </row>
    <row r="39" spans="1:17" x14ac:dyDescent="0.3">
      <c r="A39" t="s">
        <v>30</v>
      </c>
      <c r="B39" s="1" t="s">
        <v>81</v>
      </c>
      <c r="C39" s="1" t="s">
        <v>133</v>
      </c>
      <c r="H39" s="1"/>
      <c r="N39" s="1"/>
    </row>
    <row r="40" spans="1:17" x14ac:dyDescent="0.3">
      <c r="A40" t="s">
        <v>31</v>
      </c>
      <c r="H40" s="1"/>
      <c r="N40" s="1"/>
    </row>
    <row r="41" spans="1:17" x14ac:dyDescent="0.3">
      <c r="A41" t="s">
        <v>32</v>
      </c>
      <c r="B41">
        <v>15</v>
      </c>
      <c r="H41" s="1"/>
      <c r="N41" s="1"/>
    </row>
    <row r="42" spans="1:17" x14ac:dyDescent="0.3">
      <c r="A42" t="s">
        <v>33</v>
      </c>
      <c r="B42">
        <v>2.6</v>
      </c>
      <c r="H42" s="1"/>
      <c r="N42" s="1"/>
    </row>
    <row r="43" spans="1:17" x14ac:dyDescent="0.3">
      <c r="A43" t="s">
        <v>34</v>
      </c>
      <c r="B43">
        <v>2.8</v>
      </c>
      <c r="H43" s="1"/>
      <c r="N43" s="1"/>
    </row>
    <row r="44" spans="1:17" x14ac:dyDescent="0.3">
      <c r="A44" t="s">
        <v>35</v>
      </c>
      <c r="B44">
        <v>100</v>
      </c>
      <c r="H44" s="1"/>
      <c r="I44" s="3"/>
      <c r="J44" s="3"/>
      <c r="K44" s="3"/>
      <c r="L44" s="3"/>
    </row>
    <row r="45" spans="1:17" x14ac:dyDescent="0.3">
      <c r="A45" t="s">
        <v>36</v>
      </c>
      <c r="B45">
        <v>100</v>
      </c>
    </row>
    <row r="46" spans="1:17" x14ac:dyDescent="0.3">
      <c r="A46" t="s">
        <v>37</v>
      </c>
      <c r="H46" s="1"/>
    </row>
    <row r="47" spans="1:17" x14ac:dyDescent="0.3">
      <c r="A47" t="s">
        <v>38</v>
      </c>
    </row>
    <row r="48" spans="1:17" x14ac:dyDescent="0.3">
      <c r="A48" t="s">
        <v>39</v>
      </c>
      <c r="B48">
        <v>148</v>
      </c>
    </row>
    <row r="49" spans="1:3" x14ac:dyDescent="0.3">
      <c r="A49" t="s">
        <v>40</v>
      </c>
      <c r="B49">
        <v>110</v>
      </c>
    </row>
    <row r="50" spans="1:3" x14ac:dyDescent="0.3">
      <c r="A50" t="s">
        <v>88</v>
      </c>
    </row>
    <row r="51" spans="1:3" x14ac:dyDescent="0.3">
      <c r="A51" t="s">
        <v>89</v>
      </c>
      <c r="B51" s="1" t="s">
        <v>130</v>
      </c>
    </row>
    <row r="52" spans="1:3" x14ac:dyDescent="0.3">
      <c r="A52" t="s">
        <v>90</v>
      </c>
      <c r="B52" s="1" t="s">
        <v>131</v>
      </c>
    </row>
    <row r="53" spans="1:3" x14ac:dyDescent="0.3">
      <c r="A53" t="s">
        <v>91</v>
      </c>
    </row>
    <row r="54" spans="1:3" x14ac:dyDescent="0.3">
      <c r="A54" t="s">
        <v>92</v>
      </c>
    </row>
    <row r="55" spans="1:3" x14ac:dyDescent="0.3">
      <c r="A55" t="s">
        <v>93</v>
      </c>
    </row>
    <row r="56" spans="1:3" x14ac:dyDescent="0.3">
      <c r="A56" t="s">
        <v>41</v>
      </c>
      <c r="B56" s="1" t="s">
        <v>128</v>
      </c>
      <c r="C56" s="1" t="s">
        <v>129</v>
      </c>
    </row>
    <row r="57" spans="1:3" x14ac:dyDescent="0.3">
      <c r="A57" t="s">
        <v>42</v>
      </c>
    </row>
    <row r="58" spans="1:3" x14ac:dyDescent="0.3">
      <c r="A58" t="s">
        <v>43</v>
      </c>
      <c r="B58">
        <v>31.6</v>
      </c>
    </row>
    <row r="59" spans="1:3" x14ac:dyDescent="0.3">
      <c r="A59" t="s">
        <v>44</v>
      </c>
      <c r="B59" s="1" t="s">
        <v>83</v>
      </c>
    </row>
    <row r="60" spans="1:3" x14ac:dyDescent="0.3">
      <c r="A60" t="s">
        <v>45</v>
      </c>
    </row>
    <row r="61" spans="1:3" x14ac:dyDescent="0.3">
      <c r="A61" t="s">
        <v>46</v>
      </c>
    </row>
    <row r="62" spans="1:3" x14ac:dyDescent="0.3">
      <c r="A62" t="s">
        <v>47</v>
      </c>
    </row>
    <row r="63" spans="1:3" x14ac:dyDescent="0.3">
      <c r="A63" t="s">
        <v>48</v>
      </c>
    </row>
    <row r="64" spans="1:3" x14ac:dyDescent="0.3">
      <c r="A64" t="s">
        <v>49</v>
      </c>
    </row>
    <row r="65" spans="1:2" x14ac:dyDescent="0.3">
      <c r="A65" t="s">
        <v>50</v>
      </c>
      <c r="B65" s="1"/>
    </row>
    <row r="66" spans="1:2" x14ac:dyDescent="0.3">
      <c r="A66" t="s">
        <v>51</v>
      </c>
      <c r="B66" s="1" t="s">
        <v>132</v>
      </c>
    </row>
    <row r="67" spans="1:2" x14ac:dyDescent="0.3">
      <c r="A67" t="s">
        <v>52</v>
      </c>
    </row>
    <row r="68" spans="1:2" x14ac:dyDescent="0.3">
      <c r="A68" t="s">
        <v>53</v>
      </c>
    </row>
    <row r="69" spans="1:2" x14ac:dyDescent="0.3">
      <c r="A69" t="s">
        <v>54</v>
      </c>
      <c r="B69">
        <v>2</v>
      </c>
    </row>
    <row r="70" spans="1:2" x14ac:dyDescent="0.3">
      <c r="A70" t="s">
        <v>55</v>
      </c>
      <c r="B70">
        <v>1</v>
      </c>
    </row>
    <row r="71" spans="1:2" x14ac:dyDescent="0.3">
      <c r="A71" t="s">
        <v>56</v>
      </c>
      <c r="B71">
        <v>1</v>
      </c>
    </row>
    <row r="72" spans="1:2" x14ac:dyDescent="0.3">
      <c r="A72" t="s">
        <v>57</v>
      </c>
    </row>
    <row r="73" spans="1:2" x14ac:dyDescent="0.3">
      <c r="A73" t="s">
        <v>58</v>
      </c>
      <c r="B73" s="1" t="s">
        <v>83</v>
      </c>
    </row>
    <row r="74" spans="1:2" x14ac:dyDescent="0.3">
      <c r="A74" t="s">
        <v>59</v>
      </c>
      <c r="B74" s="1"/>
    </row>
    <row r="75" spans="1:2" x14ac:dyDescent="0.3">
      <c r="A75" t="s">
        <v>60</v>
      </c>
      <c r="B75" s="1" t="s">
        <v>83</v>
      </c>
    </row>
    <row r="76" spans="1:2" x14ac:dyDescent="0.3">
      <c r="A76" t="s">
        <v>61</v>
      </c>
      <c r="B76">
        <v>699.95</v>
      </c>
    </row>
    <row r="77" spans="1:2" x14ac:dyDescent="0.3">
      <c r="A77" t="s">
        <v>62</v>
      </c>
    </row>
    <row r="78" spans="1:2" x14ac:dyDescent="0.3">
      <c r="A78" t="s">
        <v>63</v>
      </c>
    </row>
    <row r="79" spans="1:2" x14ac:dyDescent="0.3">
      <c r="A79" t="s">
        <v>64</v>
      </c>
      <c r="B79" s="1" t="s">
        <v>82</v>
      </c>
    </row>
    <row r="80" spans="1:2" x14ac:dyDescent="0.3">
      <c r="A80" t="s">
        <v>86</v>
      </c>
      <c r="B80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2025-12-13T12:31:59Z</dcterms:modified>
</cp:coreProperties>
</file>