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5DCE622-61EB-AB42-8196-CF45624176A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3" i="1"/>
  <c r="H14" i="1"/>
  <c r="H15" i="1"/>
  <c r="G13" i="1"/>
  <c r="G14" i="1"/>
  <c r="G15" i="1"/>
  <c r="G12" i="1"/>
  <c r="D33" i="1"/>
  <c r="E33" i="1"/>
  <c r="F33" i="1"/>
  <c r="D34" i="1"/>
  <c r="E34" i="1"/>
  <c r="F34" i="1"/>
  <c r="C33" i="1"/>
  <c r="C34" i="1"/>
</calcChain>
</file>

<file path=xl/sharedStrings.xml><?xml version="1.0" encoding="utf-8"?>
<sst xmlns="http://schemas.openxmlformats.org/spreadsheetml/2006/main" count="168" uniqueCount="126">
  <si>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</si>
  <si>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</si>
  <si>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</si>
  <si>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</si>
  <si>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</si>
  <si>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</si>
  <si>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</si>
  <si>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</si>
  <si>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</si>
  <si>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</si>
  <si>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</si>
  <si>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</si>
  <si>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</si>
  <si>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</si>
  <si>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</si>
  <si>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</si>
  <si>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</si>
  <si>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</si>
  <si>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</si>
  <si>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</si>
  <si>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</si>
  <si>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</si>
  <si>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</si>
  <si>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</si>
  <si>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</si>
  <si>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</si>
  <si>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</si>
  <si>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</si>
  <si>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</si>
  <si>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</si>
  <si>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</si>
  <si>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</si>
  <si>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</si>
  <si>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</si>
  <si>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</si>
  <si>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</si>
  <si>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</si>
  <si>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</si>
  <si>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</si>
  <si>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</si>
  <si>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</si>
  <si>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</si>
  <si>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</si>
  <si>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</si>
  <si>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</si>
  <si>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</si>
  <si>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</si>
  <si>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</si>
  <si>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</si>
  <si>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</si>
  <si>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</si>
  <si>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</si>
  <si>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</si>
  <si>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</si>
  <si>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</si>
  <si>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</si>
  <si>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</si>
  <si>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</si>
  <si>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</si>
  <si>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</si>
  <si>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</si>
  <si>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</si>
  <si>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</si>
  <si>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</si>
  <si>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</si>
  <si>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</si>
  <si>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</si>
  <si>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</si>
  <si>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</si>
  <si>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</si>
  <si>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</si>
  <si>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</si>
  <si>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</si>
  <si>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</si>
  <si>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</si>
  <si>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</si>
  <si>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</si>
  <si>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</si>
  <si>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</si>
  <si>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</si>
  <si>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</si>
  <si>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</si>
  <si>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</si>
  <si>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</si>
  <si>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</si>
  <si>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</si>
  <si>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</si>
  <si>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</si>
  <si>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</si>
  <si>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</si>
  <si>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</si>
  <si>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</si>
  <si>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</si>
  <si>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</si>
  <si>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</si>
  <si>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</si>
  <si>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</si>
  <si>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</si>
  <si>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</si>
  <si>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</si>
  <si>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</si>
  <si>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</si>
  <si>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</si>
  <si>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</si>
  <si>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</si>
  <si>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</si>
  <si>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</si>
  <si>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</si>
  <si>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</si>
  <si>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</si>
  <si>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Holt 2.0</t>
  </si>
  <si>
    <t>threaded 73</t>
  </si>
  <si>
    <t>internal</t>
  </si>
  <si>
    <t>https://media.fairlightcycles.com/wp-content/uploads/2025/08/2560-x-1152-Banner-Master-Holt-2.0-Violet.jpg</t>
  </si>
  <si>
    <t>GBP</t>
  </si>
  <si>
    <t>location</t>
  </si>
  <si>
    <t>London,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</si>
  <si>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</si>
  <si>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</si>
  <si>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</si>
  <si>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</si>
  <si>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</si>
  <si>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</si>
  <si>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seat_tube_angle_actual</t>
  </si>
  <si>
    <t>a8:f36</t>
  </si>
  <si>
    <t>Effective STA at stack (I computed this)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</si>
</sst>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3"/>
  <sheetViews>
    <sheetView tabSelected="1" topLeftCell="A3" workbookViewId="0">
      <selection activeCell="C28" sqref="C28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73</v>
      </c>
    </row>
    <row r="2" spans="1:26" x14ac:dyDescent="0.3">
      <c r="A2" s="2" t="s">
        <v>1</v>
      </c>
      <c r="B2" s="2" t="s">
        <v>110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77</v>
      </c>
    </row>
    <row r="6" spans="1:26" x14ac:dyDescent="0.3">
      <c r="B6" s="2" t="s">
        <v>113</v>
      </c>
    </row>
    <row r="7" spans="1:26" x14ac:dyDescent="0.3">
      <c r="A7" s="2" t="s">
        <v>5</v>
      </c>
      <c r="B7" s="2" t="s">
        <v>124</v>
      </c>
      <c r="C7" s="2" t="s">
        <v>109</v>
      </c>
    </row>
    <row r="8" spans="1:26" ht="22" x14ac:dyDescent="0.3">
      <c r="A8" s="2" t="s">
        <v>6</v>
      </c>
      <c r="B8" s="1" t="s">
        <v>72</v>
      </c>
      <c r="C8" s="2" t="s">
        <v>94</v>
      </c>
      <c r="D8" s="2" t="s">
        <v>98</v>
      </c>
      <c r="E8" s="11" t="s">
        <v>99</v>
      </c>
      <c r="F8" s="11" t="s">
        <v>100</v>
      </c>
      <c r="G8" s="7"/>
      <c r="H8" s="7"/>
      <c r="I8"/>
      <c r="J8" s="9" t="s">
        <v>72</v>
      </c>
      <c r="K8" s="9" t="s">
        <v>78</v>
      </c>
      <c r="L8" s="9" t="s">
        <v>79</v>
      </c>
      <c r="M8" s="9" t="s">
        <v>80</v>
      </c>
      <c r="N8" s="9" t="s">
        <v>81</v>
      </c>
      <c r="O8" s="9" t="s">
        <v>82</v>
      </c>
      <c r="P8" s="9" t="s">
        <v>83</v>
      </c>
      <c r="Q8" s="9" t="s">
        <v>84</v>
      </c>
      <c r="R8" s="9" t="s">
        <v>85</v>
      </c>
      <c r="S8" s="9" t="s">
        <v>86</v>
      </c>
      <c r="T8" s="9" t="s">
        <v>87</v>
      </c>
      <c r="U8" s="9" t="s">
        <v>88</v>
      </c>
      <c r="V8" s="9" t="s">
        <v>89</v>
      </c>
      <c r="W8" s="9" t="s">
        <v>90</v>
      </c>
      <c r="X8" s="9" t="s">
        <v>91</v>
      </c>
      <c r="Y8" s="9" t="s">
        <v>92</v>
      </c>
      <c r="Z8" s="9" t="s">
        <v>93</v>
      </c>
    </row>
    <row r="9" spans="1:26" ht="22" x14ac:dyDescent="0.3">
      <c r="A9" s="2" t="s">
        <v>101</v>
      </c>
      <c r="B9" s="1" t="s">
        <v>78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94</v>
      </c>
      <c r="K9" s="10" t="s">
        <v>95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79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98</v>
      </c>
      <c r="K10" s="10" t="s">
        <v>95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80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99</v>
      </c>
      <c r="K11" s="10" t="s">
        <v>95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123</v>
      </c>
      <c r="B12" s="1" t="s">
        <v>81</v>
      </c>
      <c r="C12" s="2">
        <v>74.3</v>
      </c>
      <c r="D12" s="2">
        <v>74.3</v>
      </c>
      <c r="E12" s="2">
        <v>74.3</v>
      </c>
      <c r="F12" s="2">
        <v>74.3</v>
      </c>
      <c r="G12" s="8">
        <f>C$23+C$22/TAN(C12*PI()/180)</f>
        <v>598.14979103112341</v>
      </c>
      <c r="H12" s="8">
        <f>D$23+D$22/TAN(D12*PI()/180)</f>
        <v>623.14979103112341</v>
      </c>
      <c r="I12" s="8"/>
      <c r="J12" s="10" t="s">
        <v>100</v>
      </c>
      <c r="K12" s="10" t="s">
        <v>95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102</v>
      </c>
      <c r="B13" s="1" t="s">
        <v>82</v>
      </c>
      <c r="C13" s="2">
        <v>75.3</v>
      </c>
      <c r="D13" s="2">
        <v>75.3</v>
      </c>
      <c r="E13" s="2">
        <v>75.3</v>
      </c>
      <c r="F13" s="2">
        <v>75.2</v>
      </c>
      <c r="G13" s="8">
        <f>C$23+C$22/TAN(C13*PI()/180)</f>
        <v>586.6045747577607</v>
      </c>
      <c r="H13" s="8">
        <f>D$23+D$22/TAN(D13*PI()/180)</f>
        <v>611.6045747577607</v>
      </c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103</v>
      </c>
      <c r="B14" s="1" t="s">
        <v>83</v>
      </c>
      <c r="C14" s="2">
        <v>75.2</v>
      </c>
      <c r="D14" s="2">
        <v>75.2</v>
      </c>
      <c r="E14" s="2">
        <v>75.2</v>
      </c>
      <c r="F14" s="2">
        <v>75.099999999999994</v>
      </c>
      <c r="G14" s="8">
        <f>C$23+C$22/TAN(C14*PI()/180)</f>
        <v>587.75422041204138</v>
      </c>
      <c r="H14" s="8">
        <f>D$23+D$22/TAN(D14*PI()/180)</f>
        <v>612.75422041204138</v>
      </c>
      <c r="I14" s="8"/>
      <c r="J14" s="10" t="s">
        <v>94</v>
      </c>
      <c r="K14" s="10" t="s">
        <v>96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104</v>
      </c>
      <c r="B15" s="1" t="s">
        <v>84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>
        <f>C$23+C$22/TAN(C15*PI()/180)</f>
        <v>588.90492684228116</v>
      </c>
      <c r="H15" s="8">
        <f>D$23+D$22/TAN(D15*PI()/180)</f>
        <v>613.90492684228116</v>
      </c>
      <c r="I15" s="8"/>
      <c r="J15" s="10" t="s">
        <v>98</v>
      </c>
      <c r="K15" s="10" t="s">
        <v>96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85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99</v>
      </c>
      <c r="K16" s="10" t="s">
        <v>96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86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100</v>
      </c>
      <c r="K17" s="10" t="s">
        <v>96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87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88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94</v>
      </c>
      <c r="K19" s="10" t="s">
        <v>97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89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98</v>
      </c>
      <c r="K20" s="10" t="s">
        <v>97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90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99</v>
      </c>
      <c r="K21" s="8" t="s">
        <v>97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91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100</v>
      </c>
      <c r="K22" s="8" t="s">
        <v>97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92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93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8</v>
      </c>
      <c r="B25" s="1" t="s">
        <v>125</v>
      </c>
      <c r="C25" s="2">
        <v>74.926842070000006</v>
      </c>
      <c r="D25" s="2">
        <v>74.935514670000003</v>
      </c>
      <c r="E25" s="2">
        <v>74.920334609999998</v>
      </c>
      <c r="F25" s="2">
        <v>74.891255409999999</v>
      </c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74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18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20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ht="22" x14ac:dyDescent="0.3">
      <c r="A29" s="2" t="s">
        <v>21</v>
      </c>
      <c r="B29" s="7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4"/>
      <c r="O29" s="5"/>
      <c r="P29" s="5"/>
      <c r="Q29" s="5"/>
      <c r="R29" s="5"/>
      <c r="S29" s="5"/>
      <c r="T29" s="5"/>
      <c r="U29" s="5"/>
    </row>
    <row r="30" spans="1:26" x14ac:dyDescent="0.3">
      <c r="A30" s="2" t="s">
        <v>22</v>
      </c>
      <c r="F30" s="6"/>
    </row>
    <row r="31" spans="1:26" x14ac:dyDescent="0.3">
      <c r="A31" s="2" t="s">
        <v>23</v>
      </c>
      <c r="D31" s="2">
        <v>2220</v>
      </c>
      <c r="F31" s="6"/>
    </row>
    <row r="32" spans="1:26" x14ac:dyDescent="0.3">
      <c r="A32" s="2" t="s">
        <v>24</v>
      </c>
      <c r="B32" s="2" t="s">
        <v>24</v>
      </c>
      <c r="C32" s="2">
        <v>700</v>
      </c>
      <c r="D32" s="2">
        <v>700</v>
      </c>
      <c r="E32" s="2">
        <v>700</v>
      </c>
      <c r="F32" s="2">
        <v>700</v>
      </c>
    </row>
    <row r="33" spans="1:12" x14ac:dyDescent="0.3">
      <c r="A33" s="2" t="s">
        <v>25</v>
      </c>
      <c r="B33" s="2" t="s">
        <v>25</v>
      </c>
      <c r="C33" s="2">
        <f>2.4*25.4</f>
        <v>60.959999999999994</v>
      </c>
      <c r="D33" s="2">
        <f t="shared" ref="D33:F33" si="0">2.4*25.4</f>
        <v>60.959999999999994</v>
      </c>
      <c r="E33" s="2">
        <f t="shared" si="0"/>
        <v>60.959999999999994</v>
      </c>
      <c r="F33" s="2">
        <f t="shared" si="0"/>
        <v>60.959999999999994</v>
      </c>
    </row>
    <row r="34" spans="1:12" x14ac:dyDescent="0.3">
      <c r="A34" s="2" t="s">
        <v>26</v>
      </c>
      <c r="B34" s="2" t="s">
        <v>26</v>
      </c>
      <c r="C34" s="2">
        <f>2.6*25.4</f>
        <v>66.039999999999992</v>
      </c>
      <c r="D34" s="2">
        <f t="shared" ref="D34:F34" si="1">2.6*25.4</f>
        <v>66.039999999999992</v>
      </c>
      <c r="E34" s="2">
        <f t="shared" si="1"/>
        <v>66.039999999999992</v>
      </c>
      <c r="F34" s="2">
        <f t="shared" si="1"/>
        <v>66.039999999999992</v>
      </c>
    </row>
    <row r="35" spans="1:12" x14ac:dyDescent="0.3">
      <c r="A35" s="2" t="s">
        <v>27</v>
      </c>
      <c r="B35" s="2" t="s">
        <v>28</v>
      </c>
      <c r="C35" s="2">
        <v>160</v>
      </c>
      <c r="D35" s="2">
        <v>170</v>
      </c>
      <c r="E35" s="2">
        <v>178</v>
      </c>
      <c r="F35" s="2">
        <v>186</v>
      </c>
    </row>
    <row r="36" spans="1:12" x14ac:dyDescent="0.3">
      <c r="A36" s="2" t="s">
        <v>29</v>
      </c>
      <c r="B36" s="2" t="s">
        <v>30</v>
      </c>
      <c r="C36" s="2">
        <v>172</v>
      </c>
      <c r="D36" s="2">
        <v>180</v>
      </c>
      <c r="E36" s="2">
        <v>188</v>
      </c>
      <c r="F36" s="2">
        <v>195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106</v>
      </c>
    </row>
    <row r="40" spans="1:12" x14ac:dyDescent="0.3">
      <c r="A40" s="2" t="s">
        <v>69</v>
      </c>
      <c r="B40" s="2" t="s">
        <v>107</v>
      </c>
    </row>
    <row r="41" spans="1:12" x14ac:dyDescent="0.3">
      <c r="A41" s="2" t="s">
        <v>70</v>
      </c>
      <c r="B41" s="2" t="s">
        <v>105</v>
      </c>
    </row>
    <row r="42" spans="1:12" x14ac:dyDescent="0.3">
      <c r="A42" s="2" t="s">
        <v>33</v>
      </c>
      <c r="B42" s="2" t="s">
        <v>75</v>
      </c>
    </row>
    <row r="43" spans="1:12" x14ac:dyDescent="0.3">
      <c r="A43" s="2" t="s">
        <v>34</v>
      </c>
      <c r="B43" s="2" t="s">
        <v>71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2.6</v>
      </c>
    </row>
    <row r="46" spans="1:12" x14ac:dyDescent="0.3">
      <c r="A46" s="2" t="s">
        <v>37</v>
      </c>
    </row>
    <row r="47" spans="1:12" x14ac:dyDescent="0.3">
      <c r="A47" s="2" t="s">
        <v>38</v>
      </c>
      <c r="B47" s="2">
        <v>120</v>
      </c>
    </row>
    <row r="48" spans="1:12" x14ac:dyDescent="0.3">
      <c r="A48" s="2" t="s">
        <v>39</v>
      </c>
      <c r="B48" s="2">
        <v>120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148</v>
      </c>
    </row>
    <row r="52" spans="1:2" x14ac:dyDescent="0.3">
      <c r="A52" s="2" t="s">
        <v>43</v>
      </c>
      <c r="B52" s="2">
        <v>110</v>
      </c>
    </row>
    <row r="53" spans="1:2" x14ac:dyDescent="0.3">
      <c r="A53" s="2" t="s">
        <v>117</v>
      </c>
    </row>
    <row r="54" spans="1:2" x14ac:dyDescent="0.3">
      <c r="A54" s="2" t="s">
        <v>118</v>
      </c>
    </row>
    <row r="55" spans="1:2" x14ac:dyDescent="0.3">
      <c r="A55" s="2" t="s">
        <v>119</v>
      </c>
    </row>
    <row r="56" spans="1:2" x14ac:dyDescent="0.3">
      <c r="A56" s="2" t="s">
        <v>120</v>
      </c>
    </row>
    <row r="57" spans="1:2" x14ac:dyDescent="0.3">
      <c r="A57" s="2" t="s">
        <v>121</v>
      </c>
    </row>
    <row r="58" spans="1:2" x14ac:dyDescent="0.3">
      <c r="A58" s="2" t="s">
        <v>122</v>
      </c>
    </row>
    <row r="59" spans="1:2" x14ac:dyDescent="0.3">
      <c r="A59" s="2" t="s">
        <v>44</v>
      </c>
      <c r="B59" s="2" t="s">
        <v>111</v>
      </c>
    </row>
    <row r="60" spans="1:2" x14ac:dyDescent="0.3">
      <c r="A60" s="2" t="s">
        <v>45</v>
      </c>
    </row>
    <row r="61" spans="1:2" x14ac:dyDescent="0.3">
      <c r="A61" s="2" t="s">
        <v>46</v>
      </c>
      <c r="B61" s="2">
        <v>30.9</v>
      </c>
    </row>
    <row r="62" spans="1:2" x14ac:dyDescent="0.3">
      <c r="A62" s="2" t="s">
        <v>47</v>
      </c>
      <c r="B62" s="2" t="s">
        <v>108</v>
      </c>
    </row>
    <row r="63" spans="1:2" x14ac:dyDescent="0.3">
      <c r="A63" s="2" t="s">
        <v>48</v>
      </c>
      <c r="B63" s="2">
        <v>38</v>
      </c>
    </row>
    <row r="64" spans="1:2" x14ac:dyDescent="0.3">
      <c r="A64" s="2" t="s">
        <v>49</v>
      </c>
    </row>
    <row r="65" spans="1:2" x14ac:dyDescent="0.3">
      <c r="A65" s="2" t="s">
        <v>50</v>
      </c>
    </row>
    <row r="66" spans="1:2" x14ac:dyDescent="0.3">
      <c r="A66" s="2" t="s">
        <v>51</v>
      </c>
      <c r="B66" s="2">
        <v>180</v>
      </c>
    </row>
    <row r="67" spans="1:2" x14ac:dyDescent="0.3">
      <c r="A67" s="2" t="s">
        <v>52</v>
      </c>
    </row>
    <row r="68" spans="1:2" x14ac:dyDescent="0.3">
      <c r="A68" s="2" t="s">
        <v>53</v>
      </c>
      <c r="B68" s="2" t="s">
        <v>76</v>
      </c>
    </row>
    <row r="69" spans="1:2" x14ac:dyDescent="0.3">
      <c r="A69" s="2" t="s">
        <v>54</v>
      </c>
      <c r="B69" s="2" t="s">
        <v>112</v>
      </c>
    </row>
    <row r="70" spans="1:2" x14ac:dyDescent="0.3">
      <c r="A70" s="2" t="s">
        <v>55</v>
      </c>
    </row>
    <row r="71" spans="1:2" x14ac:dyDescent="0.3">
      <c r="A71" s="2" t="s">
        <v>56</v>
      </c>
    </row>
    <row r="72" spans="1:2" x14ac:dyDescent="0.3">
      <c r="A72" s="2" t="s">
        <v>57</v>
      </c>
      <c r="B72" s="2">
        <v>2</v>
      </c>
    </row>
    <row r="73" spans="1:2" x14ac:dyDescent="0.3">
      <c r="A73" s="2" t="s">
        <v>58</v>
      </c>
      <c r="B73" s="2">
        <v>1</v>
      </c>
    </row>
    <row r="74" spans="1:2" x14ac:dyDescent="0.3">
      <c r="A74" s="2" t="s">
        <v>59</v>
      </c>
    </row>
    <row r="75" spans="1:2" x14ac:dyDescent="0.3">
      <c r="A75" s="2" t="s">
        <v>60</v>
      </c>
    </row>
    <row r="76" spans="1:2" x14ac:dyDescent="0.3">
      <c r="A76" s="2" t="s">
        <v>61</v>
      </c>
    </row>
    <row r="77" spans="1:2" x14ac:dyDescent="0.3">
      <c r="A77" s="2" t="s">
        <v>62</v>
      </c>
    </row>
    <row r="78" spans="1:2" x14ac:dyDescent="0.3">
      <c r="A78" s="2" t="s">
        <v>63</v>
      </c>
      <c r="B78" s="2" t="s">
        <v>71</v>
      </c>
    </row>
    <row r="79" spans="1:2" x14ac:dyDescent="0.3">
      <c r="A79" s="2" t="s">
        <v>64</v>
      </c>
      <c r="B79" s="2">
        <v>920</v>
      </c>
    </row>
    <row r="80" spans="1:2" x14ac:dyDescent="0.3">
      <c r="A80" s="2" t="s">
        <v>65</v>
      </c>
      <c r="B80" s="2">
        <v>2995</v>
      </c>
    </row>
    <row r="81" spans="1:2" x14ac:dyDescent="0.3">
      <c r="A81" s="2" t="s">
        <v>66</v>
      </c>
    </row>
    <row r="82" spans="1:2" x14ac:dyDescent="0.3">
      <c r="A82" s="2" t="s">
        <v>67</v>
      </c>
      <c r="B82" s="2" t="s">
        <v>114</v>
      </c>
    </row>
    <row r="83" spans="1:2" x14ac:dyDescent="0.3">
      <c r="A83" s="2" t="s">
        <v>115</v>
      </c>
      <c r="B83" s="2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2025-11-20T02:05:25Z</dcterms:modified>
</cp:coreProperties>
</file>