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09FB56A-C907-0C46-991E-9EADF8580798}" xr6:coauthVersionLast="47" xr6:coauthVersionMax="47" xr10:uidLastSave="{00000000-0000-0000-0000-000000000000}"/>
  <bookViews>
    <workbookView xWindow="40500" yWindow="-224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3" i="1"/>
  <c r="H14" i="1"/>
  <c r="H15" i="1"/>
  <c r="G13" i="1"/>
  <c r="G14" i="1"/>
  <c r="G15" i="1"/>
  <c r="G12" i="1"/>
  <c r="D35" i="1"/>
  <c r="E35" i="1"/>
  <c r="F35" i="1"/>
  <c r="D36" i="1"/>
  <c r="E36" i="1"/>
  <c r="F36" i="1"/>
  <c r="C35" i="1"/>
  <c r="C36" i="1"/>
</calcChain>
</file>

<file path=xl/sharedStrings.xml><?xml version="1.0" encoding="utf-8"?>
<sst xmlns="http://schemas.openxmlformats.org/spreadsheetml/2006/main" count="246" uniqueCount="128">
  <si>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</si>
  <si>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</si>
  <si>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</si>
  <si>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</si>
  <si>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</si>
  <si>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</si>
  <si>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</si>
  <si>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</si>
  <si>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</si>
  <si>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</si>
  <si>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</si>
  <si>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</si>
  <si>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</si>
  <si>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</si>
  <si>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</si>
  <si>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</si>
  <si>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</si>
  <si>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</si>
  <si>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</si>
  <si>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</si>
  <si>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</si>
  <si>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</si>
  <si>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</si>
  <si>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</si>
  <si>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</si>
  <si>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</si>
  <si>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</si>
  <si>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</si>
  <si>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</si>
  <si>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</si>
  <si>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</si>
  <si>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</si>
  <si>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</si>
  <si>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</si>
  <si>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</si>
  <si>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</si>
  <si>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</si>
  <si>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</si>
  <si>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</si>
  <si>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</si>
  <si>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</si>
  <si>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</si>
  <si>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</si>
  <si>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</si>
  <si>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</si>
  <si>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</si>
  <si>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</si>
  <si>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</si>
  <si>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</si>
  <si>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</si>
  <si>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</si>
  <si>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</si>
  <si>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</si>
  <si>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</si>
  <si>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</si>
  <si>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</si>
  <si>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</si>
  <si>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</si>
  <si>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</si>
  <si>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</si>
  <si>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</si>
  <si>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</si>
  <si>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</si>
  <si>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</si>
  <si>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</si>
  <si>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</si>
  <si>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</si>
  <si>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</si>
  <si>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</si>
  <si>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</si>
  <si>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</si>
  <si>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</si>
  <si>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Size</t>
  </si>
  <si>
    <t>Fairlight</t>
  </si>
  <si>
    <t>front_center</t>
  </si>
  <si>
    <t>steel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</si>
  <si>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</si>
  <si>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</si>
  <si>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</si>
  <si>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</si>
  <si>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</si>
  <si>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</si>
  <si>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</si>
  <si>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</si>
  <si>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</si>
  <si>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</si>
  <si>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</si>
  <si>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</si>
  <si>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</si>
  <si>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</si>
  <si>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</si>
  <si>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</si>
  <si>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</si>
  <si>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</si>
  <si>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</si>
  <si>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</si>
  <si>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</si>
  <si>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</si>
  <si>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</si>
  <si>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</si>
  <si>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</si>
  <si>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</si>
  <si>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</si>
  <si>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</si>
  <si>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</si>
  <si>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</si>
  <si>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</si>
  <si>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</si>
  <si>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</si>
  <si>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</si>
  <si>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Holt 2.0</t>
  </si>
  <si>
    <t>threaded 73</t>
  </si>
  <si>
    <t>internal</t>
  </si>
  <si>
    <t>https://media.fairlightcycles.com/wp-content/uploads/2025/08/2560-x-1152-Banner-Master-Holt-2.0-Violet.jpg</t>
  </si>
  <si>
    <t>GBP</t>
  </si>
  <si>
    <t>location</t>
  </si>
  <si>
    <t>London,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</si>
  <si>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</si>
  <si>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</si>
  <si>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</si>
  <si>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</si>
  <si>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</si>
  <si>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</si>
  <si>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seat_tube_angle_actual</t>
  </si>
  <si>
    <t>Effective STA at stack (I computed this)</t>
  </si>
  <si>
    <t>a8:f38</t>
  </si>
  <si>
    <t>fork_sag</t>
  </si>
  <si>
    <t>100-120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</si>
</sst>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85"/>
  <sheetViews>
    <sheetView tabSelected="1" topLeftCell="A19" workbookViewId="0">
      <selection activeCell="B42" sqref="B42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24" width="10.77734375" style="2"/>
    <col min="25" max="27" width="11.109375" style="2" customWidth="1"/>
    <col min="28" max="16384" width="10.77734375" style="2"/>
  </cols>
  <sheetData>
    <row r="1" spans="1:42" x14ac:dyDescent="0.3">
      <c r="A1" s="2" t="s">
        <v>0</v>
      </c>
      <c r="B1" s="2" t="s">
        <v>73</v>
      </c>
    </row>
    <row r="2" spans="1:42" x14ac:dyDescent="0.3">
      <c r="A2" s="2" t="s">
        <v>1</v>
      </c>
      <c r="B2" s="2" t="s">
        <v>110</v>
      </c>
    </row>
    <row r="3" spans="1:42" x14ac:dyDescent="0.3">
      <c r="A3" s="2" t="s">
        <v>2</v>
      </c>
      <c r="B3" s="2">
        <v>2025</v>
      </c>
    </row>
    <row r="4" spans="1:42" x14ac:dyDescent="0.3">
      <c r="A4" s="2" t="s">
        <v>3</v>
      </c>
      <c r="B4" s="3">
        <v>45886</v>
      </c>
    </row>
    <row r="5" spans="1:42" x14ac:dyDescent="0.3">
      <c r="A5" s="2" t="s">
        <v>4</v>
      </c>
      <c r="B5" s="2" t="s">
        <v>77</v>
      </c>
    </row>
    <row r="6" spans="1:42" x14ac:dyDescent="0.3">
      <c r="B6" s="2" t="s">
        <v>113</v>
      </c>
    </row>
    <row r="7" spans="1:42" x14ac:dyDescent="0.3">
      <c r="A7" s="2" t="s">
        <v>5</v>
      </c>
      <c r="B7" s="2" t="s">
        <v>125</v>
      </c>
      <c r="C7" s="2" t="s">
        <v>109</v>
      </c>
    </row>
    <row r="8" spans="1:42" ht="22" x14ac:dyDescent="0.3">
      <c r="A8" s="2" t="s">
        <v>6</v>
      </c>
      <c r="B8" s="1" t="s">
        <v>72</v>
      </c>
      <c r="C8" s="2" t="s">
        <v>94</v>
      </c>
      <c r="D8" s="2" t="s">
        <v>98</v>
      </c>
      <c r="E8" s="11" t="s">
        <v>99</v>
      </c>
      <c r="F8" s="11" t="s">
        <v>100</v>
      </c>
      <c r="G8" s="7"/>
      <c r="H8" s="7"/>
      <c r="I8" s="7"/>
      <c r="J8" s="9" t="s">
        <v>72</v>
      </c>
      <c r="K8" s="10" t="s">
        <v>94</v>
      </c>
      <c r="L8" s="10" t="s">
        <v>98</v>
      </c>
      <c r="M8" s="10" t="s">
        <v>99</v>
      </c>
      <c r="N8" s="10" t="s">
        <v>100</v>
      </c>
      <c r="O8" s="9" t="s">
        <v>72</v>
      </c>
      <c r="P8" s="10" t="s">
        <v>94</v>
      </c>
      <c r="Q8" s="10" t="s">
        <v>98</v>
      </c>
      <c r="R8" s="10" t="s">
        <v>99</v>
      </c>
      <c r="S8" s="10" t="s">
        <v>100</v>
      </c>
      <c r="T8" s="9" t="s">
        <v>72</v>
      </c>
      <c r="U8" s="10" t="s">
        <v>94</v>
      </c>
      <c r="V8" s="10" t="s">
        <v>98</v>
      </c>
      <c r="W8" s="8" t="s">
        <v>99</v>
      </c>
      <c r="X8" s="8" t="s">
        <v>100</v>
      </c>
      <c r="Y8"/>
      <c r="Z8" s="9" t="s">
        <v>72</v>
      </c>
      <c r="AA8" s="9" t="s">
        <v>78</v>
      </c>
      <c r="AB8" s="9" t="s">
        <v>79</v>
      </c>
      <c r="AC8" s="9" t="s">
        <v>80</v>
      </c>
      <c r="AD8" s="9" t="s">
        <v>81</v>
      </c>
      <c r="AE8" s="9" t="s">
        <v>82</v>
      </c>
      <c r="AF8" s="9" t="s">
        <v>83</v>
      </c>
      <c r="AG8" s="9" t="s">
        <v>84</v>
      </c>
      <c r="AH8" s="9" t="s">
        <v>85</v>
      </c>
      <c r="AI8" s="9" t="s">
        <v>86</v>
      </c>
      <c r="AJ8" s="9" t="s">
        <v>87</v>
      </c>
      <c r="AK8" s="9" t="s">
        <v>88</v>
      </c>
      <c r="AL8" s="9" t="s">
        <v>89</v>
      </c>
      <c r="AM8" s="9" t="s">
        <v>90</v>
      </c>
      <c r="AN8" s="9" t="s">
        <v>91</v>
      </c>
      <c r="AO8" s="9" t="s">
        <v>92</v>
      </c>
      <c r="AP8" s="9" t="s">
        <v>93</v>
      </c>
    </row>
    <row r="9" spans="1:42" ht="22" x14ac:dyDescent="0.3">
      <c r="A9" s="2" t="s">
        <v>101</v>
      </c>
      <c r="B9" s="1" t="s">
        <v>78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9" t="s">
        <v>78</v>
      </c>
      <c r="K9" s="10" t="s">
        <v>95</v>
      </c>
      <c r="L9" s="10" t="s">
        <v>95</v>
      </c>
      <c r="M9" s="10" t="s">
        <v>95</v>
      </c>
      <c r="N9" s="10" t="s">
        <v>95</v>
      </c>
      <c r="O9" s="9" t="s">
        <v>78</v>
      </c>
      <c r="P9" s="10" t="s">
        <v>96</v>
      </c>
      <c r="Q9" s="10" t="s">
        <v>96</v>
      </c>
      <c r="R9" s="10" t="s">
        <v>96</v>
      </c>
      <c r="S9" s="10" t="s">
        <v>96</v>
      </c>
      <c r="T9" s="9" t="s">
        <v>78</v>
      </c>
      <c r="U9" s="10" t="s">
        <v>97</v>
      </c>
      <c r="V9" s="10" t="s">
        <v>97</v>
      </c>
      <c r="W9" s="8" t="s">
        <v>97</v>
      </c>
      <c r="X9" s="8" t="s">
        <v>97</v>
      </c>
      <c r="Y9" s="8"/>
      <c r="Z9" s="10" t="s">
        <v>94</v>
      </c>
      <c r="AA9" s="10" t="s">
        <v>95</v>
      </c>
      <c r="AB9" s="10">
        <v>385</v>
      </c>
      <c r="AC9" s="10">
        <v>588.1</v>
      </c>
      <c r="AD9" s="10">
        <v>75.3</v>
      </c>
      <c r="AE9" s="10">
        <v>76.2</v>
      </c>
      <c r="AF9" s="10">
        <v>76.099999999999994</v>
      </c>
      <c r="AG9" s="10">
        <v>76</v>
      </c>
      <c r="AH9" s="10">
        <v>68</v>
      </c>
      <c r="AI9" s="10">
        <v>435</v>
      </c>
      <c r="AJ9" s="10">
        <v>44</v>
      </c>
      <c r="AK9" s="10">
        <v>1130</v>
      </c>
      <c r="AL9" s="10">
        <v>70</v>
      </c>
      <c r="AM9" s="10">
        <v>100</v>
      </c>
      <c r="AN9" s="10">
        <v>608</v>
      </c>
      <c r="AO9" s="10">
        <v>436</v>
      </c>
      <c r="AP9" s="10">
        <v>486</v>
      </c>
    </row>
    <row r="10" spans="1:42" ht="22" x14ac:dyDescent="0.3">
      <c r="A10" s="2" t="s">
        <v>9</v>
      </c>
      <c r="B10" s="1" t="s">
        <v>79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9" t="s">
        <v>79</v>
      </c>
      <c r="K10" s="10">
        <v>385</v>
      </c>
      <c r="L10" s="10">
        <v>425</v>
      </c>
      <c r="M10" s="10">
        <v>465</v>
      </c>
      <c r="N10" s="10">
        <v>510</v>
      </c>
      <c r="O10" s="9" t="s">
        <v>79</v>
      </c>
      <c r="P10" s="10">
        <v>385</v>
      </c>
      <c r="Q10" s="10">
        <v>425</v>
      </c>
      <c r="R10" s="10">
        <v>465</v>
      </c>
      <c r="S10" s="10">
        <v>510</v>
      </c>
      <c r="T10" s="9" t="s">
        <v>79</v>
      </c>
      <c r="U10" s="10">
        <v>385</v>
      </c>
      <c r="V10" s="10">
        <v>425</v>
      </c>
      <c r="W10" s="8">
        <v>465</v>
      </c>
      <c r="X10" s="8">
        <v>510</v>
      </c>
      <c r="Y10" s="8"/>
      <c r="Z10" s="10" t="s">
        <v>98</v>
      </c>
      <c r="AA10" s="10" t="s">
        <v>95</v>
      </c>
      <c r="AB10" s="10">
        <v>425</v>
      </c>
      <c r="AC10" s="10">
        <v>613</v>
      </c>
      <c r="AD10" s="10">
        <v>75.3</v>
      </c>
      <c r="AE10" s="10">
        <v>76.2</v>
      </c>
      <c r="AF10" s="10">
        <v>76.099999999999994</v>
      </c>
      <c r="AG10" s="10">
        <v>76</v>
      </c>
      <c r="AH10" s="10">
        <v>68</v>
      </c>
      <c r="AI10" s="10">
        <v>435</v>
      </c>
      <c r="AJ10" s="10">
        <v>44</v>
      </c>
      <c r="AK10" s="10">
        <v>1155</v>
      </c>
      <c r="AL10" s="10">
        <v>70</v>
      </c>
      <c r="AM10" s="10">
        <v>100</v>
      </c>
      <c r="AN10" s="10">
        <v>608</v>
      </c>
      <c r="AO10" s="10">
        <v>460</v>
      </c>
      <c r="AP10" s="10">
        <v>486</v>
      </c>
    </row>
    <row r="11" spans="1:42" ht="22" x14ac:dyDescent="0.3">
      <c r="A11" s="2" t="s">
        <v>7</v>
      </c>
      <c r="B11" s="1" t="s">
        <v>80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9" t="s">
        <v>80</v>
      </c>
      <c r="K11" s="10">
        <v>588.1</v>
      </c>
      <c r="L11" s="10">
        <v>613</v>
      </c>
      <c r="M11" s="10">
        <v>635.6</v>
      </c>
      <c r="N11" s="10">
        <v>665.7</v>
      </c>
      <c r="O11" s="9" t="s">
        <v>80</v>
      </c>
      <c r="P11" s="10">
        <v>589.79999999999995</v>
      </c>
      <c r="Q11" s="10">
        <v>614.70000000000005</v>
      </c>
      <c r="R11" s="10">
        <v>637.29999999999995</v>
      </c>
      <c r="S11" s="10">
        <v>667.5</v>
      </c>
      <c r="T11" s="9" t="s">
        <v>80</v>
      </c>
      <c r="U11" s="10">
        <v>590.9</v>
      </c>
      <c r="V11" s="10">
        <v>615.79999999999995</v>
      </c>
      <c r="W11" s="8">
        <v>638.4</v>
      </c>
      <c r="X11" s="8">
        <v>668.6</v>
      </c>
      <c r="Y11" s="8"/>
      <c r="Z11" s="10" t="s">
        <v>99</v>
      </c>
      <c r="AA11" s="10" t="s">
        <v>95</v>
      </c>
      <c r="AB11" s="10">
        <v>465</v>
      </c>
      <c r="AC11" s="10">
        <v>635.6</v>
      </c>
      <c r="AD11" s="10">
        <v>75.2</v>
      </c>
      <c r="AE11" s="10">
        <v>76.2</v>
      </c>
      <c r="AF11" s="10">
        <v>76.099999999999994</v>
      </c>
      <c r="AG11" s="10">
        <v>76</v>
      </c>
      <c r="AH11" s="10">
        <v>67.900000000000006</v>
      </c>
      <c r="AI11" s="10">
        <v>435</v>
      </c>
      <c r="AJ11" s="10">
        <v>44</v>
      </c>
      <c r="AK11" s="10">
        <v>1179</v>
      </c>
      <c r="AL11" s="10">
        <v>70</v>
      </c>
      <c r="AM11" s="10">
        <v>110</v>
      </c>
      <c r="AN11" s="10">
        <v>617</v>
      </c>
      <c r="AO11" s="10">
        <v>480</v>
      </c>
      <c r="AP11" s="10">
        <v>486</v>
      </c>
    </row>
    <row r="12" spans="1:42" ht="22" x14ac:dyDescent="0.3">
      <c r="A12" s="2" t="s">
        <v>123</v>
      </c>
      <c r="B12" s="1" t="s">
        <v>81</v>
      </c>
      <c r="C12" s="2">
        <v>74.3</v>
      </c>
      <c r="D12" s="2">
        <v>74.3</v>
      </c>
      <c r="E12" s="2">
        <v>74.3</v>
      </c>
      <c r="F12" s="2">
        <v>74.3</v>
      </c>
      <c r="G12" s="8">
        <f t="shared" ref="G12:H15" si="0">C$23+C$22/TAN(C12*PI()/180)</f>
        <v>598.14979103112341</v>
      </c>
      <c r="H12" s="8">
        <f t="shared" si="0"/>
        <v>623.14979103112341</v>
      </c>
      <c r="I12" s="8"/>
      <c r="J12" s="9" t="s">
        <v>81</v>
      </c>
      <c r="K12" s="10">
        <v>75.3</v>
      </c>
      <c r="L12" s="10">
        <v>75.3</v>
      </c>
      <c r="M12" s="10">
        <v>75.2</v>
      </c>
      <c r="N12" s="10">
        <v>75.2</v>
      </c>
      <c r="O12" s="9" t="s">
        <v>81</v>
      </c>
      <c r="P12" s="10">
        <v>74.7</v>
      </c>
      <c r="Q12" s="10">
        <v>74.7</v>
      </c>
      <c r="R12" s="10">
        <v>74.7</v>
      </c>
      <c r="S12" s="10">
        <v>74.7</v>
      </c>
      <c r="T12" s="9" t="s">
        <v>81</v>
      </c>
      <c r="U12" s="10">
        <v>74.3</v>
      </c>
      <c r="V12" s="10">
        <v>74.3</v>
      </c>
      <c r="W12" s="5">
        <v>74.3</v>
      </c>
      <c r="X12" s="5">
        <v>74.3</v>
      </c>
      <c r="Y12" s="8"/>
      <c r="Z12" s="10" t="s">
        <v>100</v>
      </c>
      <c r="AA12" s="10" t="s">
        <v>95</v>
      </c>
      <c r="AB12" s="10">
        <v>510</v>
      </c>
      <c r="AC12" s="10">
        <v>665.7</v>
      </c>
      <c r="AD12" s="10">
        <v>75.2</v>
      </c>
      <c r="AE12" s="10">
        <v>76.099999999999994</v>
      </c>
      <c r="AF12" s="10">
        <v>76</v>
      </c>
      <c r="AG12" s="10">
        <v>75.900000000000006</v>
      </c>
      <c r="AH12" s="10">
        <v>67.900000000000006</v>
      </c>
      <c r="AI12" s="10">
        <v>435</v>
      </c>
      <c r="AJ12" s="10">
        <v>44</v>
      </c>
      <c r="AK12" s="10">
        <v>1212</v>
      </c>
      <c r="AL12" s="10">
        <v>70</v>
      </c>
      <c r="AM12" s="10">
        <v>130</v>
      </c>
      <c r="AN12" s="10">
        <v>635</v>
      </c>
      <c r="AO12" s="10">
        <v>505</v>
      </c>
      <c r="AP12" s="10">
        <v>486</v>
      </c>
    </row>
    <row r="13" spans="1:42" ht="22" x14ac:dyDescent="0.3">
      <c r="A13" s="2" t="s">
        <v>102</v>
      </c>
      <c r="B13" s="1" t="s">
        <v>82</v>
      </c>
      <c r="C13" s="2">
        <v>75.3</v>
      </c>
      <c r="D13" s="2">
        <v>75.3</v>
      </c>
      <c r="E13" s="2">
        <v>75.3</v>
      </c>
      <c r="F13" s="2">
        <v>75.2</v>
      </c>
      <c r="G13" s="8">
        <f t="shared" si="0"/>
        <v>586.6045747577607</v>
      </c>
      <c r="H13" s="8">
        <f t="shared" si="0"/>
        <v>611.6045747577607</v>
      </c>
      <c r="I13" s="8"/>
      <c r="J13" s="9" t="s">
        <v>82</v>
      </c>
      <c r="K13" s="10">
        <v>76.2</v>
      </c>
      <c r="L13" s="10">
        <v>76.2</v>
      </c>
      <c r="M13" s="10">
        <v>76.2</v>
      </c>
      <c r="N13" s="10">
        <v>76.099999999999994</v>
      </c>
      <c r="O13" s="9" t="s">
        <v>82</v>
      </c>
      <c r="P13" s="10">
        <v>75.599999999999994</v>
      </c>
      <c r="Q13" s="10">
        <v>75.599999999999994</v>
      </c>
      <c r="R13" s="10">
        <v>75.599999999999994</v>
      </c>
      <c r="S13" s="10">
        <v>75.599999999999994</v>
      </c>
      <c r="T13" s="9" t="s">
        <v>82</v>
      </c>
      <c r="U13" s="10">
        <v>75.3</v>
      </c>
      <c r="V13" s="10">
        <v>75.3</v>
      </c>
      <c r="W13" s="5">
        <v>75.3</v>
      </c>
      <c r="X13" s="5">
        <v>75.2</v>
      </c>
      <c r="Y13" s="8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</row>
    <row r="14" spans="1:42" ht="22" x14ac:dyDescent="0.3">
      <c r="A14" s="2" t="s">
        <v>103</v>
      </c>
      <c r="B14" s="1" t="s">
        <v>83</v>
      </c>
      <c r="C14" s="2">
        <v>75.2</v>
      </c>
      <c r="D14" s="2">
        <v>75.2</v>
      </c>
      <c r="E14" s="2">
        <v>75.2</v>
      </c>
      <c r="F14" s="2">
        <v>75.099999999999994</v>
      </c>
      <c r="G14" s="8">
        <f t="shared" si="0"/>
        <v>587.75422041204138</v>
      </c>
      <c r="H14" s="8">
        <f t="shared" si="0"/>
        <v>612.75422041204138</v>
      </c>
      <c r="I14" s="8"/>
      <c r="J14" s="9" t="s">
        <v>83</v>
      </c>
      <c r="K14" s="10">
        <v>76.099999999999994</v>
      </c>
      <c r="L14" s="10">
        <v>76.099999999999994</v>
      </c>
      <c r="M14" s="10">
        <v>76.099999999999994</v>
      </c>
      <c r="N14" s="10">
        <v>76</v>
      </c>
      <c r="O14" s="9" t="s">
        <v>83</v>
      </c>
      <c r="P14" s="10">
        <v>75.5</v>
      </c>
      <c r="Q14" s="10">
        <v>75.5</v>
      </c>
      <c r="R14" s="10">
        <v>75.5</v>
      </c>
      <c r="S14" s="10">
        <v>75.5</v>
      </c>
      <c r="T14" s="9" t="s">
        <v>83</v>
      </c>
      <c r="U14" s="10">
        <v>75.2</v>
      </c>
      <c r="V14" s="10">
        <v>75.2</v>
      </c>
      <c r="W14" s="5">
        <v>75.2</v>
      </c>
      <c r="X14" s="5">
        <v>75.099999999999994</v>
      </c>
      <c r="Y14" s="8"/>
      <c r="Z14" s="10" t="s">
        <v>94</v>
      </c>
      <c r="AA14" s="10" t="s">
        <v>96</v>
      </c>
      <c r="AB14" s="10">
        <v>385</v>
      </c>
      <c r="AC14" s="10">
        <v>589.79999999999995</v>
      </c>
      <c r="AD14" s="10">
        <v>74.7</v>
      </c>
      <c r="AE14" s="10">
        <v>75.599999999999994</v>
      </c>
      <c r="AF14" s="10">
        <v>75.5</v>
      </c>
      <c r="AG14" s="10">
        <v>75.400000000000006</v>
      </c>
      <c r="AH14" s="10">
        <v>67.400000000000006</v>
      </c>
      <c r="AI14" s="10">
        <v>435</v>
      </c>
      <c r="AJ14" s="10">
        <v>44</v>
      </c>
      <c r="AK14" s="10">
        <v>1135</v>
      </c>
      <c r="AL14" s="10">
        <v>66</v>
      </c>
      <c r="AM14" s="10">
        <v>100</v>
      </c>
      <c r="AN14" s="10">
        <v>613</v>
      </c>
      <c r="AO14" s="10">
        <v>429</v>
      </c>
      <c r="AP14" s="10">
        <v>499</v>
      </c>
    </row>
    <row r="15" spans="1:42" ht="22" x14ac:dyDescent="0.3">
      <c r="A15" s="2" t="s">
        <v>104</v>
      </c>
      <c r="B15" s="1" t="s">
        <v>84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>
        <f t="shared" si="0"/>
        <v>588.90492684228116</v>
      </c>
      <c r="H15" s="8">
        <f t="shared" si="0"/>
        <v>613.90492684228116</v>
      </c>
      <c r="I15" s="8"/>
      <c r="J15" s="9" t="s">
        <v>84</v>
      </c>
      <c r="K15" s="10">
        <v>76</v>
      </c>
      <c r="L15" s="10">
        <v>76</v>
      </c>
      <c r="M15" s="10">
        <v>76</v>
      </c>
      <c r="N15" s="10">
        <v>75.900000000000006</v>
      </c>
      <c r="O15" s="9" t="s">
        <v>84</v>
      </c>
      <c r="P15" s="10">
        <v>75.400000000000006</v>
      </c>
      <c r="Q15" s="10">
        <v>75.400000000000006</v>
      </c>
      <c r="R15" s="10">
        <v>75.400000000000006</v>
      </c>
      <c r="S15" s="10">
        <v>75.400000000000006</v>
      </c>
      <c r="T15" s="9" t="s">
        <v>84</v>
      </c>
      <c r="U15" s="10">
        <v>75.099999999999994</v>
      </c>
      <c r="V15" s="10">
        <v>75.099999999999994</v>
      </c>
      <c r="W15" s="5">
        <v>75.099999999999994</v>
      </c>
      <c r="X15" s="5">
        <v>75</v>
      </c>
      <c r="Y15" s="8"/>
      <c r="Z15" s="10" t="s">
        <v>98</v>
      </c>
      <c r="AA15" s="10" t="s">
        <v>96</v>
      </c>
      <c r="AB15" s="10">
        <v>425</v>
      </c>
      <c r="AC15" s="10">
        <v>614.70000000000005</v>
      </c>
      <c r="AD15" s="10">
        <v>74.7</v>
      </c>
      <c r="AE15" s="10">
        <v>75.599999999999994</v>
      </c>
      <c r="AF15" s="10">
        <v>75.5</v>
      </c>
      <c r="AG15" s="10">
        <v>75.400000000000006</v>
      </c>
      <c r="AH15" s="10">
        <v>67.400000000000006</v>
      </c>
      <c r="AI15" s="10">
        <v>435</v>
      </c>
      <c r="AJ15" s="10">
        <v>44</v>
      </c>
      <c r="AK15" s="10">
        <v>1160</v>
      </c>
      <c r="AL15" s="10">
        <v>66</v>
      </c>
      <c r="AM15" s="10">
        <v>100</v>
      </c>
      <c r="AN15" s="10">
        <v>613</v>
      </c>
      <c r="AO15" s="10">
        <v>454</v>
      </c>
      <c r="AP15" s="10">
        <v>499</v>
      </c>
    </row>
    <row r="16" spans="1:42" ht="22" x14ac:dyDescent="0.3">
      <c r="A16" s="2" t="s">
        <v>11</v>
      </c>
      <c r="B16" s="1" t="s">
        <v>85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9" t="s">
        <v>85</v>
      </c>
      <c r="K16" s="10">
        <v>68</v>
      </c>
      <c r="L16" s="10">
        <v>68</v>
      </c>
      <c r="M16" s="10">
        <v>67.900000000000006</v>
      </c>
      <c r="N16" s="10">
        <v>67.900000000000006</v>
      </c>
      <c r="O16" s="9" t="s">
        <v>85</v>
      </c>
      <c r="P16" s="10">
        <v>67.400000000000006</v>
      </c>
      <c r="Q16" s="10">
        <v>67.400000000000006</v>
      </c>
      <c r="R16" s="10">
        <v>67.400000000000006</v>
      </c>
      <c r="S16" s="10">
        <v>67.400000000000006</v>
      </c>
      <c r="T16" s="9" t="s">
        <v>85</v>
      </c>
      <c r="U16" s="10">
        <v>67</v>
      </c>
      <c r="V16" s="10">
        <v>67</v>
      </c>
      <c r="W16" s="5">
        <v>67</v>
      </c>
      <c r="X16" s="5">
        <v>67</v>
      </c>
      <c r="Y16" s="8"/>
      <c r="Z16" s="10" t="s">
        <v>99</v>
      </c>
      <c r="AA16" s="10" t="s">
        <v>96</v>
      </c>
      <c r="AB16" s="10">
        <v>465</v>
      </c>
      <c r="AC16" s="10">
        <v>637.29999999999995</v>
      </c>
      <c r="AD16" s="10">
        <v>74.7</v>
      </c>
      <c r="AE16" s="10">
        <v>75.599999999999994</v>
      </c>
      <c r="AF16" s="10">
        <v>75.5</v>
      </c>
      <c r="AG16" s="10">
        <v>75.400000000000006</v>
      </c>
      <c r="AH16" s="10">
        <v>67.400000000000006</v>
      </c>
      <c r="AI16" s="10">
        <v>435</v>
      </c>
      <c r="AJ16" s="10">
        <v>44</v>
      </c>
      <c r="AK16" s="10">
        <v>1184</v>
      </c>
      <c r="AL16" s="10">
        <v>66</v>
      </c>
      <c r="AM16" s="10">
        <v>110</v>
      </c>
      <c r="AN16" s="10">
        <v>622</v>
      </c>
      <c r="AO16" s="10">
        <v>474</v>
      </c>
      <c r="AP16" s="10">
        <v>499</v>
      </c>
    </row>
    <row r="17" spans="1:42" ht="22" x14ac:dyDescent="0.3">
      <c r="A17" s="2" t="s">
        <v>14</v>
      </c>
      <c r="B17" s="1" t="s">
        <v>86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9" t="s">
        <v>86</v>
      </c>
      <c r="K17" s="10">
        <v>435</v>
      </c>
      <c r="L17" s="10">
        <v>435</v>
      </c>
      <c r="M17" s="10">
        <v>435</v>
      </c>
      <c r="N17" s="10">
        <v>435</v>
      </c>
      <c r="O17" s="9" t="s">
        <v>86</v>
      </c>
      <c r="P17" s="10">
        <v>435</v>
      </c>
      <c r="Q17" s="10">
        <v>435</v>
      </c>
      <c r="R17" s="10">
        <v>435</v>
      </c>
      <c r="S17" s="10">
        <v>435</v>
      </c>
      <c r="T17" s="9" t="s">
        <v>86</v>
      </c>
      <c r="U17" s="10">
        <v>435</v>
      </c>
      <c r="V17" s="10">
        <v>435</v>
      </c>
      <c r="W17" s="5">
        <v>435</v>
      </c>
      <c r="X17" s="5">
        <v>435</v>
      </c>
      <c r="Y17" s="8"/>
      <c r="Z17" s="10" t="s">
        <v>100</v>
      </c>
      <c r="AA17" s="10" t="s">
        <v>96</v>
      </c>
      <c r="AB17" s="10">
        <v>510</v>
      </c>
      <c r="AC17" s="10">
        <v>667.5</v>
      </c>
      <c r="AD17" s="10">
        <v>74.7</v>
      </c>
      <c r="AE17" s="10">
        <v>75.599999999999994</v>
      </c>
      <c r="AF17" s="10">
        <v>75.5</v>
      </c>
      <c r="AG17" s="10">
        <v>75.400000000000006</v>
      </c>
      <c r="AH17" s="10">
        <v>67.400000000000006</v>
      </c>
      <c r="AI17" s="10">
        <v>435</v>
      </c>
      <c r="AJ17" s="10">
        <v>44</v>
      </c>
      <c r="AK17" s="10">
        <v>1216</v>
      </c>
      <c r="AL17" s="10">
        <v>66</v>
      </c>
      <c r="AM17" s="10">
        <v>130</v>
      </c>
      <c r="AN17" s="10">
        <v>640</v>
      </c>
      <c r="AO17" s="10">
        <v>499</v>
      </c>
      <c r="AP17" s="10">
        <v>499</v>
      </c>
    </row>
    <row r="18" spans="1:42" ht="22" x14ac:dyDescent="0.3">
      <c r="A18" s="2" t="s">
        <v>13</v>
      </c>
      <c r="B18" s="1" t="s">
        <v>87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9" t="s">
        <v>87</v>
      </c>
      <c r="K18" s="10">
        <v>44</v>
      </c>
      <c r="L18" s="10">
        <v>44</v>
      </c>
      <c r="M18" s="10">
        <v>44</v>
      </c>
      <c r="N18" s="10">
        <v>44</v>
      </c>
      <c r="O18" s="9" t="s">
        <v>87</v>
      </c>
      <c r="P18" s="10">
        <v>44</v>
      </c>
      <c r="Q18" s="10">
        <v>44</v>
      </c>
      <c r="R18" s="10">
        <v>44</v>
      </c>
      <c r="S18" s="10">
        <v>44</v>
      </c>
      <c r="T18" s="9" t="s">
        <v>87</v>
      </c>
      <c r="U18" s="10">
        <v>44</v>
      </c>
      <c r="V18" s="10">
        <v>44</v>
      </c>
      <c r="W18" s="5">
        <v>44</v>
      </c>
      <c r="X18" s="5">
        <v>44</v>
      </c>
      <c r="Y18" s="8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</row>
    <row r="19" spans="1:42" ht="22" x14ac:dyDescent="0.3">
      <c r="A19" s="2" t="s">
        <v>19</v>
      </c>
      <c r="B19" s="1" t="s">
        <v>88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9" t="s">
        <v>88</v>
      </c>
      <c r="K19" s="10">
        <v>1130</v>
      </c>
      <c r="L19" s="10">
        <v>1155</v>
      </c>
      <c r="M19" s="10">
        <v>1179</v>
      </c>
      <c r="N19" s="10">
        <v>1212</v>
      </c>
      <c r="O19" s="9" t="s">
        <v>88</v>
      </c>
      <c r="P19" s="10">
        <v>1135</v>
      </c>
      <c r="Q19" s="10">
        <v>1160</v>
      </c>
      <c r="R19" s="10">
        <v>1184</v>
      </c>
      <c r="S19" s="10">
        <v>1216</v>
      </c>
      <c r="T19" s="9" t="s">
        <v>88</v>
      </c>
      <c r="U19" s="10">
        <v>1138</v>
      </c>
      <c r="V19" s="10">
        <v>1163</v>
      </c>
      <c r="W19" s="2">
        <v>1187</v>
      </c>
      <c r="X19" s="2">
        <v>1220</v>
      </c>
      <c r="Y19" s="8"/>
      <c r="Z19" s="10" t="s">
        <v>94</v>
      </c>
      <c r="AA19" s="10" t="s">
        <v>97</v>
      </c>
      <c r="AB19" s="10">
        <v>385</v>
      </c>
      <c r="AC19" s="10">
        <v>590.9</v>
      </c>
      <c r="AD19" s="10">
        <v>74.3</v>
      </c>
      <c r="AE19" s="10">
        <v>75.3</v>
      </c>
      <c r="AF19" s="10">
        <v>75.2</v>
      </c>
      <c r="AG19" s="10">
        <v>75.099999999999994</v>
      </c>
      <c r="AH19" s="10">
        <v>67</v>
      </c>
      <c r="AI19" s="10">
        <v>435</v>
      </c>
      <c r="AJ19" s="10">
        <v>44</v>
      </c>
      <c r="AK19" s="10">
        <v>1138</v>
      </c>
      <c r="AL19" s="10">
        <v>63</v>
      </c>
      <c r="AM19" s="10">
        <v>100</v>
      </c>
      <c r="AN19" s="10">
        <v>616</v>
      </c>
      <c r="AO19" s="10">
        <v>425</v>
      </c>
      <c r="AP19" s="10">
        <v>507</v>
      </c>
    </row>
    <row r="20" spans="1:42" ht="22" x14ac:dyDescent="0.3">
      <c r="A20" s="2" t="s">
        <v>15</v>
      </c>
      <c r="B20" s="1" t="s">
        <v>89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9" t="s">
        <v>89</v>
      </c>
      <c r="K20" s="10">
        <v>70</v>
      </c>
      <c r="L20" s="10">
        <v>70</v>
      </c>
      <c r="M20" s="10">
        <v>70</v>
      </c>
      <c r="N20" s="10">
        <v>70</v>
      </c>
      <c r="O20" s="9" t="s">
        <v>89</v>
      </c>
      <c r="P20" s="10">
        <v>66</v>
      </c>
      <c r="Q20" s="10">
        <v>66</v>
      </c>
      <c r="R20" s="10">
        <v>66</v>
      </c>
      <c r="S20" s="10">
        <v>66</v>
      </c>
      <c r="T20" s="9" t="s">
        <v>89</v>
      </c>
      <c r="U20" s="10">
        <v>63</v>
      </c>
      <c r="V20" s="10">
        <v>63</v>
      </c>
      <c r="W20" s="2">
        <v>63</v>
      </c>
      <c r="X20" s="2">
        <v>63</v>
      </c>
      <c r="Y20" s="8"/>
      <c r="Z20" s="10" t="s">
        <v>98</v>
      </c>
      <c r="AA20" s="10" t="s">
        <v>97</v>
      </c>
      <c r="AB20" s="10">
        <v>425</v>
      </c>
      <c r="AC20" s="10">
        <v>615.79999999999995</v>
      </c>
      <c r="AD20" s="10">
        <v>74.3</v>
      </c>
      <c r="AE20" s="10">
        <v>75.3</v>
      </c>
      <c r="AF20" s="10">
        <v>75.2</v>
      </c>
      <c r="AG20" s="10">
        <v>75.099999999999994</v>
      </c>
      <c r="AH20" s="10">
        <v>67</v>
      </c>
      <c r="AI20" s="10">
        <v>435</v>
      </c>
      <c r="AJ20" s="10">
        <v>44</v>
      </c>
      <c r="AK20" s="10">
        <v>1163</v>
      </c>
      <c r="AL20" s="10">
        <v>63</v>
      </c>
      <c r="AM20" s="10">
        <v>100</v>
      </c>
      <c r="AN20" s="10">
        <v>616</v>
      </c>
      <c r="AO20" s="10">
        <v>450</v>
      </c>
      <c r="AP20" s="10">
        <v>507</v>
      </c>
    </row>
    <row r="21" spans="1:42" ht="22" x14ac:dyDescent="0.3">
      <c r="A21" s="2" t="s">
        <v>10</v>
      </c>
      <c r="B21" s="1" t="s">
        <v>90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9" t="s">
        <v>90</v>
      </c>
      <c r="K21" s="10">
        <v>100</v>
      </c>
      <c r="L21" s="10">
        <v>100</v>
      </c>
      <c r="M21" s="10">
        <v>110</v>
      </c>
      <c r="N21" s="10">
        <v>130</v>
      </c>
      <c r="O21" s="9" t="s">
        <v>90</v>
      </c>
      <c r="P21" s="10">
        <v>100</v>
      </c>
      <c r="Q21" s="10">
        <v>100</v>
      </c>
      <c r="R21" s="10">
        <v>110</v>
      </c>
      <c r="S21" s="10">
        <v>130</v>
      </c>
      <c r="T21" s="9" t="s">
        <v>90</v>
      </c>
      <c r="U21" s="10">
        <v>100</v>
      </c>
      <c r="V21" s="10">
        <v>100</v>
      </c>
      <c r="W21" s="2">
        <v>110</v>
      </c>
      <c r="X21" s="2">
        <v>130</v>
      </c>
      <c r="Y21" s="8"/>
      <c r="Z21" s="8" t="s">
        <v>99</v>
      </c>
      <c r="AA21" s="8" t="s">
        <v>97</v>
      </c>
      <c r="AB21" s="8">
        <v>465</v>
      </c>
      <c r="AC21" s="8">
        <v>638.4</v>
      </c>
      <c r="AD21" s="5">
        <v>74.3</v>
      </c>
      <c r="AE21" s="5">
        <v>75.3</v>
      </c>
      <c r="AF21" s="5">
        <v>75.2</v>
      </c>
      <c r="AG21" s="5">
        <v>75.099999999999994</v>
      </c>
      <c r="AH21" s="5">
        <v>67</v>
      </c>
      <c r="AI21" s="5">
        <v>435</v>
      </c>
      <c r="AJ21" s="5">
        <v>44</v>
      </c>
      <c r="AK21" s="2">
        <v>1187</v>
      </c>
      <c r="AL21" s="2">
        <v>63</v>
      </c>
      <c r="AM21" s="2">
        <v>110</v>
      </c>
      <c r="AN21" s="2">
        <v>625</v>
      </c>
      <c r="AO21" s="2">
        <v>470</v>
      </c>
      <c r="AP21" s="2">
        <v>507</v>
      </c>
    </row>
    <row r="22" spans="1:42" ht="22" x14ac:dyDescent="0.3">
      <c r="A22" s="2" t="s">
        <v>16</v>
      </c>
      <c r="B22" s="1" t="s">
        <v>91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9" t="s">
        <v>91</v>
      </c>
      <c r="K22" s="10">
        <v>608</v>
      </c>
      <c r="L22" s="10">
        <v>608</v>
      </c>
      <c r="M22" s="10">
        <v>617</v>
      </c>
      <c r="N22" s="10">
        <v>635</v>
      </c>
      <c r="O22" s="9" t="s">
        <v>91</v>
      </c>
      <c r="P22" s="10">
        <v>613</v>
      </c>
      <c r="Q22" s="10">
        <v>613</v>
      </c>
      <c r="R22" s="10">
        <v>622</v>
      </c>
      <c r="S22" s="10">
        <v>640</v>
      </c>
      <c r="T22" s="9" t="s">
        <v>91</v>
      </c>
      <c r="U22" s="10">
        <v>616</v>
      </c>
      <c r="V22" s="10">
        <v>616</v>
      </c>
      <c r="W22" s="2">
        <v>625</v>
      </c>
      <c r="X22" s="2">
        <v>643</v>
      </c>
      <c r="Y22" s="8"/>
      <c r="Z22" s="8" t="s">
        <v>100</v>
      </c>
      <c r="AA22" s="8" t="s">
        <v>97</v>
      </c>
      <c r="AB22" s="8">
        <v>510</v>
      </c>
      <c r="AC22" s="8">
        <v>668.6</v>
      </c>
      <c r="AD22" s="5">
        <v>74.3</v>
      </c>
      <c r="AE22" s="5">
        <v>75.2</v>
      </c>
      <c r="AF22" s="5">
        <v>75.099999999999994</v>
      </c>
      <c r="AG22" s="5">
        <v>75</v>
      </c>
      <c r="AH22" s="5">
        <v>67</v>
      </c>
      <c r="AI22" s="5">
        <v>435</v>
      </c>
      <c r="AJ22" s="5">
        <v>44</v>
      </c>
      <c r="AK22" s="2">
        <v>1220</v>
      </c>
      <c r="AL22" s="2">
        <v>63</v>
      </c>
      <c r="AM22" s="2">
        <v>130</v>
      </c>
      <c r="AN22" s="2">
        <v>643</v>
      </c>
      <c r="AO22" s="2">
        <v>495</v>
      </c>
      <c r="AP22" s="2">
        <v>507</v>
      </c>
    </row>
    <row r="23" spans="1:42" ht="22" x14ac:dyDescent="0.3">
      <c r="A23" s="2" t="s">
        <v>17</v>
      </c>
      <c r="B23" s="1" t="s">
        <v>92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9" t="s">
        <v>92</v>
      </c>
      <c r="K23" s="10">
        <v>436</v>
      </c>
      <c r="L23" s="10">
        <v>460</v>
      </c>
      <c r="M23" s="10">
        <v>480</v>
      </c>
      <c r="N23" s="10">
        <v>505</v>
      </c>
      <c r="O23" s="9" t="s">
        <v>92</v>
      </c>
      <c r="P23" s="10">
        <v>429</v>
      </c>
      <c r="Q23" s="10">
        <v>454</v>
      </c>
      <c r="R23" s="10">
        <v>474</v>
      </c>
      <c r="S23" s="10">
        <v>499</v>
      </c>
      <c r="T23" s="9" t="s">
        <v>92</v>
      </c>
      <c r="U23" s="10">
        <v>425</v>
      </c>
      <c r="V23" s="10">
        <v>450</v>
      </c>
      <c r="W23" s="2">
        <v>470</v>
      </c>
      <c r="X23" s="2">
        <v>495</v>
      </c>
      <c r="Y23" s="8"/>
      <c r="Z23" s="8"/>
      <c r="AA23" s="8"/>
      <c r="AB23" s="8"/>
      <c r="AC23" s="8"/>
      <c r="AD23" s="4"/>
      <c r="AE23" s="5"/>
      <c r="AF23" s="5"/>
      <c r="AG23" s="5"/>
      <c r="AH23" s="5"/>
      <c r="AI23" s="5"/>
      <c r="AJ23" s="5"/>
      <c r="AK23" s="5"/>
    </row>
    <row r="24" spans="1:42" ht="22" x14ac:dyDescent="0.3">
      <c r="A24" s="2" t="s">
        <v>12</v>
      </c>
      <c r="B24" s="1" t="s">
        <v>93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9" t="s">
        <v>93</v>
      </c>
      <c r="K24" s="10">
        <v>486</v>
      </c>
      <c r="L24" s="10">
        <v>486</v>
      </c>
      <c r="M24" s="10">
        <v>486</v>
      </c>
      <c r="N24" s="10">
        <v>486</v>
      </c>
      <c r="O24" s="9" t="s">
        <v>93</v>
      </c>
      <c r="P24" s="10">
        <v>499</v>
      </c>
      <c r="Q24" s="10">
        <v>499</v>
      </c>
      <c r="R24" s="10">
        <v>499</v>
      </c>
      <c r="S24" s="10">
        <v>499</v>
      </c>
      <c r="T24" s="9" t="s">
        <v>93</v>
      </c>
      <c r="U24" s="10">
        <v>507</v>
      </c>
      <c r="V24" s="10">
        <v>507</v>
      </c>
      <c r="W24" s="2">
        <v>507</v>
      </c>
      <c r="X24" s="2">
        <v>507</v>
      </c>
      <c r="Y24" s="8"/>
      <c r="Z24" s="8"/>
      <c r="AA24" s="8"/>
      <c r="AB24" s="8"/>
      <c r="AC24" s="8"/>
      <c r="AD24" s="4"/>
      <c r="AE24" s="5"/>
      <c r="AF24" s="5"/>
      <c r="AG24" s="5"/>
      <c r="AH24" s="5"/>
      <c r="AI24" s="5"/>
      <c r="AJ24" s="5"/>
      <c r="AK24" s="5"/>
    </row>
    <row r="25" spans="1:42" ht="22" x14ac:dyDescent="0.3">
      <c r="A25" s="2" t="s">
        <v>8</v>
      </c>
      <c r="B25" s="1" t="s">
        <v>124</v>
      </c>
      <c r="C25" s="2">
        <v>74.926842070000006</v>
      </c>
      <c r="D25" s="2">
        <v>74.935514670000003</v>
      </c>
      <c r="E25" s="2">
        <v>74.920334609999998</v>
      </c>
      <c r="F25" s="2">
        <v>74.891255409999999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4"/>
      <c r="AE25" s="5"/>
      <c r="AF25" s="5"/>
      <c r="AG25" s="5"/>
      <c r="AH25" s="5"/>
      <c r="AI25" s="5"/>
      <c r="AJ25" s="5"/>
      <c r="AK25" s="5"/>
    </row>
    <row r="26" spans="1:42" ht="22" x14ac:dyDescent="0.3">
      <c r="A26" s="2" t="s">
        <v>101</v>
      </c>
      <c r="B26" s="1"/>
      <c r="C26" s="2">
        <v>120</v>
      </c>
      <c r="D26" s="2">
        <v>120</v>
      </c>
      <c r="E26" s="2">
        <v>120</v>
      </c>
      <c r="F26" s="2">
        <v>120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4"/>
      <c r="AE26" s="5"/>
      <c r="AF26" s="5"/>
      <c r="AG26" s="5"/>
      <c r="AH26" s="5"/>
      <c r="AI26" s="5"/>
      <c r="AJ26" s="5"/>
      <c r="AK26" s="5"/>
    </row>
    <row r="27" spans="1:42" ht="22" x14ac:dyDescent="0.3">
      <c r="A27" s="2" t="s">
        <v>126</v>
      </c>
      <c r="B27" s="1"/>
      <c r="C27" s="2">
        <v>20</v>
      </c>
      <c r="D27" s="2">
        <v>20</v>
      </c>
      <c r="E27" s="2">
        <v>20</v>
      </c>
      <c r="F27" s="2">
        <v>20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4"/>
      <c r="AE27" s="5"/>
      <c r="AF27" s="5"/>
      <c r="AG27" s="5"/>
      <c r="AH27" s="5"/>
      <c r="AI27" s="5"/>
      <c r="AJ27" s="5"/>
      <c r="AK27" s="5"/>
    </row>
    <row r="28" spans="1:42" ht="22" x14ac:dyDescent="0.3">
      <c r="A28" s="2" t="s">
        <v>74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4"/>
      <c r="AE28" s="5"/>
      <c r="AF28" s="5"/>
      <c r="AG28" s="5"/>
      <c r="AH28" s="5"/>
      <c r="AI28" s="5"/>
      <c r="AJ28" s="5"/>
      <c r="AK28" s="5"/>
    </row>
    <row r="29" spans="1:42" ht="22" x14ac:dyDescent="0.3">
      <c r="A29" s="2" t="s">
        <v>18</v>
      </c>
      <c r="B29" s="7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4"/>
      <c r="AE29" s="5"/>
      <c r="AF29" s="5"/>
      <c r="AG29" s="5"/>
      <c r="AH29" s="5"/>
      <c r="AI29" s="5"/>
      <c r="AJ29" s="5"/>
      <c r="AK29" s="5"/>
    </row>
    <row r="30" spans="1:42" ht="22" x14ac:dyDescent="0.3">
      <c r="A30" s="2" t="s">
        <v>20</v>
      </c>
      <c r="B30" s="7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4"/>
      <c r="AE30" s="5"/>
      <c r="AF30" s="5"/>
      <c r="AG30" s="5"/>
      <c r="AH30" s="5"/>
      <c r="AI30" s="5"/>
      <c r="AJ30" s="5"/>
      <c r="AK30" s="5"/>
    </row>
    <row r="31" spans="1:42" ht="22" x14ac:dyDescent="0.3">
      <c r="A31" s="2" t="s">
        <v>21</v>
      </c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4"/>
      <c r="AE31" s="5"/>
      <c r="AF31" s="5"/>
      <c r="AG31" s="5"/>
      <c r="AH31" s="5"/>
      <c r="AI31" s="5"/>
      <c r="AJ31" s="5"/>
      <c r="AK31" s="5"/>
    </row>
    <row r="32" spans="1:42" x14ac:dyDescent="0.3">
      <c r="A32" s="2" t="s">
        <v>22</v>
      </c>
      <c r="F32" s="6"/>
    </row>
    <row r="33" spans="1:28" x14ac:dyDescent="0.3">
      <c r="A33" s="2" t="s">
        <v>23</v>
      </c>
      <c r="D33" s="2">
        <v>2220</v>
      </c>
      <c r="F33" s="6"/>
    </row>
    <row r="34" spans="1:28" x14ac:dyDescent="0.3">
      <c r="A34" s="2" t="s">
        <v>24</v>
      </c>
      <c r="B34" s="2" t="s">
        <v>24</v>
      </c>
      <c r="C34" s="2">
        <v>700</v>
      </c>
      <c r="D34" s="2">
        <v>700</v>
      </c>
      <c r="E34" s="2">
        <v>700</v>
      </c>
      <c r="F34" s="2">
        <v>700</v>
      </c>
    </row>
    <row r="35" spans="1:28" x14ac:dyDescent="0.3">
      <c r="A35" s="2" t="s">
        <v>25</v>
      </c>
      <c r="B35" s="2" t="s">
        <v>25</v>
      </c>
      <c r="C35" s="2">
        <f>2.4*25.4</f>
        <v>60.959999999999994</v>
      </c>
      <c r="D35" s="2">
        <f t="shared" ref="D35:F35" si="1">2.4*25.4</f>
        <v>60.959999999999994</v>
      </c>
      <c r="E35" s="2">
        <f t="shared" si="1"/>
        <v>60.959999999999994</v>
      </c>
      <c r="F35" s="2">
        <f t="shared" si="1"/>
        <v>60.959999999999994</v>
      </c>
    </row>
    <row r="36" spans="1:28" x14ac:dyDescent="0.3">
      <c r="A36" s="2" t="s">
        <v>26</v>
      </c>
      <c r="B36" s="2" t="s">
        <v>26</v>
      </c>
      <c r="C36" s="2">
        <f>2.6*25.4</f>
        <v>66.039999999999992</v>
      </c>
      <c r="D36" s="2">
        <f t="shared" ref="D36:F36" si="2">2.6*25.4</f>
        <v>66.039999999999992</v>
      </c>
      <c r="E36" s="2">
        <f t="shared" si="2"/>
        <v>66.039999999999992</v>
      </c>
      <c r="F36" s="2">
        <f t="shared" si="2"/>
        <v>66.039999999999992</v>
      </c>
    </row>
    <row r="37" spans="1:28" x14ac:dyDescent="0.3">
      <c r="A37" s="2" t="s">
        <v>27</v>
      </c>
      <c r="B37" s="2" t="s">
        <v>28</v>
      </c>
      <c r="C37" s="2">
        <v>160</v>
      </c>
      <c r="D37" s="2">
        <v>170</v>
      </c>
      <c r="E37" s="2">
        <v>178</v>
      </c>
      <c r="F37" s="2">
        <v>186</v>
      </c>
    </row>
    <row r="38" spans="1:28" x14ac:dyDescent="0.3">
      <c r="A38" s="2" t="s">
        <v>29</v>
      </c>
      <c r="B38" s="2" t="s">
        <v>30</v>
      </c>
      <c r="C38" s="2">
        <v>172</v>
      </c>
      <c r="D38" s="2">
        <v>180</v>
      </c>
      <c r="E38" s="2">
        <v>188</v>
      </c>
      <c r="F38" s="2">
        <v>195</v>
      </c>
    </row>
    <row r="39" spans="1:28" x14ac:dyDescent="0.3">
      <c r="AB39" s="1"/>
    </row>
    <row r="40" spans="1:28" x14ac:dyDescent="0.3">
      <c r="A40" s="2" t="s">
        <v>31</v>
      </c>
      <c r="B40" s="2" t="s">
        <v>32</v>
      </c>
    </row>
    <row r="41" spans="1:28" x14ac:dyDescent="0.3">
      <c r="A41" s="2" t="s">
        <v>68</v>
      </c>
      <c r="B41" s="2" t="s">
        <v>106</v>
      </c>
    </row>
    <row r="42" spans="1:28" x14ac:dyDescent="0.3">
      <c r="A42" s="2" t="s">
        <v>69</v>
      </c>
      <c r="B42" s="2" t="s">
        <v>107</v>
      </c>
    </row>
    <row r="43" spans="1:28" x14ac:dyDescent="0.3">
      <c r="A43" s="2" t="s">
        <v>70</v>
      </c>
      <c r="B43" s="2" t="s">
        <v>105</v>
      </c>
    </row>
    <row r="44" spans="1:28" x14ac:dyDescent="0.3">
      <c r="A44" s="2" t="s">
        <v>33</v>
      </c>
      <c r="B44" s="2" t="s">
        <v>75</v>
      </c>
    </row>
    <row r="45" spans="1:28" x14ac:dyDescent="0.3">
      <c r="A45" s="2" t="s">
        <v>34</v>
      </c>
      <c r="B45" s="2" t="s">
        <v>71</v>
      </c>
    </row>
    <row r="46" spans="1:28" x14ac:dyDescent="0.3">
      <c r="A46" s="2" t="s">
        <v>35</v>
      </c>
    </row>
    <row r="47" spans="1:28" x14ac:dyDescent="0.3">
      <c r="A47" s="2" t="s">
        <v>36</v>
      </c>
      <c r="B47" s="2">
        <v>2.6</v>
      </c>
    </row>
    <row r="48" spans="1:28" x14ac:dyDescent="0.3">
      <c r="A48" s="2" t="s">
        <v>37</v>
      </c>
    </row>
    <row r="49" spans="1:2" x14ac:dyDescent="0.3">
      <c r="A49" s="2" t="s">
        <v>38</v>
      </c>
      <c r="B49" s="2" t="s">
        <v>127</v>
      </c>
    </row>
    <row r="50" spans="1:2" x14ac:dyDescent="0.3">
      <c r="A50" s="2" t="s">
        <v>39</v>
      </c>
      <c r="B50" s="2">
        <v>120</v>
      </c>
    </row>
    <row r="51" spans="1:2" x14ac:dyDescent="0.3">
      <c r="A51" s="2" t="s">
        <v>40</v>
      </c>
    </row>
    <row r="52" spans="1:2" x14ac:dyDescent="0.3">
      <c r="A52" s="2" t="s">
        <v>41</v>
      </c>
    </row>
    <row r="53" spans="1:2" x14ac:dyDescent="0.3">
      <c r="A53" s="2" t="s">
        <v>42</v>
      </c>
      <c r="B53" s="2">
        <v>148</v>
      </c>
    </row>
    <row r="54" spans="1:2" x14ac:dyDescent="0.3">
      <c r="A54" s="2" t="s">
        <v>43</v>
      </c>
      <c r="B54" s="2">
        <v>110</v>
      </c>
    </row>
    <row r="55" spans="1:2" x14ac:dyDescent="0.3">
      <c r="A55" s="2" t="s">
        <v>117</v>
      </c>
    </row>
    <row r="56" spans="1:2" x14ac:dyDescent="0.3">
      <c r="A56" s="2" t="s">
        <v>118</v>
      </c>
    </row>
    <row r="57" spans="1:2" x14ac:dyDescent="0.3">
      <c r="A57" s="2" t="s">
        <v>119</v>
      </c>
    </row>
    <row r="58" spans="1:2" x14ac:dyDescent="0.3">
      <c r="A58" s="2" t="s">
        <v>120</v>
      </c>
    </row>
    <row r="59" spans="1:2" x14ac:dyDescent="0.3">
      <c r="A59" s="2" t="s">
        <v>121</v>
      </c>
    </row>
    <row r="60" spans="1:2" x14ac:dyDescent="0.3">
      <c r="A60" s="2" t="s">
        <v>122</v>
      </c>
    </row>
    <row r="61" spans="1:2" x14ac:dyDescent="0.3">
      <c r="A61" s="2" t="s">
        <v>44</v>
      </c>
      <c r="B61" s="2" t="s">
        <v>111</v>
      </c>
    </row>
    <row r="62" spans="1:2" x14ac:dyDescent="0.3">
      <c r="A62" s="2" t="s">
        <v>45</v>
      </c>
    </row>
    <row r="63" spans="1:2" x14ac:dyDescent="0.3">
      <c r="A63" s="2" t="s">
        <v>46</v>
      </c>
      <c r="B63" s="2">
        <v>30.9</v>
      </c>
    </row>
    <row r="64" spans="1:2" x14ac:dyDescent="0.3">
      <c r="A64" s="2" t="s">
        <v>47</v>
      </c>
      <c r="B64" s="2" t="s">
        <v>108</v>
      </c>
    </row>
    <row r="65" spans="1:2" x14ac:dyDescent="0.3">
      <c r="A65" s="2" t="s">
        <v>48</v>
      </c>
      <c r="B65" s="2">
        <v>38</v>
      </c>
    </row>
    <row r="66" spans="1:2" x14ac:dyDescent="0.3">
      <c r="A66" s="2" t="s">
        <v>49</v>
      </c>
    </row>
    <row r="67" spans="1:2" x14ac:dyDescent="0.3">
      <c r="A67" s="2" t="s">
        <v>50</v>
      </c>
    </row>
    <row r="68" spans="1:2" x14ac:dyDescent="0.3">
      <c r="A68" s="2" t="s">
        <v>51</v>
      </c>
      <c r="B68" s="2">
        <v>180</v>
      </c>
    </row>
    <row r="69" spans="1:2" x14ac:dyDescent="0.3">
      <c r="A69" s="2" t="s">
        <v>52</v>
      </c>
    </row>
    <row r="70" spans="1:2" x14ac:dyDescent="0.3">
      <c r="A70" s="2" t="s">
        <v>53</v>
      </c>
      <c r="B70" s="2" t="s">
        <v>76</v>
      </c>
    </row>
    <row r="71" spans="1:2" x14ac:dyDescent="0.3">
      <c r="A71" s="2" t="s">
        <v>54</v>
      </c>
      <c r="B71" s="2" t="s">
        <v>112</v>
      </c>
    </row>
    <row r="72" spans="1:2" x14ac:dyDescent="0.3">
      <c r="A72" s="2" t="s">
        <v>55</v>
      </c>
    </row>
    <row r="73" spans="1:2" x14ac:dyDescent="0.3">
      <c r="A73" s="2" t="s">
        <v>56</v>
      </c>
    </row>
    <row r="74" spans="1:2" x14ac:dyDescent="0.3">
      <c r="A74" s="2" t="s">
        <v>57</v>
      </c>
      <c r="B74" s="2">
        <v>2</v>
      </c>
    </row>
    <row r="75" spans="1:2" x14ac:dyDescent="0.3">
      <c r="A75" s="2" t="s">
        <v>58</v>
      </c>
      <c r="B75" s="2">
        <v>1</v>
      </c>
    </row>
    <row r="76" spans="1:2" x14ac:dyDescent="0.3">
      <c r="A76" s="2" t="s">
        <v>59</v>
      </c>
    </row>
    <row r="77" spans="1:2" x14ac:dyDescent="0.3">
      <c r="A77" s="2" t="s">
        <v>60</v>
      </c>
    </row>
    <row r="78" spans="1:2" x14ac:dyDescent="0.3">
      <c r="A78" s="2" t="s">
        <v>61</v>
      </c>
    </row>
    <row r="79" spans="1:2" x14ac:dyDescent="0.3">
      <c r="A79" s="2" t="s">
        <v>62</v>
      </c>
    </row>
    <row r="80" spans="1:2" x14ac:dyDescent="0.3">
      <c r="A80" s="2" t="s">
        <v>63</v>
      </c>
      <c r="B80" s="2" t="s">
        <v>71</v>
      </c>
    </row>
    <row r="81" spans="1:2" x14ac:dyDescent="0.3">
      <c r="A81" s="2" t="s">
        <v>64</v>
      </c>
      <c r="B81" s="2">
        <v>920</v>
      </c>
    </row>
    <row r="82" spans="1:2" x14ac:dyDescent="0.3">
      <c r="A82" s="2" t="s">
        <v>65</v>
      </c>
      <c r="B82" s="2">
        <v>2995</v>
      </c>
    </row>
    <row r="83" spans="1:2" x14ac:dyDescent="0.3">
      <c r="A83" s="2" t="s">
        <v>66</v>
      </c>
    </row>
    <row r="84" spans="1:2" x14ac:dyDescent="0.3">
      <c r="A84" s="2" t="s">
        <v>67</v>
      </c>
      <c r="B84" s="2" t="s">
        <v>114</v>
      </c>
    </row>
    <row r="85" spans="1:2" x14ac:dyDescent="0.3">
      <c r="A85" s="2" t="s">
        <v>115</v>
      </c>
      <c r="B85" s="2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2025-12-05T14:05:47Z</dcterms:modified>
</cp:coreProperties>
</file>