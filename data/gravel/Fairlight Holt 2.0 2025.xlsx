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2C7BB24C-3D3B-4645-AA5B-C55D55548430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1" l="1"/>
  <c r="E32" i="1"/>
  <c r="F32" i="1"/>
  <c r="D33" i="1"/>
  <c r="E33" i="1"/>
  <c r="F33" i="1"/>
  <c r="C32" i="1"/>
  <c r="C33" i="1"/>
</calcChain>
</file>

<file path=xl/sharedStrings.xml><?xml version="1.0" encoding="utf-8"?>
<sst xmlns="http://schemas.openxmlformats.org/spreadsheetml/2006/main" count="166" uniqueCount="124">
  <si>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</si>
  <si>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</si>
  <si>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</si>
  <si>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</si>
  <si>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</si>
  <si>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</si>
  <si>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</si>
  <si>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</si>
  <si>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seat_tube_angle</t>
  </si>
  <si>
    <t>seat_tube_length</t>
  </si>
  <si>
    <t>head_tube_length</t>
  </si>
  <si>
    <t>head_tube_angle</t>
  </si>
  <si>
    <t>axle_crown</t>
  </si>
  <si>
    <t>fork_offset_rake</t>
  </si>
  <si>
    <t>chainstay_length</t>
  </si>
  <si>
    <t>bottom_bracket_drop</t>
  </si>
  <si>
    <t>stack</t>
  </si>
  <si>
    <t>reach</t>
  </si>
  <si>
    <t>standover</t>
  </si>
  <si>
    <t>wheelbase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</si>
  <si>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</si>
  <si>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</si>
  <si>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</si>
  <si>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</si>
  <si>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</si>
  <si>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</si>
  <si>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</si>
  <si>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</si>
  <si>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 min</t>
  </si>
  <si>
    <t>rider_max</t>
  </si>
  <si>
    <t>rider 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</si>
  <si>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</si>
  <si>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</si>
  <si>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</si>
  <si>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</si>
  <si>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</si>
  <si>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</si>
  <si>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</si>
  <si>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</si>
  <si>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</si>
  <si>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</si>
  <si>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</si>
  <si>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</si>
  <si>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</si>
  <si>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</si>
  <si>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</si>
  <si>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</si>
  <si>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</si>
  <si>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</si>
  <si>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</si>
  <si>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</si>
  <si>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</si>
  <si>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</si>
  <si>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</si>
  <si>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</si>
  <si>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</si>
  <si>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</si>
  <si>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</si>
  <si>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</si>
  <si>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</si>
  <si>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</si>
  <si>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</si>
  <si>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</si>
  <si>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</si>
  <si>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</si>
  <si>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</si>
  <si>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</si>
  <si>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</si>
  <si>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</si>
  <si>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</si>
  <si>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</si>
  <si>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yes</t>
  </si>
  <si>
    <t>Size</t>
  </si>
  <si>
    <t>Fairlight</t>
  </si>
  <si>
    <t>front_center</t>
  </si>
  <si>
    <t>steel</t>
  </si>
  <si>
    <t>external</t>
  </si>
  <si>
    <t>https://fairlightcycles.com/holt-2-0/?v=0b3b97fa6688</t>
  </si>
  <si>
    <t>Fork Travel</t>
  </si>
  <si>
    <t>A Seat Tube (BB–top ST)</t>
  </si>
  <si>
    <t>B Effective Top Tube</t>
  </si>
  <si>
    <t>C Seat Tube Angle</t>
  </si>
  <si>
    <t>Effective STA – 700mm</t>
  </si>
  <si>
    <t>Effective STA – 800mm</t>
  </si>
  <si>
    <t>Effective STA – 900mm</t>
  </si>
  <si>
    <t>D Head Tube Angle</t>
  </si>
  <si>
    <t>E Chainstay</t>
  </si>
  <si>
    <t>F Fork Offset</t>
  </si>
  <si>
    <t>G Wheelbase</t>
  </si>
  <si>
    <t>H BB Drop</t>
  </si>
  <si>
    <t>I Head Tube Length</t>
  </si>
  <si>
    <t>J Stack</t>
  </si>
  <si>
    <t>K Reach</t>
  </si>
  <si>
    <t>Fork Length (Axle–Crown)</t>
  </si>
  <si>
    <t>Small</t>
  </si>
  <si>
    <t>100mm</t>
  </si>
  <si>
    <t>110mm</t>
  </si>
  <si>
    <t>120mm</t>
  </si>
  <si>
    <t>Medium</t>
  </si>
  <si>
    <t>Large</t>
  </si>
  <si>
    <t>XL</t>
  </si>
  <si>
    <t>fork_travel</t>
  </si>
  <si>
    <t>sta_700_saddle</t>
  </si>
  <si>
    <t>sta_800_saddle</t>
  </si>
  <si>
    <t>sta_900_saddle</t>
  </si>
  <si>
    <t>suspension</t>
  </si>
  <si>
    <t>hardtail</t>
  </si>
  <si>
    <t>flat bar</t>
  </si>
  <si>
    <t>no</t>
  </si>
  <si>
    <t>20% sag</t>
  </si>
  <si>
    <t>a8:f35</t>
  </si>
  <si>
    <t>Holt 2.0</t>
  </si>
  <si>
    <t>threaded 73</t>
  </si>
  <si>
    <t>internal</t>
  </si>
  <si>
    <t>https://media.fairlightcycles.com/wp-content/uploads/2025/08/2560-x-1152-Banner-Master-Holt-2.0-Violet.jpg</t>
  </si>
  <si>
    <t>GBP</t>
  </si>
  <si>
    <t>location</t>
  </si>
  <si>
    <t>London, United Kingdom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</si>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</sst>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4"/>
      <color rgb="FF000000"/>
      <name val="Futura"/>
    </font>
    <font>
      <b/>
      <sz val="14"/>
      <color rgb="FF000000"/>
      <name val="Futura Medium"/>
    </font>
    <font>
      <sz val="14"/>
      <color rgb="FF000000"/>
      <name val="Futura Medium"/>
    </font>
    <font>
      <b/>
      <sz val="10"/>
      <color rgb="FF000000"/>
      <name val="Futura Medium"/>
    </font>
    <font>
      <sz val="10"/>
      <color rgb="FF000000"/>
      <name val="Futura Medium"/>
    </font>
    <font>
      <sz val="16"/>
      <color rgb="FF191919"/>
      <name val="Arial"/>
      <family val="2"/>
    </font>
    <font>
      <sz val="16"/>
      <color rgb="FF191919"/>
      <name val="Arial"/>
      <family val="2"/>
    </font>
    <font>
      <sz val="14"/>
      <color rgb="FF000000"/>
      <name val="Futura"/>
      <family val="2"/>
    </font>
    <font>
      <b/>
      <sz val="14"/>
      <color rgb="FF000000"/>
      <name val="Futura"/>
      <family val="2"/>
    </font>
    <font>
      <sz val="14"/>
      <color rgb="FF191919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15" fontId="2" fillId="0" borderId="0" xfId="0" applyNumberFormat="1" applyFont="1"/>
    <xf numFmtId="0" fontId="3" fillId="0" borderId="0" xfId="0" applyFont="1"/>
    <xf numFmtId="0" fontId="4" fillId="0" borderId="0" xfId="0" applyFont="1"/>
    <xf numFmtId="1" fontId="2" fillId="0" borderId="0" xfId="0" applyNumberFormat="1" applyFont="1"/>
    <xf numFmtId="0" fontId="5" fillId="0" borderId="0" xfId="0" applyFont="1"/>
    <xf numFmtId="0" fontId="6" fillId="0" borderId="0" xfId="0" applyFont="1"/>
    <xf numFmtId="0" fontId="8" fillId="0" borderId="0" xfId="0" applyFont="1"/>
    <xf numFmtId="0" fontId="7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2"/>
  <sheetViews>
    <sheetView tabSelected="1" topLeftCell="A66" workbookViewId="0">
      <selection activeCell="B76" sqref="B76"/>
    </sheetView>
  </sheetViews>
  <sheetFormatPr baseColWidth="10" defaultRowHeight="20" x14ac:dyDescent="0.3"/>
  <cols>
    <col min="1" max="2" width="19.6640625" style="2" customWidth="1"/>
    <col min="3" max="5" width="10.77734375" style="2"/>
    <col min="6" max="6" width="11.44140625" style="2" bestFit="1" customWidth="1"/>
    <col min="7" max="16384" width="10.77734375" style="2"/>
  </cols>
  <sheetData>
    <row r="1" spans="1:26" x14ac:dyDescent="0.3">
      <c r="A1" s="2" t="s">
        <v>0</v>
      </c>
      <c r="B1" s="2" t="s">
        <v>73</v>
      </c>
    </row>
    <row r="2" spans="1:26" x14ac:dyDescent="0.3">
      <c r="A2" s="2" t="s">
        <v>1</v>
      </c>
      <c r="B2" s="2" t="s">
        <v>111</v>
      </c>
    </row>
    <row r="3" spans="1:26" x14ac:dyDescent="0.3">
      <c r="A3" s="2" t="s">
        <v>2</v>
      </c>
      <c r="B3" s="2">
        <v>2025</v>
      </c>
    </row>
    <row r="4" spans="1:26" x14ac:dyDescent="0.3">
      <c r="A4" s="2" t="s">
        <v>3</v>
      </c>
      <c r="B4" s="3">
        <v>45886</v>
      </c>
    </row>
    <row r="5" spans="1:26" x14ac:dyDescent="0.3">
      <c r="A5" s="2" t="s">
        <v>4</v>
      </c>
      <c r="B5" s="2" t="s">
        <v>77</v>
      </c>
    </row>
    <row r="6" spans="1:26" x14ac:dyDescent="0.3">
      <c r="B6" s="2" t="s">
        <v>114</v>
      </c>
    </row>
    <row r="7" spans="1:26" x14ac:dyDescent="0.3">
      <c r="A7" s="2" t="s">
        <v>5</v>
      </c>
      <c r="B7" s="2" t="s">
        <v>110</v>
      </c>
      <c r="C7" s="2" t="s">
        <v>109</v>
      </c>
    </row>
    <row r="8" spans="1:26" ht="22" x14ac:dyDescent="0.3">
      <c r="A8" s="2" t="s">
        <v>6</v>
      </c>
      <c r="B8" s="1" t="s">
        <v>72</v>
      </c>
      <c r="C8" s="2" t="s">
        <v>94</v>
      </c>
      <c r="D8" s="2" t="s">
        <v>98</v>
      </c>
      <c r="E8" s="11" t="s">
        <v>99</v>
      </c>
      <c r="F8" s="11" t="s">
        <v>100</v>
      </c>
      <c r="G8" s="7"/>
      <c r="H8" s="7"/>
      <c r="I8"/>
      <c r="J8" s="9" t="s">
        <v>72</v>
      </c>
      <c r="K8" s="9" t="s">
        <v>78</v>
      </c>
      <c r="L8" s="9" t="s">
        <v>79</v>
      </c>
      <c r="M8" s="9" t="s">
        <v>80</v>
      </c>
      <c r="N8" s="9" t="s">
        <v>81</v>
      </c>
      <c r="O8" s="9" t="s">
        <v>82</v>
      </c>
      <c r="P8" s="9" t="s">
        <v>83</v>
      </c>
      <c r="Q8" s="9" t="s">
        <v>84</v>
      </c>
      <c r="R8" s="9" t="s">
        <v>85</v>
      </c>
      <c r="S8" s="9" t="s">
        <v>86</v>
      </c>
      <c r="T8" s="9" t="s">
        <v>87</v>
      </c>
      <c r="U8" s="9" t="s">
        <v>88</v>
      </c>
      <c r="V8" s="9" t="s">
        <v>89</v>
      </c>
      <c r="W8" s="9" t="s">
        <v>90</v>
      </c>
      <c r="X8" s="9" t="s">
        <v>91</v>
      </c>
      <c r="Y8" s="9" t="s">
        <v>92</v>
      </c>
      <c r="Z8" s="9" t="s">
        <v>93</v>
      </c>
    </row>
    <row r="9" spans="1:26" ht="22" x14ac:dyDescent="0.3">
      <c r="A9" s="2" t="s">
        <v>101</v>
      </c>
      <c r="B9" s="1" t="s">
        <v>78</v>
      </c>
      <c r="C9" s="2">
        <v>120</v>
      </c>
      <c r="D9" s="2">
        <v>120</v>
      </c>
      <c r="E9" s="2">
        <v>120</v>
      </c>
      <c r="F9" s="2">
        <v>120</v>
      </c>
      <c r="G9" s="8"/>
      <c r="H9" s="8"/>
      <c r="I9" s="8"/>
      <c r="J9" s="10" t="s">
        <v>94</v>
      </c>
      <c r="K9" s="10" t="s">
        <v>95</v>
      </c>
      <c r="L9" s="10">
        <v>385</v>
      </c>
      <c r="M9" s="10">
        <v>588.1</v>
      </c>
      <c r="N9" s="10">
        <v>75.3</v>
      </c>
      <c r="O9" s="10">
        <v>76.2</v>
      </c>
      <c r="P9" s="10">
        <v>76.099999999999994</v>
      </c>
      <c r="Q9" s="10">
        <v>76</v>
      </c>
      <c r="R9" s="10">
        <v>68</v>
      </c>
      <c r="S9" s="10">
        <v>435</v>
      </c>
      <c r="T9" s="10">
        <v>44</v>
      </c>
      <c r="U9" s="10">
        <v>1130</v>
      </c>
      <c r="V9" s="10">
        <v>70</v>
      </c>
      <c r="W9" s="10">
        <v>100</v>
      </c>
      <c r="X9" s="10">
        <v>608</v>
      </c>
      <c r="Y9" s="10">
        <v>436</v>
      </c>
      <c r="Z9" s="10">
        <v>486</v>
      </c>
    </row>
    <row r="10" spans="1:26" ht="22" x14ac:dyDescent="0.3">
      <c r="A10" s="2" t="s">
        <v>9</v>
      </c>
      <c r="B10" s="1" t="s">
        <v>79</v>
      </c>
      <c r="C10" s="2">
        <v>385</v>
      </c>
      <c r="D10" s="2">
        <v>425</v>
      </c>
      <c r="E10" s="11">
        <v>465</v>
      </c>
      <c r="F10" s="11">
        <v>510</v>
      </c>
      <c r="G10" s="8"/>
      <c r="H10" s="8"/>
      <c r="I10" s="8"/>
      <c r="J10" s="10" t="s">
        <v>98</v>
      </c>
      <c r="K10" s="10" t="s">
        <v>95</v>
      </c>
      <c r="L10" s="10">
        <v>425</v>
      </c>
      <c r="M10" s="10">
        <v>613</v>
      </c>
      <c r="N10" s="10">
        <v>75.3</v>
      </c>
      <c r="O10" s="10">
        <v>76.2</v>
      </c>
      <c r="P10" s="10">
        <v>76.099999999999994</v>
      </c>
      <c r="Q10" s="10">
        <v>76</v>
      </c>
      <c r="R10" s="10">
        <v>68</v>
      </c>
      <c r="S10" s="10">
        <v>435</v>
      </c>
      <c r="T10" s="10">
        <v>44</v>
      </c>
      <c r="U10" s="10">
        <v>1155</v>
      </c>
      <c r="V10" s="10">
        <v>70</v>
      </c>
      <c r="W10" s="10">
        <v>100</v>
      </c>
      <c r="X10" s="10">
        <v>608</v>
      </c>
      <c r="Y10" s="10">
        <v>460</v>
      </c>
      <c r="Z10" s="10">
        <v>486</v>
      </c>
    </row>
    <row r="11" spans="1:26" ht="22" x14ac:dyDescent="0.3">
      <c r="A11" s="2" t="s">
        <v>7</v>
      </c>
      <c r="B11" s="1" t="s">
        <v>80</v>
      </c>
      <c r="C11" s="2">
        <v>590.9</v>
      </c>
      <c r="D11" s="2">
        <v>615.79999999999995</v>
      </c>
      <c r="E11" s="11">
        <v>638.4</v>
      </c>
      <c r="F11" s="11">
        <v>668.6</v>
      </c>
      <c r="G11" s="8"/>
      <c r="H11" s="8"/>
      <c r="I11" s="8"/>
      <c r="J11" s="10" t="s">
        <v>99</v>
      </c>
      <c r="K11" s="10" t="s">
        <v>95</v>
      </c>
      <c r="L11" s="10">
        <v>465</v>
      </c>
      <c r="M11" s="10">
        <v>635.6</v>
      </c>
      <c r="N11" s="10">
        <v>75.2</v>
      </c>
      <c r="O11" s="10">
        <v>76.2</v>
      </c>
      <c r="P11" s="10">
        <v>76.099999999999994</v>
      </c>
      <c r="Q11" s="10">
        <v>76</v>
      </c>
      <c r="R11" s="10">
        <v>67.900000000000006</v>
      </c>
      <c r="S11" s="10">
        <v>435</v>
      </c>
      <c r="T11" s="10">
        <v>44</v>
      </c>
      <c r="U11" s="10">
        <v>1179</v>
      </c>
      <c r="V11" s="10">
        <v>70</v>
      </c>
      <c r="W11" s="10">
        <v>110</v>
      </c>
      <c r="X11" s="10">
        <v>617</v>
      </c>
      <c r="Y11" s="10">
        <v>480</v>
      </c>
      <c r="Z11" s="10">
        <v>486</v>
      </c>
    </row>
    <row r="12" spans="1:26" ht="22" x14ac:dyDescent="0.3">
      <c r="A12" s="2" t="s">
        <v>8</v>
      </c>
      <c r="B12" s="1" t="s">
        <v>81</v>
      </c>
      <c r="C12" s="2">
        <v>74.3</v>
      </c>
      <c r="D12" s="2">
        <v>74.3</v>
      </c>
      <c r="E12" s="2">
        <v>74.3</v>
      </c>
      <c r="F12" s="2">
        <v>74.3</v>
      </c>
      <c r="G12" s="8"/>
      <c r="H12" s="8"/>
      <c r="I12" s="8"/>
      <c r="J12" s="10" t="s">
        <v>100</v>
      </c>
      <c r="K12" s="10" t="s">
        <v>95</v>
      </c>
      <c r="L12" s="10">
        <v>510</v>
      </c>
      <c r="M12" s="10">
        <v>665.7</v>
      </c>
      <c r="N12" s="10">
        <v>75.2</v>
      </c>
      <c r="O12" s="10">
        <v>76.099999999999994</v>
      </c>
      <c r="P12" s="10">
        <v>76</v>
      </c>
      <c r="Q12" s="10">
        <v>75.900000000000006</v>
      </c>
      <c r="R12" s="10">
        <v>67.900000000000006</v>
      </c>
      <c r="S12" s="10">
        <v>435</v>
      </c>
      <c r="T12" s="10">
        <v>44</v>
      </c>
      <c r="U12" s="10">
        <v>1212</v>
      </c>
      <c r="V12" s="10">
        <v>70</v>
      </c>
      <c r="W12" s="10">
        <v>130</v>
      </c>
      <c r="X12" s="10">
        <v>635</v>
      </c>
      <c r="Y12" s="10">
        <v>505</v>
      </c>
      <c r="Z12" s="10">
        <v>486</v>
      </c>
    </row>
    <row r="13" spans="1:26" ht="22" x14ac:dyDescent="0.3">
      <c r="A13" s="2" t="s">
        <v>102</v>
      </c>
      <c r="B13" s="1" t="s">
        <v>82</v>
      </c>
      <c r="C13" s="2">
        <v>75.3</v>
      </c>
      <c r="D13" s="2">
        <v>75.3</v>
      </c>
      <c r="E13" s="2">
        <v>75.3</v>
      </c>
      <c r="F13" s="2">
        <v>75.2</v>
      </c>
      <c r="G13" s="8"/>
      <c r="H13" s="8"/>
      <c r="I13" s="8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22" x14ac:dyDescent="0.3">
      <c r="A14" s="2" t="s">
        <v>103</v>
      </c>
      <c r="B14" s="1" t="s">
        <v>83</v>
      </c>
      <c r="C14" s="2">
        <v>75.2</v>
      </c>
      <c r="D14" s="2">
        <v>75.2</v>
      </c>
      <c r="E14" s="2">
        <v>75.2</v>
      </c>
      <c r="F14" s="2">
        <v>75.099999999999994</v>
      </c>
      <c r="G14" s="8"/>
      <c r="H14" s="8"/>
      <c r="I14" s="8"/>
      <c r="J14" s="10" t="s">
        <v>94</v>
      </c>
      <c r="K14" s="10" t="s">
        <v>96</v>
      </c>
      <c r="L14" s="10">
        <v>385</v>
      </c>
      <c r="M14" s="10">
        <v>589.79999999999995</v>
      </c>
      <c r="N14" s="10">
        <v>74.7</v>
      </c>
      <c r="O14" s="10">
        <v>75.599999999999994</v>
      </c>
      <c r="P14" s="10">
        <v>75.5</v>
      </c>
      <c r="Q14" s="10">
        <v>75.400000000000006</v>
      </c>
      <c r="R14" s="10">
        <v>67.400000000000006</v>
      </c>
      <c r="S14" s="10">
        <v>435</v>
      </c>
      <c r="T14" s="10">
        <v>44</v>
      </c>
      <c r="U14" s="10">
        <v>1135</v>
      </c>
      <c r="V14" s="10">
        <v>66</v>
      </c>
      <c r="W14" s="10">
        <v>100</v>
      </c>
      <c r="X14" s="10">
        <v>613</v>
      </c>
      <c r="Y14" s="10">
        <v>429</v>
      </c>
      <c r="Z14" s="10">
        <v>499</v>
      </c>
    </row>
    <row r="15" spans="1:26" ht="22" x14ac:dyDescent="0.3">
      <c r="A15" s="2" t="s">
        <v>104</v>
      </c>
      <c r="B15" s="1" t="s">
        <v>84</v>
      </c>
      <c r="C15" s="2">
        <v>75.099999999999994</v>
      </c>
      <c r="D15" s="2">
        <v>75.099999999999994</v>
      </c>
      <c r="E15" s="2">
        <v>75.099999999999994</v>
      </c>
      <c r="F15" s="2">
        <v>75</v>
      </c>
      <c r="G15" s="8"/>
      <c r="H15" s="8"/>
      <c r="I15" s="8"/>
      <c r="J15" s="10" t="s">
        <v>98</v>
      </c>
      <c r="K15" s="10" t="s">
        <v>96</v>
      </c>
      <c r="L15" s="10">
        <v>425</v>
      </c>
      <c r="M15" s="10">
        <v>614.70000000000005</v>
      </c>
      <c r="N15" s="10">
        <v>74.7</v>
      </c>
      <c r="O15" s="10">
        <v>75.599999999999994</v>
      </c>
      <c r="P15" s="10">
        <v>75.5</v>
      </c>
      <c r="Q15" s="10">
        <v>75.400000000000006</v>
      </c>
      <c r="R15" s="10">
        <v>67.400000000000006</v>
      </c>
      <c r="S15" s="10">
        <v>435</v>
      </c>
      <c r="T15" s="10">
        <v>44</v>
      </c>
      <c r="U15" s="10">
        <v>1160</v>
      </c>
      <c r="V15" s="10">
        <v>66</v>
      </c>
      <c r="W15" s="10">
        <v>100</v>
      </c>
      <c r="X15" s="10">
        <v>613</v>
      </c>
      <c r="Y15" s="10">
        <v>454</v>
      </c>
      <c r="Z15" s="10">
        <v>499</v>
      </c>
    </row>
    <row r="16" spans="1:26" ht="22" x14ac:dyDescent="0.3">
      <c r="A16" s="2" t="s">
        <v>11</v>
      </c>
      <c r="B16" s="1" t="s">
        <v>85</v>
      </c>
      <c r="C16" s="2">
        <v>67</v>
      </c>
      <c r="D16" s="2">
        <v>67</v>
      </c>
      <c r="E16" s="2">
        <v>67</v>
      </c>
      <c r="F16" s="2">
        <v>67</v>
      </c>
      <c r="G16" s="8"/>
      <c r="H16" s="8"/>
      <c r="I16" s="8"/>
      <c r="J16" s="10" t="s">
        <v>99</v>
      </c>
      <c r="K16" s="10" t="s">
        <v>96</v>
      </c>
      <c r="L16" s="10">
        <v>465</v>
      </c>
      <c r="M16" s="10">
        <v>637.29999999999995</v>
      </c>
      <c r="N16" s="10">
        <v>74.7</v>
      </c>
      <c r="O16" s="10">
        <v>75.599999999999994</v>
      </c>
      <c r="P16" s="10">
        <v>75.5</v>
      </c>
      <c r="Q16" s="10">
        <v>75.400000000000006</v>
      </c>
      <c r="R16" s="10">
        <v>67.400000000000006</v>
      </c>
      <c r="S16" s="10">
        <v>435</v>
      </c>
      <c r="T16" s="10">
        <v>44</v>
      </c>
      <c r="U16" s="10">
        <v>1184</v>
      </c>
      <c r="V16" s="10">
        <v>66</v>
      </c>
      <c r="W16" s="10">
        <v>110</v>
      </c>
      <c r="X16" s="10">
        <v>622</v>
      </c>
      <c r="Y16" s="10">
        <v>474</v>
      </c>
      <c r="Z16" s="10">
        <v>499</v>
      </c>
    </row>
    <row r="17" spans="1:26" ht="22" x14ac:dyDescent="0.3">
      <c r="A17" s="2" t="s">
        <v>14</v>
      </c>
      <c r="B17" s="1" t="s">
        <v>86</v>
      </c>
      <c r="C17" s="2">
        <v>435</v>
      </c>
      <c r="D17" s="2">
        <v>435</v>
      </c>
      <c r="E17" s="2">
        <v>435</v>
      </c>
      <c r="F17" s="2">
        <v>435</v>
      </c>
      <c r="G17" s="8"/>
      <c r="H17" s="8"/>
      <c r="I17" s="8"/>
      <c r="J17" s="10" t="s">
        <v>100</v>
      </c>
      <c r="K17" s="10" t="s">
        <v>96</v>
      </c>
      <c r="L17" s="10">
        <v>510</v>
      </c>
      <c r="M17" s="10">
        <v>667.5</v>
      </c>
      <c r="N17" s="10">
        <v>74.7</v>
      </c>
      <c r="O17" s="10">
        <v>75.599999999999994</v>
      </c>
      <c r="P17" s="10">
        <v>75.5</v>
      </c>
      <c r="Q17" s="10">
        <v>75.400000000000006</v>
      </c>
      <c r="R17" s="10">
        <v>67.400000000000006</v>
      </c>
      <c r="S17" s="10">
        <v>435</v>
      </c>
      <c r="T17" s="10">
        <v>44</v>
      </c>
      <c r="U17" s="10">
        <v>1216</v>
      </c>
      <c r="V17" s="10">
        <v>66</v>
      </c>
      <c r="W17" s="10">
        <v>130</v>
      </c>
      <c r="X17" s="10">
        <v>640</v>
      </c>
      <c r="Y17" s="10">
        <v>499</v>
      </c>
      <c r="Z17" s="10">
        <v>499</v>
      </c>
    </row>
    <row r="18" spans="1:26" ht="22" x14ac:dyDescent="0.3">
      <c r="A18" s="2" t="s">
        <v>13</v>
      </c>
      <c r="B18" s="1" t="s">
        <v>87</v>
      </c>
      <c r="C18" s="2">
        <v>44</v>
      </c>
      <c r="D18" s="2">
        <v>44</v>
      </c>
      <c r="E18" s="2">
        <v>44</v>
      </c>
      <c r="F18" s="2">
        <v>44</v>
      </c>
      <c r="G18" s="8"/>
      <c r="H18" s="8"/>
      <c r="I18" s="8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22" x14ac:dyDescent="0.3">
      <c r="A19" s="2" t="s">
        <v>19</v>
      </c>
      <c r="B19" s="1" t="s">
        <v>88</v>
      </c>
      <c r="C19" s="2">
        <v>1138</v>
      </c>
      <c r="D19" s="2">
        <v>1163</v>
      </c>
      <c r="E19" s="2">
        <v>1187</v>
      </c>
      <c r="F19" s="2">
        <v>1220</v>
      </c>
      <c r="G19" s="8"/>
      <c r="H19" s="8"/>
      <c r="I19" s="8"/>
      <c r="J19" s="10" t="s">
        <v>94</v>
      </c>
      <c r="K19" s="10" t="s">
        <v>97</v>
      </c>
      <c r="L19" s="10">
        <v>385</v>
      </c>
      <c r="M19" s="10">
        <v>590.9</v>
      </c>
      <c r="N19" s="10">
        <v>74.3</v>
      </c>
      <c r="O19" s="10">
        <v>75.3</v>
      </c>
      <c r="P19" s="10">
        <v>75.2</v>
      </c>
      <c r="Q19" s="10">
        <v>75.099999999999994</v>
      </c>
      <c r="R19" s="10">
        <v>67</v>
      </c>
      <c r="S19" s="10">
        <v>435</v>
      </c>
      <c r="T19" s="10">
        <v>44</v>
      </c>
      <c r="U19" s="10">
        <v>1138</v>
      </c>
      <c r="V19" s="10">
        <v>63</v>
      </c>
      <c r="W19" s="10">
        <v>100</v>
      </c>
      <c r="X19" s="10">
        <v>616</v>
      </c>
      <c r="Y19" s="10">
        <v>425</v>
      </c>
      <c r="Z19" s="10">
        <v>507</v>
      </c>
    </row>
    <row r="20" spans="1:26" ht="22" x14ac:dyDescent="0.3">
      <c r="A20" s="2" t="s">
        <v>15</v>
      </c>
      <c r="B20" s="1" t="s">
        <v>89</v>
      </c>
      <c r="C20" s="2">
        <v>63</v>
      </c>
      <c r="D20" s="2">
        <v>63</v>
      </c>
      <c r="E20" s="2">
        <v>63</v>
      </c>
      <c r="F20" s="2">
        <v>63</v>
      </c>
      <c r="G20" s="8"/>
      <c r="H20" s="8"/>
      <c r="I20" s="8"/>
      <c r="J20" s="10" t="s">
        <v>98</v>
      </c>
      <c r="K20" s="10" t="s">
        <v>97</v>
      </c>
      <c r="L20" s="10">
        <v>425</v>
      </c>
      <c r="M20" s="10">
        <v>615.79999999999995</v>
      </c>
      <c r="N20" s="10">
        <v>74.3</v>
      </c>
      <c r="O20" s="10">
        <v>75.3</v>
      </c>
      <c r="P20" s="10">
        <v>75.2</v>
      </c>
      <c r="Q20" s="10">
        <v>75.099999999999994</v>
      </c>
      <c r="R20" s="10">
        <v>67</v>
      </c>
      <c r="S20" s="10">
        <v>435</v>
      </c>
      <c r="T20" s="10">
        <v>44</v>
      </c>
      <c r="U20" s="10">
        <v>1163</v>
      </c>
      <c r="V20" s="10">
        <v>63</v>
      </c>
      <c r="W20" s="10">
        <v>100</v>
      </c>
      <c r="X20" s="10">
        <v>616</v>
      </c>
      <c r="Y20" s="10">
        <v>450</v>
      </c>
      <c r="Z20" s="10">
        <v>507</v>
      </c>
    </row>
    <row r="21" spans="1:26" ht="22" x14ac:dyDescent="0.3">
      <c r="A21" s="2" t="s">
        <v>10</v>
      </c>
      <c r="B21" s="1" t="s">
        <v>90</v>
      </c>
      <c r="C21" s="2">
        <v>100</v>
      </c>
      <c r="D21" s="2">
        <v>100</v>
      </c>
      <c r="E21" s="2">
        <v>110</v>
      </c>
      <c r="F21" s="2">
        <v>130</v>
      </c>
      <c r="G21" s="8"/>
      <c r="H21" s="8"/>
      <c r="I21" s="8"/>
      <c r="J21" s="8" t="s">
        <v>99</v>
      </c>
      <c r="K21" s="8" t="s">
        <v>97</v>
      </c>
      <c r="L21" s="8">
        <v>465</v>
      </c>
      <c r="M21" s="8">
        <v>638.4</v>
      </c>
      <c r="N21" s="5">
        <v>74.3</v>
      </c>
      <c r="O21" s="5">
        <v>75.3</v>
      </c>
      <c r="P21" s="5">
        <v>75.2</v>
      </c>
      <c r="Q21" s="5">
        <v>75.099999999999994</v>
      </c>
      <c r="R21" s="5">
        <v>67</v>
      </c>
      <c r="S21" s="5">
        <v>435</v>
      </c>
      <c r="T21" s="5">
        <v>44</v>
      </c>
      <c r="U21" s="2">
        <v>1187</v>
      </c>
      <c r="V21" s="2">
        <v>63</v>
      </c>
      <c r="W21" s="2">
        <v>110</v>
      </c>
      <c r="X21" s="2">
        <v>625</v>
      </c>
      <c r="Y21" s="2">
        <v>470</v>
      </c>
      <c r="Z21" s="2">
        <v>507</v>
      </c>
    </row>
    <row r="22" spans="1:26" ht="22" x14ac:dyDescent="0.3">
      <c r="A22" s="2" t="s">
        <v>16</v>
      </c>
      <c r="B22" s="1" t="s">
        <v>91</v>
      </c>
      <c r="C22" s="2">
        <v>616</v>
      </c>
      <c r="D22" s="2">
        <v>616</v>
      </c>
      <c r="E22" s="2">
        <v>625</v>
      </c>
      <c r="F22" s="2">
        <v>643</v>
      </c>
      <c r="G22" s="8"/>
      <c r="H22" s="8"/>
      <c r="I22" s="8"/>
      <c r="J22" s="8" t="s">
        <v>100</v>
      </c>
      <c r="K22" s="8" t="s">
        <v>97</v>
      </c>
      <c r="L22" s="8">
        <v>510</v>
      </c>
      <c r="M22" s="8">
        <v>668.6</v>
      </c>
      <c r="N22" s="5">
        <v>74.3</v>
      </c>
      <c r="O22" s="5">
        <v>75.2</v>
      </c>
      <c r="P22" s="5">
        <v>75.099999999999994</v>
      </c>
      <c r="Q22" s="5">
        <v>75</v>
      </c>
      <c r="R22" s="5">
        <v>67</v>
      </c>
      <c r="S22" s="5">
        <v>435</v>
      </c>
      <c r="T22" s="5">
        <v>44</v>
      </c>
      <c r="U22" s="2">
        <v>1220</v>
      </c>
      <c r="V22" s="2">
        <v>63</v>
      </c>
      <c r="W22" s="2">
        <v>130</v>
      </c>
      <c r="X22" s="2">
        <v>643</v>
      </c>
      <c r="Y22" s="2">
        <v>495</v>
      </c>
      <c r="Z22" s="2">
        <v>507</v>
      </c>
    </row>
    <row r="23" spans="1:26" ht="22" x14ac:dyDescent="0.3">
      <c r="A23" s="2" t="s">
        <v>17</v>
      </c>
      <c r="B23" s="1" t="s">
        <v>92</v>
      </c>
      <c r="C23" s="2">
        <v>425</v>
      </c>
      <c r="D23" s="2">
        <v>450</v>
      </c>
      <c r="E23" s="2">
        <v>470</v>
      </c>
      <c r="F23" s="2">
        <v>495</v>
      </c>
      <c r="G23" s="8"/>
      <c r="H23" s="8"/>
      <c r="I23" s="8"/>
      <c r="J23" s="8"/>
      <c r="K23" s="8"/>
      <c r="L23" s="8"/>
      <c r="M23" s="8"/>
      <c r="N23" s="4"/>
      <c r="O23" s="5"/>
      <c r="P23" s="5"/>
      <c r="Q23" s="5"/>
      <c r="R23" s="5"/>
      <c r="S23" s="5"/>
      <c r="T23" s="5"/>
      <c r="U23" s="5"/>
    </row>
    <row r="24" spans="1:26" ht="22" x14ac:dyDescent="0.3">
      <c r="A24" s="2" t="s">
        <v>12</v>
      </c>
      <c r="B24" s="1" t="s">
        <v>93</v>
      </c>
      <c r="C24" s="2">
        <v>507</v>
      </c>
      <c r="D24" s="2">
        <v>507</v>
      </c>
      <c r="E24" s="2">
        <v>507</v>
      </c>
      <c r="F24" s="2">
        <v>507</v>
      </c>
      <c r="G24" s="8"/>
      <c r="H24" s="8"/>
      <c r="I24" s="8"/>
      <c r="J24" s="8"/>
      <c r="K24" s="8"/>
      <c r="L24" s="8"/>
      <c r="M24" s="8"/>
      <c r="N24" s="4"/>
      <c r="O24" s="5"/>
      <c r="P24" s="5"/>
      <c r="Q24" s="5"/>
      <c r="R24" s="5"/>
      <c r="S24" s="5"/>
      <c r="T24" s="5"/>
      <c r="U24" s="5"/>
    </row>
    <row r="25" spans="1:26" ht="22" x14ac:dyDescent="0.3">
      <c r="A25" s="2" t="s">
        <v>74</v>
      </c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4"/>
      <c r="O25" s="5"/>
      <c r="P25" s="5"/>
      <c r="Q25" s="5"/>
      <c r="R25" s="5"/>
      <c r="S25" s="5"/>
      <c r="T25" s="5"/>
      <c r="U25" s="5"/>
    </row>
    <row r="26" spans="1:26" ht="22" x14ac:dyDescent="0.3">
      <c r="A26" s="2" t="s">
        <v>18</v>
      </c>
      <c r="B26" s="7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4"/>
      <c r="O26" s="5"/>
      <c r="P26" s="5"/>
      <c r="Q26" s="5"/>
      <c r="R26" s="5"/>
      <c r="S26" s="5"/>
      <c r="T26" s="5"/>
      <c r="U26" s="5"/>
    </row>
    <row r="27" spans="1:26" ht="22" x14ac:dyDescent="0.3">
      <c r="A27" s="2" t="s">
        <v>20</v>
      </c>
      <c r="B27" s="7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4"/>
      <c r="O27" s="5"/>
      <c r="P27" s="5"/>
      <c r="Q27" s="5"/>
      <c r="R27" s="5"/>
      <c r="S27" s="5"/>
      <c r="T27" s="5"/>
      <c r="U27" s="5"/>
    </row>
    <row r="28" spans="1:26" ht="22" x14ac:dyDescent="0.3">
      <c r="A28" s="2" t="s">
        <v>21</v>
      </c>
      <c r="B28" s="7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4"/>
      <c r="O28" s="5"/>
      <c r="P28" s="5"/>
      <c r="Q28" s="5"/>
      <c r="R28" s="5"/>
      <c r="S28" s="5"/>
      <c r="T28" s="5"/>
      <c r="U28" s="5"/>
    </row>
    <row r="29" spans="1:26" x14ac:dyDescent="0.3">
      <c r="A29" s="2" t="s">
        <v>22</v>
      </c>
      <c r="F29" s="6"/>
    </row>
    <row r="30" spans="1:26" x14ac:dyDescent="0.3">
      <c r="A30" s="2" t="s">
        <v>23</v>
      </c>
      <c r="D30" s="2">
        <v>2220</v>
      </c>
      <c r="F30" s="6"/>
    </row>
    <row r="31" spans="1:26" x14ac:dyDescent="0.3">
      <c r="A31" s="2" t="s">
        <v>24</v>
      </c>
      <c r="B31" s="2" t="s">
        <v>24</v>
      </c>
      <c r="C31" s="2">
        <v>700</v>
      </c>
      <c r="D31" s="2">
        <v>700</v>
      </c>
      <c r="E31" s="2">
        <v>700</v>
      </c>
      <c r="F31" s="2">
        <v>700</v>
      </c>
    </row>
    <row r="32" spans="1:26" x14ac:dyDescent="0.3">
      <c r="A32" s="2" t="s">
        <v>25</v>
      </c>
      <c r="B32" s="2" t="s">
        <v>25</v>
      </c>
      <c r="C32" s="2">
        <f>2.4*25.4</f>
        <v>60.959999999999994</v>
      </c>
      <c r="D32" s="2">
        <f t="shared" ref="D32:F32" si="0">2.4*25.4</f>
        <v>60.959999999999994</v>
      </c>
      <c r="E32" s="2">
        <f t="shared" si="0"/>
        <v>60.959999999999994</v>
      </c>
      <c r="F32" s="2">
        <f t="shared" si="0"/>
        <v>60.959999999999994</v>
      </c>
    </row>
    <row r="33" spans="1:12" x14ac:dyDescent="0.3">
      <c r="A33" s="2" t="s">
        <v>26</v>
      </c>
      <c r="B33" s="2" t="s">
        <v>26</v>
      </c>
      <c r="C33" s="2">
        <f>2.6*25.4</f>
        <v>66.039999999999992</v>
      </c>
      <c r="D33" s="2">
        <f t="shared" ref="D33:F33" si="1">2.6*25.4</f>
        <v>66.039999999999992</v>
      </c>
      <c r="E33" s="2">
        <f t="shared" si="1"/>
        <v>66.039999999999992</v>
      </c>
      <c r="F33" s="2">
        <f t="shared" si="1"/>
        <v>66.039999999999992</v>
      </c>
    </row>
    <row r="34" spans="1:12" x14ac:dyDescent="0.3">
      <c r="A34" s="2" t="s">
        <v>27</v>
      </c>
      <c r="B34" s="2" t="s">
        <v>28</v>
      </c>
      <c r="C34" s="2">
        <v>160</v>
      </c>
      <c r="D34" s="2">
        <v>170</v>
      </c>
      <c r="E34" s="2">
        <v>178</v>
      </c>
      <c r="F34" s="2">
        <v>186</v>
      </c>
    </row>
    <row r="35" spans="1:12" x14ac:dyDescent="0.3">
      <c r="A35" s="2" t="s">
        <v>29</v>
      </c>
      <c r="B35" s="2" t="s">
        <v>30</v>
      </c>
      <c r="C35" s="2">
        <v>172</v>
      </c>
      <c r="D35" s="2">
        <v>180</v>
      </c>
      <c r="E35" s="2">
        <v>188</v>
      </c>
      <c r="F35" s="2">
        <v>195</v>
      </c>
    </row>
    <row r="36" spans="1:12" x14ac:dyDescent="0.3">
      <c r="L36" s="1"/>
    </row>
    <row r="37" spans="1:12" x14ac:dyDescent="0.3">
      <c r="A37" s="2" t="s">
        <v>31</v>
      </c>
      <c r="B37" s="2" t="s">
        <v>32</v>
      </c>
    </row>
    <row r="38" spans="1:12" x14ac:dyDescent="0.3">
      <c r="A38" s="2" t="s">
        <v>68</v>
      </c>
      <c r="B38" s="2" t="s">
        <v>106</v>
      </c>
    </row>
    <row r="39" spans="1:12" x14ac:dyDescent="0.3">
      <c r="A39" s="2" t="s">
        <v>69</v>
      </c>
      <c r="B39" s="2" t="s">
        <v>107</v>
      </c>
    </row>
    <row r="40" spans="1:12" x14ac:dyDescent="0.3">
      <c r="A40" s="2" t="s">
        <v>70</v>
      </c>
      <c r="B40" s="2" t="s">
        <v>105</v>
      </c>
    </row>
    <row r="41" spans="1:12" x14ac:dyDescent="0.3">
      <c r="A41" s="2" t="s">
        <v>33</v>
      </c>
      <c r="B41" s="2" t="s">
        <v>75</v>
      </c>
    </row>
    <row r="42" spans="1:12" x14ac:dyDescent="0.3">
      <c r="A42" s="2" t="s">
        <v>34</v>
      </c>
      <c r="B42" s="2" t="s">
        <v>71</v>
      </c>
    </row>
    <row r="43" spans="1:12" x14ac:dyDescent="0.3">
      <c r="A43" s="2" t="s">
        <v>35</v>
      </c>
    </row>
    <row r="44" spans="1:12" x14ac:dyDescent="0.3">
      <c r="A44" s="2" t="s">
        <v>36</v>
      </c>
      <c r="B44" s="2">
        <v>2.6</v>
      </c>
    </row>
    <row r="45" spans="1:12" x14ac:dyDescent="0.3">
      <c r="A45" s="2" t="s">
        <v>37</v>
      </c>
    </row>
    <row r="46" spans="1:12" x14ac:dyDescent="0.3">
      <c r="A46" s="2" t="s">
        <v>38</v>
      </c>
      <c r="B46" s="2">
        <v>120</v>
      </c>
    </row>
    <row r="47" spans="1:12" x14ac:dyDescent="0.3">
      <c r="A47" s="2" t="s">
        <v>39</v>
      </c>
      <c r="B47" s="2">
        <v>120</v>
      </c>
    </row>
    <row r="48" spans="1:12" x14ac:dyDescent="0.3">
      <c r="A48" s="2" t="s">
        <v>40</v>
      </c>
    </row>
    <row r="49" spans="1:2" x14ac:dyDescent="0.3">
      <c r="A49" s="2" t="s">
        <v>41</v>
      </c>
    </row>
    <row r="50" spans="1:2" x14ac:dyDescent="0.3">
      <c r="A50" s="2" t="s">
        <v>42</v>
      </c>
      <c r="B50" s="2">
        <v>148</v>
      </c>
    </row>
    <row r="51" spans="1:2" x14ac:dyDescent="0.3">
      <c r="A51" s="2" t="s">
        <v>43</v>
      </c>
      <c r="B51" s="2">
        <v>110</v>
      </c>
    </row>
    <row r="52" spans="1:2" x14ac:dyDescent="0.3">
      <c r="A52" s="2" t="s">
        <v>118</v>
      </c>
    </row>
    <row r="53" spans="1:2" x14ac:dyDescent="0.3">
      <c r="A53" s="2" t="s">
        <v>119</v>
      </c>
    </row>
    <row r="54" spans="1:2" x14ac:dyDescent="0.3">
      <c r="A54" s="2" t="s">
        <v>120</v>
      </c>
    </row>
    <row r="55" spans="1:2" x14ac:dyDescent="0.3">
      <c r="A55" s="2" t="s">
        <v>121</v>
      </c>
    </row>
    <row r="56" spans="1:2" x14ac:dyDescent="0.3">
      <c r="A56" s="2" t="s">
        <v>122</v>
      </c>
    </row>
    <row r="57" spans="1:2" x14ac:dyDescent="0.3">
      <c r="A57" s="2" t="s">
        <v>123</v>
      </c>
    </row>
    <row r="58" spans="1:2" x14ac:dyDescent="0.3">
      <c r="A58" s="2" t="s">
        <v>44</v>
      </c>
      <c r="B58" s="2" t="s">
        <v>112</v>
      </c>
    </row>
    <row r="59" spans="1:2" x14ac:dyDescent="0.3">
      <c r="A59" s="2" t="s">
        <v>45</v>
      </c>
    </row>
    <row r="60" spans="1:2" x14ac:dyDescent="0.3">
      <c r="A60" s="2" t="s">
        <v>46</v>
      </c>
      <c r="B60" s="2">
        <v>30.9</v>
      </c>
    </row>
    <row r="61" spans="1:2" x14ac:dyDescent="0.3">
      <c r="A61" s="2" t="s">
        <v>47</v>
      </c>
      <c r="B61" s="2" t="s">
        <v>108</v>
      </c>
    </row>
    <row r="62" spans="1:2" x14ac:dyDescent="0.3">
      <c r="A62" s="2" t="s">
        <v>48</v>
      </c>
      <c r="B62" s="2">
        <v>38</v>
      </c>
    </row>
    <row r="63" spans="1:2" x14ac:dyDescent="0.3">
      <c r="A63" s="2" t="s">
        <v>49</v>
      </c>
    </row>
    <row r="64" spans="1:2" x14ac:dyDescent="0.3">
      <c r="A64" s="2" t="s">
        <v>50</v>
      </c>
    </row>
    <row r="65" spans="1:2" x14ac:dyDescent="0.3">
      <c r="A65" s="2" t="s">
        <v>51</v>
      </c>
      <c r="B65" s="2">
        <v>180</v>
      </c>
    </row>
    <row r="66" spans="1:2" x14ac:dyDescent="0.3">
      <c r="A66" s="2" t="s">
        <v>52</v>
      </c>
    </row>
    <row r="67" spans="1:2" x14ac:dyDescent="0.3">
      <c r="A67" s="2" t="s">
        <v>53</v>
      </c>
      <c r="B67" s="2" t="s">
        <v>76</v>
      </c>
    </row>
    <row r="68" spans="1:2" x14ac:dyDescent="0.3">
      <c r="A68" s="2" t="s">
        <v>54</v>
      </c>
      <c r="B68" s="2" t="s">
        <v>113</v>
      </c>
    </row>
    <row r="69" spans="1:2" x14ac:dyDescent="0.3">
      <c r="A69" s="2" t="s">
        <v>55</v>
      </c>
    </row>
    <row r="70" spans="1:2" x14ac:dyDescent="0.3">
      <c r="A70" s="2" t="s">
        <v>56</v>
      </c>
    </row>
    <row r="71" spans="1:2" x14ac:dyDescent="0.3">
      <c r="A71" s="2" t="s">
        <v>57</v>
      </c>
      <c r="B71" s="2">
        <v>2</v>
      </c>
    </row>
    <row r="72" spans="1:2" x14ac:dyDescent="0.3">
      <c r="A72" s="2" t="s">
        <v>58</v>
      </c>
      <c r="B72" s="2">
        <v>1</v>
      </c>
    </row>
    <row r="73" spans="1:2" x14ac:dyDescent="0.3">
      <c r="A73" s="2" t="s">
        <v>59</v>
      </c>
    </row>
    <row r="74" spans="1:2" x14ac:dyDescent="0.3">
      <c r="A74" s="2" t="s">
        <v>60</v>
      </c>
    </row>
    <row r="75" spans="1:2" x14ac:dyDescent="0.3">
      <c r="A75" s="2" t="s">
        <v>61</v>
      </c>
    </row>
    <row r="76" spans="1:2" x14ac:dyDescent="0.3">
      <c r="A76" s="2" t="s">
        <v>62</v>
      </c>
    </row>
    <row r="77" spans="1:2" x14ac:dyDescent="0.3">
      <c r="A77" s="2" t="s">
        <v>63</v>
      </c>
      <c r="B77" s="2" t="s">
        <v>71</v>
      </c>
    </row>
    <row r="78" spans="1:2" x14ac:dyDescent="0.3">
      <c r="A78" s="2" t="s">
        <v>64</v>
      </c>
      <c r="B78" s="2">
        <v>920</v>
      </c>
    </row>
    <row r="79" spans="1:2" x14ac:dyDescent="0.3">
      <c r="A79" s="2" t="s">
        <v>65</v>
      </c>
      <c r="B79" s="2">
        <v>2995</v>
      </c>
    </row>
    <row r="80" spans="1:2" x14ac:dyDescent="0.3">
      <c r="A80" s="2" t="s">
        <v>66</v>
      </c>
    </row>
    <row r="81" spans="1:2" x14ac:dyDescent="0.3">
      <c r="A81" s="2" t="s">
        <v>67</v>
      </c>
      <c r="B81" s="2" t="s">
        <v>115</v>
      </c>
    </row>
    <row r="82" spans="1:2" x14ac:dyDescent="0.3">
      <c r="A82" s="2" t="s">
        <v>116</v>
      </c>
      <c r="B82" s="2" t="s">
        <v>117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2025-11-07T14:42:34Z</dcterms:modified>
</cp:coreProperties>
</file>