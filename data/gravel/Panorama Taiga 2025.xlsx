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F014CCC-FF34-0E47-B1BB-CE7690A228B4}" xr6:coauthVersionLast="47" xr6:coauthVersionMax="47" xr10:uidLastSave="{00000000-0000-0000-0000-000000000000}"/>
  <bookViews>
    <workbookView xWindow="32880" yWindow="-18480" windowWidth="24880" windowHeight="17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<sst xmlns="http://schemas.openxmlformats.org/spreadsheetml/2006/main" count="108" uniqueCount="107">
  <si>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</si>
  <si>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</si>
  <si>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</si>
  <si>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</si>
  <si>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</si>
  <si>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</si>
  <si>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</si>
  <si>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</si>
  <si>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</si>
  <si>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</si>
  <si>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seat_tube_angle</t>
  </si>
  <si>
    <t>head_tube_angle</t>
  </si>
  <si>
    <t>head_tube_length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</si>
  <si>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</si>
  <si>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</si>
  <si>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</si>
  <si>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</si>
  <si>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</si>
  <si>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</si>
  <si>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</si>
  <si>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</si>
  <si>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front_center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</si>
  <si>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</si>
  <si>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</si>
  <si>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</si>
  <si>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</si>
  <si>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</si>
  <si>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</si>
  <si>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</si>
  <si>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</si>
  <si>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</si>
  <si>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</si>
  <si>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</si>
  <si>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</si>
  <si>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</si>
  <si>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</si>
  <si>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</si>
  <si>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</si>
  <si>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</si>
  <si>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</si>
  <si>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</si>
  <si>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</si>
  <si>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</si>
  <si>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</si>
  <si>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</si>
  <si>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</si>
  <si>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</si>
  <si>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</si>
  <si>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</si>
  <si>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</si>
  <si>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</si>
  <si>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</si>
  <si>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</si>
  <si>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</si>
  <si>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</si>
  <si>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</si>
  <si>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</si>
  <si>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</si>
  <si>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</si>
  <si>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</si>
  <si>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</si>
  <si>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</si>
  <si>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</si>
  <si>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</si>
  <si>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</si>
  <si>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</si>
  <si>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</si>
  <si>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</si>
  <si>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</si>
  <si>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</si>
  <si>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</si>
  <si>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</si>
  <si>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hardtail</t>
  </si>
  <si>
    <t>handlebar</t>
  </si>
  <si>
    <t>fork</t>
  </si>
  <si>
    <t>rigid</t>
  </si>
  <si>
    <t>Panorama</t>
  </si>
  <si>
    <t>SMALL</t>
  </si>
  <si>
    <t>MEDIUM</t>
  </si>
  <si>
    <t>LARGE</t>
  </si>
  <si>
    <t>STANDOVER HEIGHT</t>
  </si>
  <si>
    <t>HEAD TUBE ANGLE</t>
  </si>
  <si>
    <t>SEAT TUBE ANGLE</t>
  </si>
  <si>
    <t>STACK</t>
  </si>
  <si>
    <t>REACH</t>
  </si>
  <si>
    <t>HEAD TUBE LENGTH</t>
  </si>
  <si>
    <t>SEAT TUBE LENGTH</t>
  </si>
  <si>
    <t>HORIZONTAL TOP TUBE LENGTH</t>
  </si>
  <si>
    <t>CHAINSTAY LENGTH</t>
  </si>
  <si>
    <t>BB DROP</t>
  </si>
  <si>
    <t>FORK RAKE/OFFSET</t>
  </si>
  <si>
    <t>WHEELBASE</t>
  </si>
  <si>
    <t>TRAIL</t>
  </si>
  <si>
    <t>STEM LENGTH</t>
  </si>
  <si>
    <t>a8:e32</t>
  </si>
  <si>
    <t>Taiga</t>
  </si>
  <si>
    <t>https://www.panoramacycles.com/products/taiga</t>
  </si>
  <si>
    <t>APPROXIMATIVE CYCLIST HEIGHT</t>
  </si>
  <si>
    <t>5’1’’ – 5’6’’</t>
  </si>
  <si>
    <t>5’6’’ – 5’10’’</t>
  </si>
  <si>
    <t>5’10’’ – 6’2’’</t>
  </si>
  <si>
    <t>flat bar</t>
  </si>
  <si>
    <t>USD</t>
  </si>
  <si>
    <t>external</t>
  </si>
  <si>
    <t>internal</t>
  </si>
  <si>
    <t>threaded 73</t>
  </si>
  <si>
    <t>rigid carbon, 120 equiv at 20%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</si>
</sst>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1823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3" workbookViewId="0">
      <selection activeCell="B71" sqref="B71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s="1" t="s">
        <v>76</v>
      </c>
    </row>
    <row r="2" spans="1:5" x14ac:dyDescent="0.3">
      <c r="A2" t="s">
        <v>1</v>
      </c>
      <c r="B2" s="1" t="s">
        <v>95</v>
      </c>
    </row>
    <row r="3" spans="1:5" x14ac:dyDescent="0.3">
      <c r="A3" t="s">
        <v>2</v>
      </c>
      <c r="B3">
        <v>2025</v>
      </c>
    </row>
    <row r="4" spans="1:5" x14ac:dyDescent="0.3">
      <c r="A4" t="s">
        <v>3</v>
      </c>
      <c r="B4" s="2">
        <v>45928</v>
      </c>
    </row>
    <row r="5" spans="1:5" x14ac:dyDescent="0.3">
      <c r="A5" t="s">
        <v>4</v>
      </c>
      <c r="B5" t="s">
        <v>96</v>
      </c>
    </row>
    <row r="7" spans="1:5" x14ac:dyDescent="0.3">
      <c r="A7" t="s">
        <v>5</v>
      </c>
      <c r="B7" s="1" t="s">
        <v>94</v>
      </c>
    </row>
    <row r="8" spans="1:5" x14ac:dyDescent="0.3">
      <c r="A8" t="s">
        <v>6</v>
      </c>
      <c r="B8" s="1" t="s">
        <v>7</v>
      </c>
      <c r="C8" s="1" t="s">
        <v>77</v>
      </c>
      <c r="D8" s="1" t="s">
        <v>78</v>
      </c>
      <c r="E8" t="s">
        <v>79</v>
      </c>
    </row>
    <row r="9" spans="1:5" x14ac:dyDescent="0.3">
      <c r="A9" t="s">
        <v>18</v>
      </c>
      <c r="B9" t="s">
        <v>80</v>
      </c>
      <c r="C9">
        <v>680</v>
      </c>
      <c r="D9">
        <v>715</v>
      </c>
      <c r="E9">
        <v>750</v>
      </c>
    </row>
    <row r="10" spans="1:5" x14ac:dyDescent="0.3">
      <c r="A10" t="s">
        <v>11</v>
      </c>
      <c r="B10" t="s">
        <v>81</v>
      </c>
      <c r="C10">
        <v>67</v>
      </c>
      <c r="D10">
        <v>67</v>
      </c>
      <c r="E10">
        <v>67</v>
      </c>
    </row>
    <row r="11" spans="1:5" x14ac:dyDescent="0.3">
      <c r="A11" t="s">
        <v>10</v>
      </c>
      <c r="B11" t="s">
        <v>82</v>
      </c>
      <c r="C11">
        <v>75</v>
      </c>
      <c r="D11">
        <v>75</v>
      </c>
      <c r="E11">
        <v>75</v>
      </c>
    </row>
    <row r="12" spans="1:5" x14ac:dyDescent="0.3">
      <c r="A12" t="s">
        <v>20</v>
      </c>
      <c r="B12" t="s">
        <v>83</v>
      </c>
      <c r="C12">
        <v>602</v>
      </c>
      <c r="D12">
        <v>612</v>
      </c>
      <c r="E12">
        <v>621</v>
      </c>
    </row>
    <row r="13" spans="1:5" x14ac:dyDescent="0.3">
      <c r="A13" t="s">
        <v>19</v>
      </c>
      <c r="B13" t="s">
        <v>84</v>
      </c>
      <c r="C13">
        <v>430</v>
      </c>
      <c r="D13">
        <v>449</v>
      </c>
      <c r="E13">
        <v>476</v>
      </c>
    </row>
    <row r="14" spans="1:5" x14ac:dyDescent="0.3">
      <c r="A14" t="s">
        <v>12</v>
      </c>
      <c r="B14" t="s">
        <v>85</v>
      </c>
      <c r="C14">
        <v>100</v>
      </c>
      <c r="D14">
        <v>110</v>
      </c>
      <c r="E14">
        <v>120</v>
      </c>
    </row>
    <row r="15" spans="1:5" x14ac:dyDescent="0.3">
      <c r="A15" t="s">
        <v>8</v>
      </c>
      <c r="B15" t="s">
        <v>86</v>
      </c>
      <c r="C15">
        <v>390</v>
      </c>
      <c r="D15">
        <v>425</v>
      </c>
      <c r="E15">
        <v>460</v>
      </c>
    </row>
    <row r="16" spans="1:5" x14ac:dyDescent="0.3">
      <c r="A16" t="s">
        <v>9</v>
      </c>
      <c r="B16" t="s">
        <v>87</v>
      </c>
      <c r="C16">
        <v>591</v>
      </c>
      <c r="D16">
        <v>613</v>
      </c>
      <c r="E16">
        <v>642</v>
      </c>
    </row>
    <row r="17" spans="1:6" x14ac:dyDescent="0.3">
      <c r="A17" t="s">
        <v>14</v>
      </c>
      <c r="B17" t="s">
        <v>88</v>
      </c>
      <c r="C17">
        <v>437</v>
      </c>
      <c r="D17">
        <v>437</v>
      </c>
      <c r="E17">
        <v>437</v>
      </c>
    </row>
    <row r="18" spans="1:6" x14ac:dyDescent="0.3">
      <c r="A18" t="s">
        <v>13</v>
      </c>
      <c r="B18" t="s">
        <v>89</v>
      </c>
      <c r="C18">
        <v>65</v>
      </c>
      <c r="D18">
        <v>65</v>
      </c>
      <c r="E18">
        <v>65</v>
      </c>
    </row>
    <row r="19" spans="1:6" x14ac:dyDescent="0.3">
      <c r="A19" t="s">
        <v>15</v>
      </c>
      <c r="B19" t="s">
        <v>90</v>
      </c>
      <c r="C19">
        <v>51</v>
      </c>
      <c r="D19">
        <v>51</v>
      </c>
      <c r="E19">
        <v>51</v>
      </c>
    </row>
    <row r="20" spans="1:6" x14ac:dyDescent="0.3">
      <c r="A20" t="s">
        <v>17</v>
      </c>
      <c r="B20" t="s">
        <v>91</v>
      </c>
      <c r="C20">
        <v>1146</v>
      </c>
      <c r="D20">
        <v>1169</v>
      </c>
      <c r="E20">
        <v>1200</v>
      </c>
    </row>
    <row r="21" spans="1:6" x14ac:dyDescent="0.3">
      <c r="A21" t="s">
        <v>16</v>
      </c>
      <c r="B21" t="s">
        <v>92</v>
      </c>
      <c r="C21">
        <v>105</v>
      </c>
      <c r="D21">
        <v>105</v>
      </c>
      <c r="E21">
        <v>105</v>
      </c>
    </row>
    <row r="22" spans="1:6" x14ac:dyDescent="0.3">
      <c r="A22" t="s">
        <v>24</v>
      </c>
      <c r="B22" t="s">
        <v>93</v>
      </c>
      <c r="C22">
        <v>45</v>
      </c>
      <c r="D22">
        <v>45</v>
      </c>
      <c r="E22">
        <v>45</v>
      </c>
    </row>
    <row r="23" spans="1:6" x14ac:dyDescent="0.3">
      <c r="A23" t="s">
        <v>21</v>
      </c>
    </row>
    <row r="24" spans="1:6" ht="21" x14ac:dyDescent="0.3">
      <c r="A24" s="1" t="s">
        <v>69</v>
      </c>
      <c r="C24">
        <v>500</v>
      </c>
      <c r="D24">
        <v>500</v>
      </c>
      <c r="E24">
        <v>500</v>
      </c>
      <c r="F24" s="3" t="s">
        <v>106</v>
      </c>
    </row>
    <row r="25" spans="1:6" x14ac:dyDescent="0.3">
      <c r="A25" t="s">
        <v>22</v>
      </c>
    </row>
    <row r="26" spans="1:6" x14ac:dyDescent="0.3">
      <c r="A26" t="s">
        <v>23</v>
      </c>
    </row>
    <row r="27" spans="1:6" x14ac:dyDescent="0.3">
      <c r="A27" t="s">
        <v>25</v>
      </c>
    </row>
    <row r="28" spans="1:6" x14ac:dyDescent="0.3">
      <c r="A28" t="s">
        <v>26</v>
      </c>
      <c r="C28">
        <v>700</v>
      </c>
      <c r="D28">
        <v>700</v>
      </c>
      <c r="E28">
        <v>700</v>
      </c>
    </row>
    <row r="29" spans="1:6" x14ac:dyDescent="0.3">
      <c r="A29" t="s">
        <v>27</v>
      </c>
      <c r="C29">
        <v>2.6</v>
      </c>
      <c r="D29">
        <v>2.6</v>
      </c>
      <c r="E29">
        <v>2.6</v>
      </c>
    </row>
    <row r="30" spans="1:6" x14ac:dyDescent="0.3">
      <c r="A30" t="s">
        <v>28</v>
      </c>
      <c r="C30">
        <v>2.8</v>
      </c>
      <c r="D30">
        <v>2.8</v>
      </c>
      <c r="E30">
        <v>2.8</v>
      </c>
    </row>
    <row r="31" spans="1:6" x14ac:dyDescent="0.3">
      <c r="A31" t="s">
        <v>29</v>
      </c>
      <c r="C31" s="4">
        <f>C33*2.54</f>
        <v>154.94</v>
      </c>
      <c r="D31" s="4">
        <f t="shared" ref="D31:E32" si="0">D33*2.54</f>
        <v>167.64000000000001</v>
      </c>
      <c r="E31" s="4">
        <f t="shared" si="0"/>
        <v>177.8</v>
      </c>
    </row>
    <row r="32" spans="1:6" x14ac:dyDescent="0.3">
      <c r="A32" t="s">
        <v>30</v>
      </c>
      <c r="C32" s="4">
        <f>C34*2.54</f>
        <v>167.64000000000001</v>
      </c>
      <c r="D32" s="4">
        <f t="shared" si="0"/>
        <v>177.8</v>
      </c>
      <c r="E32" s="4">
        <f t="shared" si="0"/>
        <v>187.96</v>
      </c>
    </row>
    <row r="33" spans="1:6" x14ac:dyDescent="0.3">
      <c r="C33">
        <v>61</v>
      </c>
      <c r="D33">
        <v>66</v>
      </c>
      <c r="E33">
        <v>70</v>
      </c>
    </row>
    <row r="34" spans="1:6" x14ac:dyDescent="0.3">
      <c r="A34" t="s">
        <v>31</v>
      </c>
      <c r="B34" t="s">
        <v>32</v>
      </c>
      <c r="C34">
        <v>66</v>
      </c>
      <c r="D34">
        <v>70</v>
      </c>
      <c r="E34">
        <v>74</v>
      </c>
    </row>
    <row r="35" spans="1:6" x14ac:dyDescent="0.3">
      <c r="A35" t="s">
        <v>71</v>
      </c>
      <c r="B35" t="s">
        <v>72</v>
      </c>
      <c r="C35" t="s">
        <v>98</v>
      </c>
      <c r="D35" t="s">
        <v>99</v>
      </c>
      <c r="E35" t="s">
        <v>100</v>
      </c>
      <c r="F35" t="s">
        <v>97</v>
      </c>
    </row>
    <row r="36" spans="1:6" x14ac:dyDescent="0.3">
      <c r="A36" t="s">
        <v>73</v>
      </c>
      <c r="B36" s="1" t="s">
        <v>101</v>
      </c>
    </row>
    <row r="37" spans="1:6" x14ac:dyDescent="0.3">
      <c r="A37" t="s">
        <v>74</v>
      </c>
      <c r="B37" s="1" t="s">
        <v>75</v>
      </c>
    </row>
    <row r="38" spans="1:6" x14ac:dyDescent="0.3">
      <c r="A38" t="s">
        <v>33</v>
      </c>
      <c r="B38" t="s">
        <v>34</v>
      </c>
    </row>
    <row r="39" spans="1:6" x14ac:dyDescent="0.3">
      <c r="A39" t="s">
        <v>35</v>
      </c>
      <c r="B39" s="1" t="s">
        <v>70</v>
      </c>
    </row>
    <row r="40" spans="1:6" x14ac:dyDescent="0.3">
      <c r="A40" t="s">
        <v>36</v>
      </c>
      <c r="B40">
        <v>20</v>
      </c>
    </row>
    <row r="41" spans="1:6" x14ac:dyDescent="0.3">
      <c r="A41" t="s">
        <v>37</v>
      </c>
      <c r="B41">
        <v>2.8</v>
      </c>
    </row>
    <row r="42" spans="1:6" x14ac:dyDescent="0.3">
      <c r="A42" t="s">
        <v>38</v>
      </c>
      <c r="B42" s="1">
        <v>3</v>
      </c>
    </row>
    <row r="43" spans="1:6" x14ac:dyDescent="0.3">
      <c r="A43" t="s">
        <v>39</v>
      </c>
      <c r="B43">
        <v>120</v>
      </c>
    </row>
    <row r="44" spans="1:6" x14ac:dyDescent="0.3">
      <c r="A44" t="s">
        <v>40</v>
      </c>
    </row>
    <row r="45" spans="1:6" x14ac:dyDescent="0.3">
      <c r="A45" t="s">
        <v>41</v>
      </c>
    </row>
    <row r="46" spans="1:6" x14ac:dyDescent="0.3">
      <c r="A46" t="s">
        <v>42</v>
      </c>
    </row>
    <row r="47" spans="1:6" x14ac:dyDescent="0.3">
      <c r="A47" t="s">
        <v>43</v>
      </c>
      <c r="B47">
        <v>148</v>
      </c>
    </row>
    <row r="48" spans="1:6" x14ac:dyDescent="0.3">
      <c r="A48" t="s">
        <v>44</v>
      </c>
      <c r="B48">
        <v>110</v>
      </c>
    </row>
    <row r="49" spans="1:2" x14ac:dyDescent="0.3">
      <c r="A49" t="s">
        <v>45</v>
      </c>
      <c r="B49" s="1" t="s">
        <v>105</v>
      </c>
    </row>
    <row r="50" spans="1:2" x14ac:dyDescent="0.3">
      <c r="A50" t="s">
        <v>46</v>
      </c>
    </row>
    <row r="51" spans="1:2" x14ac:dyDescent="0.3">
      <c r="A51" t="s">
        <v>47</v>
      </c>
      <c r="B51">
        <v>31.6</v>
      </c>
    </row>
    <row r="52" spans="1:2" x14ac:dyDescent="0.3">
      <c r="A52" t="s">
        <v>48</v>
      </c>
      <c r="B52" s="1"/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103</v>
      </c>
    </row>
    <row r="59" spans="1:2" x14ac:dyDescent="0.3">
      <c r="A59" t="s">
        <v>55</v>
      </c>
      <c r="B59" s="1" t="s">
        <v>104</v>
      </c>
    </row>
    <row r="60" spans="1:2" x14ac:dyDescent="0.3">
      <c r="A60" t="s">
        <v>56</v>
      </c>
      <c r="B60" s="1"/>
    </row>
    <row r="61" spans="1:2" x14ac:dyDescent="0.3">
      <c r="A61" t="s">
        <v>57</v>
      </c>
    </row>
    <row r="62" spans="1:2" x14ac:dyDescent="0.3">
      <c r="A62" t="s">
        <v>58</v>
      </c>
      <c r="B62" s="1">
        <v>1</v>
      </c>
    </row>
    <row r="63" spans="1:2" x14ac:dyDescent="0.3">
      <c r="A63" t="s">
        <v>59</v>
      </c>
      <c r="B63" s="1">
        <v>1</v>
      </c>
    </row>
    <row r="64" spans="1:2" x14ac:dyDescent="0.3">
      <c r="A64" t="s">
        <v>60</v>
      </c>
      <c r="B64" s="1">
        <v>1</v>
      </c>
    </row>
    <row r="65" spans="1:2" x14ac:dyDescent="0.3">
      <c r="A65" t="s">
        <v>61</v>
      </c>
      <c r="B65" s="1">
        <v>3</v>
      </c>
    </row>
    <row r="66" spans="1:2" x14ac:dyDescent="0.3">
      <c r="A66" t="s">
        <v>62</v>
      </c>
      <c r="B66" s="1"/>
    </row>
    <row r="67" spans="1:2" x14ac:dyDescent="0.3">
      <c r="A67" t="s">
        <v>63</v>
      </c>
      <c r="B67" s="1"/>
    </row>
    <row r="68" spans="1:2" x14ac:dyDescent="0.3">
      <c r="A68" t="s">
        <v>64</v>
      </c>
      <c r="B68" s="1" t="s">
        <v>70</v>
      </c>
    </row>
    <row r="69" spans="1:2" x14ac:dyDescent="0.3">
      <c r="A69" t="s">
        <v>65</v>
      </c>
      <c r="B69">
        <f>949+434</f>
        <v>1383</v>
      </c>
    </row>
    <row r="70" spans="1:2" x14ac:dyDescent="0.3">
      <c r="A70" t="s">
        <v>66</v>
      </c>
      <c r="B70">
        <v>2599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2025-09-28T11:26:22Z</dcterms:modified>
</cp:coreProperties>
</file>