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walker/Documents/Github/Bike Geometry Project/data/gravel/"/>
    </mc:Choice>
  </mc:AlternateContent>
  <xr:revisionPtr revIDLastSave="0" documentId="13_ncr:1_{3D893CC8-CFFC-A24E-88EA-98678C626FC6}" xr6:coauthVersionLast="47" xr6:coauthVersionMax="47" xr10:uidLastSave="{00000000-0000-0000-0000-000000000000}"/>
  <bookViews>
    <workbookView xWindow="2040" yWindow="1140" windowWidth="26760" windowHeight="168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 l="1"/>
  <c r="H31" i="1"/>
  <c r="E13" i="1"/>
  <c r="F13" i="1"/>
  <c r="G13" i="1"/>
  <c r="H13" i="1"/>
  <c r="D13" i="1"/>
  <c r="F15" i="1"/>
  <c r="E15" i="1"/>
  <c r="D9" i="1"/>
  <c r="E9" i="1"/>
  <c r="F9" i="1"/>
  <c r="G9" i="1"/>
  <c r="H9" i="1"/>
  <c r="D10" i="1"/>
  <c r="E10" i="1"/>
  <c r="F10" i="1"/>
  <c r="G10" i="1"/>
  <c r="H10" i="1"/>
  <c r="D11" i="1"/>
  <c r="E11" i="1"/>
  <c r="F11" i="1"/>
  <c r="G11" i="1"/>
  <c r="H11" i="1"/>
  <c r="D12" i="1"/>
  <c r="E12" i="1"/>
  <c r="F12" i="1"/>
  <c r="G12" i="1"/>
  <c r="H12" i="1"/>
  <c r="D14" i="1"/>
  <c r="E14" i="1"/>
  <c r="F14" i="1"/>
  <c r="G14" i="1"/>
  <c r="H14" i="1"/>
  <c r="D15" i="1"/>
  <c r="G15" i="1"/>
  <c r="H15" i="1"/>
  <c r="D16" i="1"/>
  <c r="E16" i="1"/>
  <c r="F16" i="1"/>
  <c r="G16" i="1"/>
  <c r="H16" i="1"/>
  <c r="D17" i="1"/>
  <c r="E17" i="1"/>
  <c r="F17" i="1"/>
  <c r="G17" i="1"/>
  <c r="H17" i="1"/>
  <c r="D18" i="1"/>
  <c r="E18" i="1"/>
  <c r="F18" i="1"/>
  <c r="G18" i="1"/>
  <c r="H18" i="1"/>
  <c r="D19" i="1"/>
  <c r="E19" i="1"/>
  <c r="F19" i="1"/>
  <c r="G19" i="1"/>
  <c r="H19" i="1"/>
  <c r="C19" i="1"/>
  <c r="C18" i="1"/>
  <c r="C17" i="1"/>
  <c r="C16" i="1"/>
  <c r="C15" i="1"/>
  <c r="C14" i="1"/>
  <c r="C13" i="1"/>
  <c r="C12" i="1"/>
  <c r="C10" i="1"/>
  <c r="C11" i="1"/>
  <c r="C9" i="1"/>
  <c r="G30" i="1"/>
  <c r="G31" i="1"/>
  <c r="C31" i="1"/>
  <c r="D31" i="1"/>
  <c r="E31" i="1"/>
  <c r="F31" i="1"/>
  <c r="C30" i="1"/>
  <c r="D30" i="1"/>
  <c r="E30" i="1"/>
  <c r="F30" i="1"/>
</calcChain>
</file>

<file path=xl/sharedStrings.xml><?xml version="1.0" encoding="utf-8"?>
<sst xmlns="http://schemas.openxmlformats.org/spreadsheetml/2006/main" count="1032" uniqueCount="292">
  <si>
    <t>brand</t>
  </si>
  <si>
    <t>model</t>
  </si>
  <si>
    <t>model_year</t>
  </si>
  <si>
    <t>input_date</t>
  </si>
  <si>
    <t>url</t>
  </si>
  <si>
    <t>data_range</t>
  </si>
  <si>
    <t>frame_size</t>
  </si>
  <si>
    <t>seat_tube_length</t>
  </si>
  <si>
    <t>top_tube_effective_length</t>
  </si>
  <si>
    <t>head_tube_length</t>
  </si>
  <si>
    <t>seat_tube_angle</t>
  </si>
  <si>
    <t>head_tube_angle</t>
  </si>
  <si>
    <t>chainstay_length</t>
  </si>
  <si>
    <t>bottom_bracket_drop</t>
  </si>
  <si>
    <t>wheelbase</t>
  </si>
  <si>
    <t>standover</t>
  </si>
  <si>
    <t>stack</t>
  </si>
  <si>
    <t>reach</t>
  </si>
  <si>
    <t>fork_offset_rake</t>
  </si>
  <si>
    <t>crank_length</t>
  </si>
  <si>
    <t>handlebar_width</t>
  </si>
  <si>
    <t>stem_length</t>
  </si>
  <si>
    <t>axle_crown</t>
  </si>
  <si>
    <t>frame_weight</t>
  </si>
  <si>
    <t>wheel_size</t>
  </si>
  <si>
    <t>tire_width_spec</t>
  </si>
  <si>
    <t>tire_width_max</t>
  </si>
  <si>
    <t>rider_min</t>
  </si>
  <si>
    <t>rider_max</t>
  </si>
  <si>
    <t>spec_list</t>
  </si>
  <si>
    <t>value</t>
  </si>
  <si>
    <t>material</t>
  </si>
  <si>
    <t>udh</t>
  </si>
  <si>
    <t>dropout</t>
  </si>
  <si>
    <t>tire_width_max_700c</t>
  </si>
  <si>
    <t>tire_width_max_650b</t>
  </si>
  <si>
    <t>suspension_corrected</t>
  </si>
  <si>
    <t>fork_suspension</t>
  </si>
  <si>
    <t>stem_suspension</t>
  </si>
  <si>
    <t>rear_suspension</t>
  </si>
  <si>
    <t>rear_axle</t>
  </si>
  <si>
    <t>front_axle</t>
  </si>
  <si>
    <t>bottom_bracket</t>
  </si>
  <si>
    <t>q_factor</t>
  </si>
  <si>
    <t>seatpost_diameter</t>
  </si>
  <si>
    <t>front_derailleur</t>
  </si>
  <si>
    <t>max_chainring_1x</t>
  </si>
  <si>
    <t>max_chainring_2x</t>
  </si>
  <si>
    <t>rotor_max_front</t>
  </si>
  <si>
    <t>rotor_max_rear</t>
  </si>
  <si>
    <t>iso_astm</t>
  </si>
  <si>
    <t>routing_shifter</t>
  </si>
  <si>
    <t>routing_dropper</t>
  </si>
  <si>
    <t>routing_dynamo</t>
  </si>
  <si>
    <t>internal_storage</t>
  </si>
  <si>
    <t>mounts_inner</t>
  </si>
  <si>
    <t>mounts_under</t>
  </si>
  <si>
    <t>mounts_top</t>
  </si>
  <si>
    <t>mounts_fork</t>
  </si>
  <si>
    <t>mounts_fender</t>
  </si>
  <si>
    <t>mounts_rack_front</t>
  </si>
  <si>
    <t>mounts_rack_rear</t>
  </si>
  <si>
    <t>frameset</t>
  </si>
  <si>
    <t>base_build</t>
  </si>
  <si>
    <t>custom_builds</t>
  </si>
  <si>
    <t>currency</t>
  </si>
  <si>
    <t>class</t>
  </si>
  <si>
    <t>gravel</t>
  </si>
  <si>
    <t>handlebar</t>
  </si>
  <si>
    <t>fork</t>
  </si>
  <si>
    <t>rigid</t>
  </si>
  <si>
    <t>yes</t>
  </si>
  <si>
    <t>trail</t>
  </si>
  <si>
    <t>internal</t>
  </si>
  <si>
    <t>drop bar</t>
  </si>
  <si>
    <t>BB DROP</t>
  </si>
  <si>
    <t>REACH</t>
  </si>
  <si>
    <t>SEAT TUBE</t>
  </si>
  <si>
    <t>STACK</t>
  </si>
  <si>
    <t>WHEELBASE</t>
  </si>
  <si>
    <t>a8:g31</t>
  </si>
  <si>
    <t>Jamis</t>
  </si>
  <si>
    <t>MODEL</t>
  </si>
  <si>
    <t>SIZE</t>
  </si>
  <si>
    <t>TT EFFECTIVE</t>
  </si>
  <si>
    <t>HT ANGLE</t>
  </si>
  <si>
    <t>ST ANGLE</t>
  </si>
  <si>
    <t>CHAINSTAY</t>
  </si>
  <si>
    <t>FORK RAKE</t>
  </si>
  <si>
    <t>HEADTUBE</t>
  </si>
  <si>
    <t>STANDOVER</t>
  </si>
  <si>
    <t>Renegade S-Series</t>
  </si>
  <si>
    <t>18.90/480</t>
  </si>
  <si>
    <t>21.54/547</t>
  </si>
  <si>
    <t>71°</t>
  </si>
  <si>
    <t>72°</t>
  </si>
  <si>
    <t>17.13/435</t>
  </si>
  <si>
    <t>39.76/1010</t>
  </si>
  <si>
    <t>50/55</t>
  </si>
  <si>
    <t>3.15/80</t>
  </si>
  <si>
    <t>3.90/99</t>
  </si>
  <si>
    <t>29.69/754</t>
  </si>
  <si>
    <t>21.46/545</t>
  </si>
  <si>
    <t>14.57/370</t>
  </si>
  <si>
    <t>20.08/510</t>
  </si>
  <si>
    <t>22.32/567</t>
  </si>
  <si>
    <t>40.55/1030</t>
  </si>
  <si>
    <t>5.12/130</t>
  </si>
  <si>
    <t>30.83/783</t>
  </si>
  <si>
    <t>22.64/575</t>
  </si>
  <si>
    <t>14.96/380</t>
  </si>
  <si>
    <t>20.87/530</t>
  </si>
  <si>
    <t>23.11/587</t>
  </si>
  <si>
    <t>41.34/1051.2</t>
  </si>
  <si>
    <t>6.38/162</t>
  </si>
  <si>
    <t>31.81/807.9</t>
  </si>
  <si>
    <t>23.82/605</t>
  </si>
  <si>
    <t>15.35/390</t>
  </si>
  <si>
    <t>21.65/550</t>
  </si>
  <si>
    <t>23.78/604</t>
  </si>
  <si>
    <t>42.13/1070</t>
  </si>
  <si>
    <t>7.44/189</t>
  </si>
  <si>
    <t>32.68/830</t>
  </si>
  <si>
    <t>24.80/630</t>
  </si>
  <si>
    <t>15.75/400</t>
  </si>
  <si>
    <t>22.44/570</t>
  </si>
  <si>
    <t>24.45/621</t>
  </si>
  <si>
    <t>42.72/1085</t>
  </si>
  <si>
    <t>8.27/210</t>
  </si>
  <si>
    <t>33.44/849.5</t>
  </si>
  <si>
    <t>25.59/650</t>
  </si>
  <si>
    <t>16.14/410</t>
  </si>
  <si>
    <t>17.72/450</t>
  </si>
  <si>
    <t>20.94/532</t>
  </si>
  <si>
    <t>39.17/995</t>
  </si>
  <si>
    <t>28.78/731</t>
  </si>
  <si>
    <t>C1, C2</t>
  </si>
  <si>
    <t>20.35 / 517</t>
  </si>
  <si>
    <t>70.5°</t>
  </si>
  <si>
    <t>73°</t>
  </si>
  <si>
    <t>16.81 / 427</t>
  </si>
  <si>
    <t>39.27 / 997</t>
  </si>
  <si>
    <t>2.24 /57</t>
  </si>
  <si>
    <t>2.89 / 73.5</t>
  </si>
  <si>
    <t>3.77 / 96</t>
  </si>
  <si>
    <t>28.7 / 729</t>
  </si>
  <si>
    <t>20.27 / 515</t>
  </si>
  <si>
    <t>14.17 / 360</t>
  </si>
  <si>
    <t>20.94 / 532</t>
  </si>
  <si>
    <t>39.55 / 1005</t>
  </si>
  <si>
    <t>2.09 / 53</t>
  </si>
  <si>
    <t>4.5 / 114</t>
  </si>
  <si>
    <t>29.61 / 752</t>
  </si>
  <si>
    <t>20.98 / 535</t>
  </si>
  <si>
    <t>14.53 / 369</t>
  </si>
  <si>
    <t>21.69 / 551</t>
  </si>
  <si>
    <t>71.5°</t>
  </si>
  <si>
    <t>16.93 / 430</t>
  </si>
  <si>
    <t>40.27 / 1023</t>
  </si>
  <si>
    <t>2.83 / 72</t>
  </si>
  <si>
    <t>5.73 / 146</t>
  </si>
  <si>
    <t>30.9 / 785</t>
  </si>
  <si>
    <t>22.24 / 565</t>
  </si>
  <si>
    <t>14.88 / 378</t>
  </si>
  <si>
    <t>22.4 / 569</t>
  </si>
  <si>
    <t>41.00 / 1042</t>
  </si>
  <si>
    <t>6.96 / 177</t>
  </si>
  <si>
    <t>31.81 / 808</t>
  </si>
  <si>
    <t>23.42 / 595</t>
  </si>
  <si>
    <t>15.24 / 387</t>
  </si>
  <si>
    <t>23.07 / 586</t>
  </si>
  <si>
    <t>41.39 / 1051</t>
  </si>
  <si>
    <t>1.97 / 50</t>
  </si>
  <si>
    <t>2.77 / 70.5</t>
  </si>
  <si>
    <t>7.95 / 202</t>
  </si>
  <si>
    <t>32.68 / 830</t>
  </si>
  <si>
    <t>24.41 / 620</t>
  </si>
  <si>
    <t>15.59 / 396</t>
  </si>
  <si>
    <t>23.66 / 601</t>
  </si>
  <si>
    <t>72.5°</t>
  </si>
  <si>
    <t>17.2 / 435</t>
  </si>
  <si>
    <t>41.98 / 1066</t>
  </si>
  <si>
    <t>8.7 / 221</t>
  </si>
  <si>
    <t>22.95 / 853</t>
  </si>
  <si>
    <t>25.20 / 640</t>
  </si>
  <si>
    <t>15.94 / 405</t>
  </si>
  <si>
    <t>S2</t>
  </si>
  <si>
    <t>20.51 / 521</t>
  </si>
  <si>
    <t>16.69 / 424</t>
  </si>
  <si>
    <t>39.17 / 995</t>
  </si>
  <si>
    <t>2.14 / 54.5</t>
  </si>
  <si>
    <t>5.59 / 142</t>
  </si>
  <si>
    <t>28.82 / 732</t>
  </si>
  <si>
    <t>20.67 / 525</t>
  </si>
  <si>
    <t>21.1 / 536</t>
  </si>
  <si>
    <t>39.69 / 1008</t>
  </si>
  <si>
    <t>4.88 / 124</t>
  </si>
  <si>
    <t>29.88 / 759</t>
  </si>
  <si>
    <t>21.46 / 545</t>
  </si>
  <si>
    <t>21.81 / 554</t>
  </si>
  <si>
    <t>40.39 / 1026</t>
  </si>
  <si>
    <t>2.83 /72</t>
  </si>
  <si>
    <t>6.1 / 155</t>
  </si>
  <si>
    <t>31.1 / 790</t>
  </si>
  <si>
    <t>22.64 / 575</t>
  </si>
  <si>
    <t>22.52 / 572</t>
  </si>
  <si>
    <t>41.14 / 1045</t>
  </si>
  <si>
    <t>7.36 / 187</t>
  </si>
  <si>
    <t>31.93 / 811</t>
  </si>
  <si>
    <t>23.82 / 605</t>
  </si>
  <si>
    <t>23.19 / 589</t>
  </si>
  <si>
    <t>41.54 / 1055</t>
  </si>
  <si>
    <t>8.31 / 211</t>
  </si>
  <si>
    <t>32.87 / 835</t>
  </si>
  <si>
    <t>24.8 / 630</t>
  </si>
  <si>
    <t>23.78 / 604</t>
  </si>
  <si>
    <t>41.89 / 1064</t>
  </si>
  <si>
    <t>9.06 / 230</t>
  </si>
  <si>
    <t>33.7 / 856</t>
  </si>
  <si>
    <t>25.59 / 650</t>
  </si>
  <si>
    <t>S3</t>
  </si>
  <si>
    <t>39.25 / 997</t>
  </si>
  <si>
    <t>3.31 / 84</t>
  </si>
  <si>
    <t>28.66 / 728</t>
  </si>
  <si>
    <t>21.10 / 536</t>
  </si>
  <si>
    <t>40.20 / 1021</t>
  </si>
  <si>
    <t>4.29 / 109</t>
  </si>
  <si>
    <t>29.45 / 748</t>
  </si>
  <si>
    <t>40.55 / 1030</t>
  </si>
  <si>
    <t>5.35 / 136</t>
  </si>
  <si>
    <t>30.67 / 779</t>
  </si>
  <si>
    <t>6.54 / 166</t>
  </si>
  <si>
    <t>31.65 / 804</t>
  </si>
  <si>
    <t>41.50 / 1054</t>
  </si>
  <si>
    <t>7.52 / 191</t>
  </si>
  <si>
    <t>32.60 / 828</t>
  </si>
  <si>
    <t>24.80 / 630</t>
  </si>
  <si>
    <t>17.20 / 435</t>
  </si>
  <si>
    <t>42.09 / 1069</t>
  </si>
  <si>
    <t>8.27 / 210</t>
  </si>
  <si>
    <t>33.43 / 849</t>
  </si>
  <si>
    <t>S4</t>
  </si>
  <si>
    <t>A1</t>
  </si>
  <si>
    <t>20.55 / 522</t>
  </si>
  <si>
    <t>39.37 / 1000</t>
  </si>
  <si>
    <t>3.15 / 80</t>
  </si>
  <si>
    <t>20.75 / 527</t>
  </si>
  <si>
    <t>21.14 / 537</t>
  </si>
  <si>
    <t>39.84 / 1012</t>
  </si>
  <si>
    <t>3.78 / 96</t>
  </si>
  <si>
    <t>29.02 / 737</t>
  </si>
  <si>
    <t>21.42 / 544</t>
  </si>
  <si>
    <t>14.57 / 370</t>
  </si>
  <si>
    <t>21.89 / 556</t>
  </si>
  <si>
    <t>40.43 / 1027</t>
  </si>
  <si>
    <t>4.96 / 126</t>
  </si>
  <si>
    <t>30.63 / 778</t>
  </si>
  <si>
    <t>22.56 / 573</t>
  </si>
  <si>
    <t>14.96 / 380</t>
  </si>
  <si>
    <t>22.60 / 574</t>
  </si>
  <si>
    <t>41.38 / 1051</t>
  </si>
  <si>
    <t>6.14 / 156</t>
  </si>
  <si>
    <t>15.32 / 389</t>
  </si>
  <si>
    <t>23.27 / 591</t>
  </si>
  <si>
    <t>41.77 / 1061</t>
  </si>
  <si>
    <t>7.13 / 181</t>
  </si>
  <si>
    <t>32.56 / 827</t>
  </si>
  <si>
    <t>24.69 / 627</t>
  </si>
  <si>
    <t>15.71 / 399</t>
  </si>
  <si>
    <t>23.86 / 606</t>
  </si>
  <si>
    <t>42.36 / 1076</t>
  </si>
  <si>
    <t>7.91 / 201</t>
  </si>
  <si>
    <t>25.47 / 647</t>
  </si>
  <si>
    <t>16.02 / 407</t>
  </si>
  <si>
    <t>USD</t>
  </si>
  <si>
    <t>external</t>
  </si>
  <si>
    <t>20.77/527.5</t>
  </si>
  <si>
    <t>14.17/360</t>
  </si>
  <si>
    <t>Carbon Renegade V2</t>
  </si>
  <si>
    <t>https://www.jamisbikes.com/bikes/adventure-gravel/allroad-adventure/carbon-renegade/</t>
  </si>
  <si>
    <t>carbon</t>
  </si>
  <si>
    <t>press fit</t>
  </si>
  <si>
    <t>notes: big inconsistency in info. The online geometry is probably the old model. The new model has flip chip fork BUT the geo chart has either 50 or 53 offset, not 50/55</t>
  </si>
  <si>
    <t>https://www.jamisbikes.com/wp-content/uploads/2025/05/25-renegadec1-gloss-matte-black.png</t>
  </si>
  <si>
    <t>location</t>
  </si>
  <si>
    <t>Northvale, New Jersey, USA</t>
  </si>
  <si>
    <t>head_tube_d</t>
  </si>
  <si>
    <t>headset_upper</t>
  </si>
  <si>
    <t>headset_lower</t>
  </si>
  <si>
    <t>fork_steerer</t>
  </si>
  <si>
    <t>fork_steerer_d</t>
  </si>
  <si>
    <t>fork_material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</si>
</sst>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4"/>
      <color rgb="FF000000"/>
      <name val="Futura"/>
    </font>
    <font>
      <sz val="14"/>
      <color rgb="FF000000"/>
      <name val="Futura Medium"/>
    </font>
    <font>
      <b/>
      <sz val="14"/>
      <color rgb="FF000000"/>
      <name val="Futura Medium"/>
    </font>
    <font>
      <sz val="14"/>
      <color rgb="FF1A182D"/>
      <name val="Futura Medium"/>
    </font>
    <font>
      <sz val="14"/>
      <color rgb="FF000000"/>
      <name val="Futur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5" fontId="1" fillId="0" borderId="0" xfId="0" applyNumberFormat="1" applyFont="1"/>
    <xf numFmtId="0" fontId="2" fillId="0" borderId="0" xfId="0" applyFont="1"/>
    <xf numFmtId="0" fontId="3" fillId="0" borderId="0" xfId="0" applyFont="1"/>
    <xf numFmtId="2" fontId="1" fillId="0" borderId="0" xfId="0" applyNumberFormat="1" applyFont="1"/>
    <xf numFmtId="0" fontId="4"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78"/>
  <sheetViews>
    <sheetView tabSelected="1" topLeftCell="A47" workbookViewId="0">
      <selection activeCell="A72" sqref="A72:B72"/>
    </sheetView>
  </sheetViews>
  <sheetFormatPr baseColWidth="10" defaultRowHeight="20" x14ac:dyDescent="0.3"/>
  <cols>
    <col min="1" max="2" width="19.6640625" style="1" customWidth="1"/>
    <col min="3" max="16384" width="10.77734375" style="1"/>
  </cols>
  <sheetData>
    <row r="1" spans="1:69" x14ac:dyDescent="0.3">
      <c r="A1" s="1" t="s">
        <v>0</v>
      </c>
      <c r="B1" s="1" t="s">
        <v>81</v>
      </c>
      <c r="C1" s="1" t="s">
        <v>282</v>
      </c>
    </row>
    <row r="2" spans="1:69" x14ac:dyDescent="0.3">
      <c r="A2" s="1" t="s">
        <v>1</v>
      </c>
      <c r="B2" s="1" t="s">
        <v>278</v>
      </c>
    </row>
    <row r="3" spans="1:69" x14ac:dyDescent="0.3">
      <c r="A3" s="1" t="s">
        <v>2</v>
      </c>
      <c r="B3" s="1">
        <v>2025</v>
      </c>
    </row>
    <row r="4" spans="1:69" x14ac:dyDescent="0.3">
      <c r="A4" s="1" t="s">
        <v>3</v>
      </c>
      <c r="B4" s="2">
        <v>45919</v>
      </c>
    </row>
    <row r="5" spans="1:69" x14ac:dyDescent="0.3">
      <c r="A5" s="1" t="s">
        <v>4</v>
      </c>
      <c r="B5" s="1" t="s">
        <v>279</v>
      </c>
    </row>
    <row r="6" spans="1:69" x14ac:dyDescent="0.3">
      <c r="B6" s="1" t="s">
        <v>283</v>
      </c>
      <c r="C6" s="3"/>
      <c r="D6" s="3"/>
      <c r="E6" s="3"/>
      <c r="F6" s="3"/>
      <c r="G6" s="3"/>
      <c r="H6" s="3"/>
      <c r="I6" s="3"/>
      <c r="J6" s="3"/>
      <c r="K6" s="3"/>
    </row>
    <row r="7" spans="1:69" x14ac:dyDescent="0.3">
      <c r="A7" s="1" t="s">
        <v>5</v>
      </c>
      <c r="B7" s="1" t="s">
        <v>80</v>
      </c>
      <c r="C7" s="3"/>
      <c r="D7" s="3"/>
      <c r="E7" s="3"/>
      <c r="F7" s="3"/>
      <c r="G7" s="3"/>
      <c r="H7" s="3"/>
      <c r="I7" s="3"/>
      <c r="J7" s="3"/>
      <c r="K7" s="3"/>
    </row>
    <row r="8" spans="1:69" x14ac:dyDescent="0.3">
      <c r="A8" s="1" t="s">
        <v>6</v>
      </c>
      <c r="B8" s="1" t="s">
        <v>83</v>
      </c>
      <c r="C8" s="1">
        <v>48</v>
      </c>
      <c r="D8" s="1">
        <v>51</v>
      </c>
      <c r="E8" s="1">
        <v>54</v>
      </c>
      <c r="F8" s="1">
        <v>56</v>
      </c>
      <c r="G8" s="1">
        <v>58</v>
      </c>
      <c r="H8" s="1">
        <v>61</v>
      </c>
      <c r="J8" s="1" t="s">
        <v>82</v>
      </c>
      <c r="K8" s="1" t="s">
        <v>83</v>
      </c>
      <c r="L8" s="1" t="s">
        <v>77</v>
      </c>
      <c r="M8" s="1" t="s">
        <v>84</v>
      </c>
      <c r="N8" s="1" t="s">
        <v>85</v>
      </c>
      <c r="O8" s="1" t="s">
        <v>86</v>
      </c>
      <c r="P8" s="1" t="s">
        <v>87</v>
      </c>
      <c r="Q8" s="1" t="s">
        <v>79</v>
      </c>
      <c r="R8" s="1" t="s">
        <v>88</v>
      </c>
      <c r="S8" s="1" t="s">
        <v>75</v>
      </c>
      <c r="T8" s="1" t="s">
        <v>89</v>
      </c>
      <c r="U8" s="1" t="s">
        <v>90</v>
      </c>
      <c r="V8" s="1" t="s">
        <v>78</v>
      </c>
      <c r="W8" s="1" t="s">
        <v>76</v>
      </c>
      <c r="Y8" s="1" t="s">
        <v>82</v>
      </c>
      <c r="Z8" s="1" t="s">
        <v>136</v>
      </c>
      <c r="AA8" s="1" t="s">
        <v>136</v>
      </c>
      <c r="AB8" s="1" t="s">
        <v>136</v>
      </c>
      <c r="AC8" s="1" t="s">
        <v>136</v>
      </c>
      <c r="AD8" s="1" t="s">
        <v>136</v>
      </c>
      <c r="AE8" s="1" t="s">
        <v>136</v>
      </c>
      <c r="AF8" s="1" t="s">
        <v>186</v>
      </c>
      <c r="AG8" s="1" t="s">
        <v>186</v>
      </c>
      <c r="AH8" s="1" t="s">
        <v>186</v>
      </c>
      <c r="AI8" s="1" t="s">
        <v>186</v>
      </c>
      <c r="AJ8" s="4" t="s">
        <v>186</v>
      </c>
      <c r="AK8" s="4" t="s">
        <v>186</v>
      </c>
      <c r="AL8" s="1" t="s">
        <v>220</v>
      </c>
      <c r="AM8" s="1" t="s">
        <v>220</v>
      </c>
      <c r="AN8" s="1" t="s">
        <v>220</v>
      </c>
      <c r="AO8" s="1" t="s">
        <v>220</v>
      </c>
      <c r="AP8" s="1" t="s">
        <v>220</v>
      </c>
      <c r="AQ8" s="1" t="s">
        <v>220</v>
      </c>
      <c r="AR8" s="1" t="s">
        <v>241</v>
      </c>
      <c r="AS8" s="1" t="s">
        <v>241</v>
      </c>
      <c r="AT8" s="1" t="s">
        <v>241</v>
      </c>
      <c r="AU8" s="1" t="s">
        <v>241</v>
      </c>
      <c r="AV8" s="1" t="s">
        <v>241</v>
      </c>
      <c r="AW8" s="1" t="s">
        <v>241</v>
      </c>
      <c r="AX8" s="1" t="s">
        <v>242</v>
      </c>
      <c r="AY8" s="1" t="s">
        <v>242</v>
      </c>
      <c r="AZ8" s="1" t="s">
        <v>242</v>
      </c>
      <c r="BA8" s="1" t="s">
        <v>242</v>
      </c>
      <c r="BB8" s="1" t="s">
        <v>242</v>
      </c>
      <c r="BC8" s="1" t="s">
        <v>242</v>
      </c>
      <c r="BE8" s="1" t="s">
        <v>82</v>
      </c>
      <c r="BF8" s="1" t="s">
        <v>91</v>
      </c>
      <c r="BG8" s="1" t="s">
        <v>91</v>
      </c>
      <c r="BH8" s="1" t="s">
        <v>91</v>
      </c>
      <c r="BI8" s="1" t="s">
        <v>91</v>
      </c>
      <c r="BJ8" s="1" t="s">
        <v>91</v>
      </c>
      <c r="BK8" s="1" t="s">
        <v>91</v>
      </c>
      <c r="BM8" s="1" t="s">
        <v>82</v>
      </c>
      <c r="BN8" s="1" t="s">
        <v>91</v>
      </c>
      <c r="BO8" s="1" t="s">
        <v>82</v>
      </c>
      <c r="BP8" s="1" t="s">
        <v>186</v>
      </c>
    </row>
    <row r="9" spans="1:69" x14ac:dyDescent="0.3">
      <c r="A9" s="1" t="s">
        <v>8</v>
      </c>
      <c r="B9" s="1" t="s">
        <v>84</v>
      </c>
      <c r="C9" s="1">
        <f>VALUE(RIGHT(Z10,3))</f>
        <v>517</v>
      </c>
      <c r="D9" s="1">
        <f t="shared" ref="D9:H9" si="0">VALUE(RIGHT(AA10,3))</f>
        <v>532</v>
      </c>
      <c r="E9" s="1">
        <f t="shared" si="0"/>
        <v>551</v>
      </c>
      <c r="F9" s="1">
        <f t="shared" si="0"/>
        <v>569</v>
      </c>
      <c r="G9" s="1">
        <f t="shared" si="0"/>
        <v>586</v>
      </c>
      <c r="H9" s="1">
        <f t="shared" si="0"/>
        <v>601</v>
      </c>
      <c r="J9" s="1" t="s">
        <v>91</v>
      </c>
      <c r="K9" s="1">
        <v>51</v>
      </c>
      <c r="L9" s="1" t="s">
        <v>92</v>
      </c>
      <c r="M9" s="1" t="s">
        <v>93</v>
      </c>
      <c r="N9" s="1" t="s">
        <v>94</v>
      </c>
      <c r="O9" s="1" t="s">
        <v>95</v>
      </c>
      <c r="P9" s="1" t="s">
        <v>96</v>
      </c>
      <c r="Q9" s="1" t="s">
        <v>97</v>
      </c>
      <c r="R9" s="1" t="s">
        <v>98</v>
      </c>
      <c r="S9" s="1" t="s">
        <v>99</v>
      </c>
      <c r="T9" s="1" t="s">
        <v>100</v>
      </c>
      <c r="U9" s="1" t="s">
        <v>101</v>
      </c>
      <c r="V9" s="1" t="s">
        <v>102</v>
      </c>
      <c r="W9" s="1" t="s">
        <v>103</v>
      </c>
      <c r="Y9" s="1" t="s">
        <v>83</v>
      </c>
      <c r="Z9" s="1">
        <v>48</v>
      </c>
      <c r="AA9" s="1">
        <v>51</v>
      </c>
      <c r="AB9" s="1">
        <v>54</v>
      </c>
      <c r="AC9" s="1">
        <v>56</v>
      </c>
      <c r="AD9" s="1">
        <v>58</v>
      </c>
      <c r="AE9" s="1">
        <v>61</v>
      </c>
      <c r="AF9" s="1">
        <v>48</v>
      </c>
      <c r="AG9" s="1">
        <v>51</v>
      </c>
      <c r="AH9" s="1">
        <v>54</v>
      </c>
      <c r="AI9" s="1">
        <v>56</v>
      </c>
      <c r="AJ9" s="4">
        <v>58</v>
      </c>
      <c r="AK9" s="4">
        <v>61</v>
      </c>
      <c r="AL9" s="1">
        <v>48</v>
      </c>
      <c r="AM9" s="1">
        <v>51</v>
      </c>
      <c r="AN9" s="1">
        <v>54</v>
      </c>
      <c r="AO9" s="1">
        <v>56</v>
      </c>
      <c r="AP9" s="1">
        <v>58</v>
      </c>
      <c r="AQ9" s="1">
        <v>61</v>
      </c>
      <c r="AR9" s="1">
        <v>48</v>
      </c>
      <c r="AS9" s="1">
        <v>51</v>
      </c>
      <c r="AT9" s="1">
        <v>54</v>
      </c>
      <c r="AU9" s="1">
        <v>56</v>
      </c>
      <c r="AV9" s="1">
        <v>58</v>
      </c>
      <c r="AW9" s="1">
        <v>61</v>
      </c>
      <c r="AX9" s="1">
        <v>48</v>
      </c>
      <c r="AY9" s="1">
        <v>51</v>
      </c>
      <c r="AZ9" s="1">
        <v>54</v>
      </c>
      <c r="BA9" s="1">
        <v>56</v>
      </c>
      <c r="BB9" s="1">
        <v>58</v>
      </c>
      <c r="BC9" s="1">
        <v>61</v>
      </c>
      <c r="BE9" s="1" t="s">
        <v>83</v>
      </c>
      <c r="BF9" s="1">
        <v>51</v>
      </c>
      <c r="BG9" s="1">
        <v>54</v>
      </c>
      <c r="BH9" s="1">
        <v>56</v>
      </c>
      <c r="BI9" s="1">
        <v>58</v>
      </c>
      <c r="BJ9" s="1">
        <v>61</v>
      </c>
      <c r="BK9" s="1">
        <v>48</v>
      </c>
      <c r="BM9" s="1" t="s">
        <v>83</v>
      </c>
      <c r="BN9" s="1">
        <v>56</v>
      </c>
      <c r="BO9" s="1" t="s">
        <v>83</v>
      </c>
      <c r="BP9" s="1">
        <v>56</v>
      </c>
      <c r="BQ9" s="1">
        <v>56</v>
      </c>
    </row>
    <row r="10" spans="1:69" x14ac:dyDescent="0.3">
      <c r="A10" s="1" t="s">
        <v>11</v>
      </c>
      <c r="B10" s="1" t="s">
        <v>85</v>
      </c>
      <c r="C10" s="1">
        <f>Z11</f>
        <v>70.5</v>
      </c>
      <c r="D10" s="1">
        <f t="shared" ref="D10:H11" si="1">AA11</f>
        <v>71</v>
      </c>
      <c r="E10" s="1">
        <f t="shared" si="1"/>
        <v>71.5</v>
      </c>
      <c r="F10" s="1">
        <f t="shared" si="1"/>
        <v>71.5</v>
      </c>
      <c r="G10" s="1">
        <f t="shared" si="1"/>
        <v>72</v>
      </c>
      <c r="H10" s="1">
        <f t="shared" si="1"/>
        <v>72.5</v>
      </c>
      <c r="J10" s="1" t="s">
        <v>91</v>
      </c>
      <c r="K10" s="1">
        <v>54</v>
      </c>
      <c r="L10" s="1" t="s">
        <v>104</v>
      </c>
      <c r="M10" s="1" t="s">
        <v>105</v>
      </c>
      <c r="N10" s="1" t="s">
        <v>94</v>
      </c>
      <c r="O10" s="1" t="s">
        <v>95</v>
      </c>
      <c r="P10" s="1" t="s">
        <v>96</v>
      </c>
      <c r="Q10" s="1" t="s">
        <v>106</v>
      </c>
      <c r="R10" s="1" t="s">
        <v>98</v>
      </c>
      <c r="S10" s="1" t="s">
        <v>99</v>
      </c>
      <c r="T10" s="1" t="s">
        <v>107</v>
      </c>
      <c r="U10" s="1" t="s">
        <v>108</v>
      </c>
      <c r="V10" s="1" t="s">
        <v>109</v>
      </c>
      <c r="W10" s="1" t="s">
        <v>110</v>
      </c>
      <c r="Y10" s="1" t="s">
        <v>84</v>
      </c>
      <c r="Z10" s="1" t="s">
        <v>137</v>
      </c>
      <c r="AA10" s="1" t="s">
        <v>148</v>
      </c>
      <c r="AB10" s="1" t="s">
        <v>155</v>
      </c>
      <c r="AC10" s="1" t="s">
        <v>164</v>
      </c>
      <c r="AD10" s="1" t="s">
        <v>170</v>
      </c>
      <c r="AE10" s="1" t="s">
        <v>178</v>
      </c>
      <c r="AF10" s="1" t="s">
        <v>187</v>
      </c>
      <c r="AG10" s="1" t="s">
        <v>194</v>
      </c>
      <c r="AH10" s="1" t="s">
        <v>199</v>
      </c>
      <c r="AI10" s="1" t="s">
        <v>205</v>
      </c>
      <c r="AJ10" s="1" t="s">
        <v>210</v>
      </c>
      <c r="AK10" s="1" t="s">
        <v>215</v>
      </c>
      <c r="AL10" s="1" t="s">
        <v>187</v>
      </c>
      <c r="AM10" s="1" t="s">
        <v>224</v>
      </c>
      <c r="AN10" s="1" t="s">
        <v>199</v>
      </c>
      <c r="AO10" s="1" t="s">
        <v>205</v>
      </c>
      <c r="AP10" s="1" t="s">
        <v>210</v>
      </c>
      <c r="AQ10" s="1" t="s">
        <v>215</v>
      </c>
      <c r="AR10" s="1" t="s">
        <v>187</v>
      </c>
      <c r="AS10" s="1" t="s">
        <v>224</v>
      </c>
      <c r="AT10" s="1" t="s">
        <v>199</v>
      </c>
      <c r="AU10" s="1" t="s">
        <v>205</v>
      </c>
      <c r="AV10" s="1" t="s">
        <v>210</v>
      </c>
      <c r="AW10" s="1" t="s">
        <v>215</v>
      </c>
      <c r="AX10" s="1" t="s">
        <v>243</v>
      </c>
      <c r="AY10" s="1" t="s">
        <v>247</v>
      </c>
      <c r="AZ10" s="1" t="s">
        <v>253</v>
      </c>
      <c r="BA10" s="1" t="s">
        <v>259</v>
      </c>
      <c r="BB10" s="1" t="s">
        <v>263</v>
      </c>
      <c r="BC10" s="1" t="s">
        <v>269</v>
      </c>
      <c r="BE10" s="1" t="s">
        <v>77</v>
      </c>
      <c r="BF10" s="1" t="s">
        <v>92</v>
      </c>
      <c r="BG10" s="1" t="s">
        <v>104</v>
      </c>
      <c r="BH10" s="1" t="s">
        <v>111</v>
      </c>
      <c r="BI10" s="1" t="s">
        <v>118</v>
      </c>
      <c r="BJ10" s="1" t="s">
        <v>125</v>
      </c>
      <c r="BK10" s="1" t="s">
        <v>132</v>
      </c>
      <c r="BM10" s="1" t="s">
        <v>77</v>
      </c>
      <c r="BN10" s="1" t="s">
        <v>111</v>
      </c>
    </row>
    <row r="11" spans="1:69" x14ac:dyDescent="0.3">
      <c r="A11" s="1" t="s">
        <v>10</v>
      </c>
      <c r="B11" s="1" t="s">
        <v>86</v>
      </c>
      <c r="C11" s="1">
        <f>Z12</f>
        <v>73</v>
      </c>
      <c r="D11" s="1">
        <f t="shared" si="1"/>
        <v>73</v>
      </c>
      <c r="E11" s="1">
        <f t="shared" si="1"/>
        <v>73</v>
      </c>
      <c r="F11" s="1">
        <f t="shared" si="1"/>
        <v>73</v>
      </c>
      <c r="G11" s="1">
        <f t="shared" si="1"/>
        <v>73</v>
      </c>
      <c r="H11" s="1">
        <f t="shared" si="1"/>
        <v>73</v>
      </c>
      <c r="J11" s="1" t="s">
        <v>91</v>
      </c>
      <c r="K11" s="1">
        <v>56</v>
      </c>
      <c r="L11" s="1" t="s">
        <v>111</v>
      </c>
      <c r="M11" s="1" t="s">
        <v>112</v>
      </c>
      <c r="N11" s="1" t="s">
        <v>94</v>
      </c>
      <c r="O11" s="1" t="s">
        <v>95</v>
      </c>
      <c r="P11" s="1" t="s">
        <v>96</v>
      </c>
      <c r="Q11" s="1" t="s">
        <v>113</v>
      </c>
      <c r="R11" s="1" t="s">
        <v>98</v>
      </c>
      <c r="S11" s="1" t="s">
        <v>99</v>
      </c>
      <c r="T11" s="1" t="s">
        <v>114</v>
      </c>
      <c r="U11" s="1" t="s">
        <v>115</v>
      </c>
      <c r="V11" s="1" t="s">
        <v>116</v>
      </c>
      <c r="W11" s="1" t="s">
        <v>117</v>
      </c>
      <c r="Y11" s="1" t="s">
        <v>85</v>
      </c>
      <c r="Z11" s="1">
        <v>70.5</v>
      </c>
      <c r="AA11" s="1">
        <v>71</v>
      </c>
      <c r="AB11" s="1">
        <v>71.5</v>
      </c>
      <c r="AC11" s="1">
        <v>71.5</v>
      </c>
      <c r="AD11" s="1">
        <v>72</v>
      </c>
      <c r="AE11" s="1">
        <v>72.5</v>
      </c>
      <c r="AF11" s="1">
        <v>71</v>
      </c>
      <c r="AG11" s="1">
        <v>71</v>
      </c>
      <c r="AH11" s="1">
        <v>71.5</v>
      </c>
      <c r="AI11" s="1">
        <v>71.5</v>
      </c>
      <c r="AJ11" s="1">
        <v>72</v>
      </c>
      <c r="AK11" s="1">
        <v>72.5</v>
      </c>
      <c r="AL11" s="1">
        <v>71</v>
      </c>
      <c r="AM11" s="1">
        <v>71</v>
      </c>
      <c r="AN11" s="1">
        <v>71.5</v>
      </c>
      <c r="AO11" s="1">
        <v>71.5</v>
      </c>
      <c r="AP11" s="1">
        <v>72</v>
      </c>
      <c r="AQ11" s="1">
        <v>72.5</v>
      </c>
      <c r="AR11" s="1">
        <v>71</v>
      </c>
      <c r="AS11" s="1">
        <v>71</v>
      </c>
      <c r="AT11" s="1">
        <v>71.5</v>
      </c>
      <c r="AU11" s="1">
        <v>71.5</v>
      </c>
      <c r="AV11" s="1">
        <v>72</v>
      </c>
      <c r="AW11" s="1">
        <v>72.5</v>
      </c>
      <c r="AX11" s="1">
        <v>71</v>
      </c>
      <c r="AY11" s="1">
        <v>71</v>
      </c>
      <c r="AZ11" s="1">
        <v>71</v>
      </c>
      <c r="BA11" s="1">
        <v>71</v>
      </c>
      <c r="BB11" s="1">
        <v>72</v>
      </c>
      <c r="BC11" s="1">
        <v>72</v>
      </c>
      <c r="BE11" s="1" t="s">
        <v>84</v>
      </c>
      <c r="BF11" s="1" t="s">
        <v>93</v>
      </c>
      <c r="BG11" s="1" t="s">
        <v>105</v>
      </c>
      <c r="BH11" s="1" t="s">
        <v>112</v>
      </c>
      <c r="BI11" s="1" t="s">
        <v>119</v>
      </c>
      <c r="BJ11" s="1" t="s">
        <v>126</v>
      </c>
      <c r="BK11" s="1" t="s">
        <v>133</v>
      </c>
      <c r="BM11" s="1" t="s">
        <v>84</v>
      </c>
      <c r="BN11" s="1" t="s">
        <v>112</v>
      </c>
      <c r="BO11" s="1" t="s">
        <v>84</v>
      </c>
      <c r="BP11" s="1" t="s">
        <v>205</v>
      </c>
      <c r="BQ11" s="1">
        <v>572</v>
      </c>
    </row>
    <row r="12" spans="1:69" x14ac:dyDescent="0.3">
      <c r="A12" s="1" t="s">
        <v>12</v>
      </c>
      <c r="B12" s="1" t="s">
        <v>87</v>
      </c>
      <c r="C12" s="1">
        <f>VALUE(RIGHT(Z13,3))</f>
        <v>427</v>
      </c>
      <c r="D12" s="1">
        <f t="shared" ref="D12:H12" si="2">VALUE(RIGHT(AA13,3))</f>
        <v>427</v>
      </c>
      <c r="E12" s="1">
        <f t="shared" si="2"/>
        <v>430</v>
      </c>
      <c r="F12" s="1">
        <f t="shared" si="2"/>
        <v>430</v>
      </c>
      <c r="G12" s="1">
        <f t="shared" si="2"/>
        <v>430</v>
      </c>
      <c r="H12" s="1">
        <f t="shared" si="2"/>
        <v>435</v>
      </c>
      <c r="J12" s="1" t="s">
        <v>91</v>
      </c>
      <c r="K12" s="1">
        <v>58</v>
      </c>
      <c r="L12" s="1" t="s">
        <v>118</v>
      </c>
      <c r="M12" s="1" t="s">
        <v>119</v>
      </c>
      <c r="N12" s="1" t="s">
        <v>94</v>
      </c>
      <c r="O12" s="1" t="s">
        <v>95</v>
      </c>
      <c r="P12" s="1" t="s">
        <v>96</v>
      </c>
      <c r="Q12" s="1" t="s">
        <v>120</v>
      </c>
      <c r="R12" s="1" t="s">
        <v>98</v>
      </c>
      <c r="S12" s="1" t="s">
        <v>99</v>
      </c>
      <c r="T12" s="1" t="s">
        <v>121</v>
      </c>
      <c r="U12" s="1" t="s">
        <v>122</v>
      </c>
      <c r="V12" s="1" t="s">
        <v>123</v>
      </c>
      <c r="W12" s="1" t="s">
        <v>124</v>
      </c>
      <c r="Y12" s="1" t="s">
        <v>86</v>
      </c>
      <c r="Z12" s="1">
        <v>73</v>
      </c>
      <c r="AA12" s="1">
        <v>73</v>
      </c>
      <c r="AB12" s="1">
        <v>73</v>
      </c>
      <c r="AC12" s="1">
        <v>73</v>
      </c>
      <c r="AD12" s="1">
        <v>73</v>
      </c>
      <c r="AE12" s="1">
        <v>73</v>
      </c>
      <c r="AF12" s="1">
        <v>73</v>
      </c>
      <c r="AG12" s="1">
        <v>73</v>
      </c>
      <c r="AH12" s="1">
        <v>73</v>
      </c>
      <c r="AI12" s="1">
        <v>73</v>
      </c>
      <c r="AJ12" s="1">
        <v>73</v>
      </c>
      <c r="AK12" s="1">
        <v>73</v>
      </c>
      <c r="AL12" s="1">
        <v>73</v>
      </c>
      <c r="AM12" s="1">
        <v>73</v>
      </c>
      <c r="AN12" s="1">
        <v>73</v>
      </c>
      <c r="AO12" s="1">
        <v>73</v>
      </c>
      <c r="AP12" s="1">
        <v>73</v>
      </c>
      <c r="AQ12" s="1">
        <v>73</v>
      </c>
      <c r="AR12" s="1">
        <v>73</v>
      </c>
      <c r="AS12" s="1">
        <v>73</v>
      </c>
      <c r="AT12" s="1">
        <v>73</v>
      </c>
      <c r="AU12" s="1">
        <v>73</v>
      </c>
      <c r="AV12" s="1">
        <v>73</v>
      </c>
      <c r="AW12" s="1">
        <v>73</v>
      </c>
      <c r="AX12" s="1">
        <v>73</v>
      </c>
      <c r="AY12" s="1">
        <v>73</v>
      </c>
      <c r="AZ12" s="1">
        <v>73</v>
      </c>
      <c r="BA12" s="1">
        <v>73</v>
      </c>
      <c r="BB12" s="1">
        <v>73</v>
      </c>
      <c r="BC12" s="1">
        <v>73</v>
      </c>
      <c r="BE12" s="1" t="s">
        <v>85</v>
      </c>
      <c r="BF12" s="1" t="s">
        <v>94</v>
      </c>
      <c r="BG12" s="1" t="s">
        <v>94</v>
      </c>
      <c r="BH12" s="1" t="s">
        <v>94</v>
      </c>
      <c r="BI12" s="1" t="s">
        <v>94</v>
      </c>
      <c r="BJ12" s="1" t="s">
        <v>94</v>
      </c>
      <c r="BK12" s="1" t="s">
        <v>94</v>
      </c>
      <c r="BM12" s="1" t="s">
        <v>85</v>
      </c>
      <c r="BN12" s="1" t="s">
        <v>94</v>
      </c>
      <c r="BO12" s="1" t="s">
        <v>85</v>
      </c>
      <c r="BP12" s="1" t="s">
        <v>156</v>
      </c>
      <c r="BQ12" s="1">
        <v>71.5</v>
      </c>
    </row>
    <row r="13" spans="1:69" x14ac:dyDescent="0.3">
      <c r="A13" s="1" t="s">
        <v>14</v>
      </c>
      <c r="B13" s="1" t="s">
        <v>79</v>
      </c>
      <c r="C13" s="1">
        <f>VALUE(RIGHT(Z14,3))</f>
        <v>997</v>
      </c>
      <c r="D13" s="1">
        <f>VALUE(RIGHT(AA14,4))</f>
        <v>1005</v>
      </c>
      <c r="E13" s="1">
        <f t="shared" ref="E13:H13" si="3">VALUE(RIGHT(AB14,4))</f>
        <v>1023</v>
      </c>
      <c r="F13" s="1">
        <f t="shared" si="3"/>
        <v>1042</v>
      </c>
      <c r="G13" s="1">
        <f t="shared" si="3"/>
        <v>1051</v>
      </c>
      <c r="H13" s="1">
        <f t="shared" si="3"/>
        <v>1066</v>
      </c>
      <c r="J13" s="1" t="s">
        <v>91</v>
      </c>
      <c r="K13" s="1">
        <v>61</v>
      </c>
      <c r="L13" s="1" t="s">
        <v>125</v>
      </c>
      <c r="M13" s="1" t="s">
        <v>126</v>
      </c>
      <c r="N13" s="1" t="s">
        <v>94</v>
      </c>
      <c r="O13" s="1" t="s">
        <v>95</v>
      </c>
      <c r="P13" s="1" t="s">
        <v>96</v>
      </c>
      <c r="Q13" s="1" t="s">
        <v>127</v>
      </c>
      <c r="R13" s="1" t="s">
        <v>98</v>
      </c>
      <c r="S13" s="1" t="s">
        <v>99</v>
      </c>
      <c r="T13" s="1" t="s">
        <v>128</v>
      </c>
      <c r="U13" s="1" t="s">
        <v>129</v>
      </c>
      <c r="V13" s="1" t="s">
        <v>130</v>
      </c>
      <c r="W13" s="1" t="s">
        <v>131</v>
      </c>
      <c r="Y13" s="1" t="s">
        <v>87</v>
      </c>
      <c r="Z13" s="1" t="s">
        <v>140</v>
      </c>
      <c r="AA13" s="1" t="s">
        <v>140</v>
      </c>
      <c r="AB13" s="1" t="s">
        <v>157</v>
      </c>
      <c r="AC13" s="1" t="s">
        <v>157</v>
      </c>
      <c r="AD13" s="1" t="s">
        <v>157</v>
      </c>
      <c r="AE13" s="1" t="s">
        <v>180</v>
      </c>
      <c r="AF13" s="1" t="s">
        <v>188</v>
      </c>
      <c r="AG13" s="1" t="s">
        <v>140</v>
      </c>
      <c r="AH13" s="1" t="s">
        <v>157</v>
      </c>
      <c r="AI13" s="1" t="s">
        <v>157</v>
      </c>
      <c r="AJ13" s="1" t="s">
        <v>157</v>
      </c>
      <c r="AK13" s="1" t="s">
        <v>180</v>
      </c>
      <c r="AL13" s="1" t="s">
        <v>188</v>
      </c>
      <c r="AM13" s="1" t="s">
        <v>140</v>
      </c>
      <c r="AN13" s="1" t="s">
        <v>157</v>
      </c>
      <c r="AO13" s="1" t="s">
        <v>157</v>
      </c>
      <c r="AP13" s="1" t="s">
        <v>157</v>
      </c>
      <c r="AQ13" s="1" t="s">
        <v>237</v>
      </c>
      <c r="AR13" s="1" t="s">
        <v>188</v>
      </c>
      <c r="AS13" s="1" t="s">
        <v>140</v>
      </c>
      <c r="AT13" s="1" t="s">
        <v>157</v>
      </c>
      <c r="AU13" s="1" t="s">
        <v>157</v>
      </c>
      <c r="AV13" s="1" t="s">
        <v>157</v>
      </c>
      <c r="AW13" s="1" t="s">
        <v>237</v>
      </c>
      <c r="AX13" s="1" t="s">
        <v>157</v>
      </c>
      <c r="AY13" s="1" t="s">
        <v>157</v>
      </c>
      <c r="AZ13" s="1" t="s">
        <v>157</v>
      </c>
      <c r="BA13" s="1" t="s">
        <v>237</v>
      </c>
      <c r="BB13" s="1" t="s">
        <v>237</v>
      </c>
      <c r="BC13" s="1" t="s">
        <v>237</v>
      </c>
      <c r="BE13" s="1" t="s">
        <v>86</v>
      </c>
      <c r="BF13" s="1" t="s">
        <v>95</v>
      </c>
      <c r="BG13" s="1" t="s">
        <v>95</v>
      </c>
      <c r="BH13" s="1" t="s">
        <v>95</v>
      </c>
      <c r="BI13" s="1" t="s">
        <v>95</v>
      </c>
      <c r="BJ13" s="1" t="s">
        <v>95</v>
      </c>
      <c r="BK13" s="1" t="s">
        <v>95</v>
      </c>
      <c r="BM13" s="1" t="s">
        <v>86</v>
      </c>
      <c r="BN13" s="1" t="s">
        <v>95</v>
      </c>
      <c r="BO13" s="1" t="s">
        <v>86</v>
      </c>
      <c r="BP13" s="1" t="s">
        <v>139</v>
      </c>
      <c r="BQ13" s="1">
        <v>73</v>
      </c>
    </row>
    <row r="14" spans="1:69" x14ac:dyDescent="0.3">
      <c r="A14" s="1" t="s">
        <v>18</v>
      </c>
      <c r="B14" s="1" t="s">
        <v>88</v>
      </c>
      <c r="C14" s="1">
        <f>VALUE(RIGHT(Z15,2))</f>
        <v>57</v>
      </c>
      <c r="D14" s="1">
        <f t="shared" ref="D14:H14" si="4">VALUE(RIGHT(AA15,2))</f>
        <v>53</v>
      </c>
      <c r="E14" s="1">
        <f t="shared" si="4"/>
        <v>53</v>
      </c>
      <c r="F14" s="1">
        <f t="shared" si="4"/>
        <v>53</v>
      </c>
      <c r="G14" s="1">
        <f t="shared" si="4"/>
        <v>50</v>
      </c>
      <c r="H14" s="1">
        <f t="shared" si="4"/>
        <v>50</v>
      </c>
      <c r="J14" s="1" t="s">
        <v>91</v>
      </c>
      <c r="K14" s="1">
        <v>48</v>
      </c>
      <c r="L14" s="1" t="s">
        <v>132</v>
      </c>
      <c r="M14" s="1" t="s">
        <v>133</v>
      </c>
      <c r="N14" s="1" t="s">
        <v>94</v>
      </c>
      <c r="O14" s="1" t="s">
        <v>95</v>
      </c>
      <c r="P14" s="1" t="s">
        <v>96</v>
      </c>
      <c r="Q14" s="1" t="s">
        <v>134</v>
      </c>
      <c r="R14" s="1" t="s">
        <v>98</v>
      </c>
      <c r="S14" s="1" t="s">
        <v>99</v>
      </c>
      <c r="T14" s="1" t="s">
        <v>99</v>
      </c>
      <c r="U14" s="1" t="s">
        <v>135</v>
      </c>
      <c r="V14" s="1" t="s">
        <v>276</v>
      </c>
      <c r="W14" s="1" t="s">
        <v>277</v>
      </c>
      <c r="Y14" s="1" t="s">
        <v>79</v>
      </c>
      <c r="Z14" s="1" t="s">
        <v>141</v>
      </c>
      <c r="AA14" s="1" t="s">
        <v>149</v>
      </c>
      <c r="AB14" s="1" t="s">
        <v>158</v>
      </c>
      <c r="AC14" s="1" t="s">
        <v>165</v>
      </c>
      <c r="AD14" s="1" t="s">
        <v>171</v>
      </c>
      <c r="AE14" s="1" t="s">
        <v>181</v>
      </c>
      <c r="AF14" s="1" t="s">
        <v>189</v>
      </c>
      <c r="AG14" s="1" t="s">
        <v>195</v>
      </c>
      <c r="AH14" s="1" t="s">
        <v>200</v>
      </c>
      <c r="AI14" s="1" t="s">
        <v>206</v>
      </c>
      <c r="AJ14" s="1" t="s">
        <v>211</v>
      </c>
      <c r="AK14" s="1" t="s">
        <v>216</v>
      </c>
      <c r="AL14" s="1" t="s">
        <v>221</v>
      </c>
      <c r="AM14" s="1" t="s">
        <v>225</v>
      </c>
      <c r="AN14" s="1" t="s">
        <v>228</v>
      </c>
      <c r="AO14" s="1" t="s">
        <v>206</v>
      </c>
      <c r="AP14" s="1" t="s">
        <v>233</v>
      </c>
      <c r="AQ14" s="1" t="s">
        <v>238</v>
      </c>
      <c r="AR14" s="1" t="s">
        <v>221</v>
      </c>
      <c r="AS14" s="1" t="s">
        <v>225</v>
      </c>
      <c r="AT14" s="1" t="s">
        <v>228</v>
      </c>
      <c r="AU14" s="1" t="s">
        <v>206</v>
      </c>
      <c r="AV14" s="1" t="s">
        <v>233</v>
      </c>
      <c r="AW14" s="1" t="s">
        <v>238</v>
      </c>
      <c r="AX14" s="1" t="s">
        <v>244</v>
      </c>
      <c r="AY14" s="1" t="s">
        <v>248</v>
      </c>
      <c r="AZ14" s="1" t="s">
        <v>254</v>
      </c>
      <c r="BA14" s="1" t="s">
        <v>260</v>
      </c>
      <c r="BB14" s="1" t="s">
        <v>264</v>
      </c>
      <c r="BC14" s="1" t="s">
        <v>270</v>
      </c>
      <c r="BE14" s="1" t="s">
        <v>87</v>
      </c>
      <c r="BF14" s="1" t="s">
        <v>96</v>
      </c>
      <c r="BG14" s="1" t="s">
        <v>96</v>
      </c>
      <c r="BH14" s="1" t="s">
        <v>96</v>
      </c>
      <c r="BI14" s="1" t="s">
        <v>96</v>
      </c>
      <c r="BJ14" s="1" t="s">
        <v>96</v>
      </c>
      <c r="BK14" s="1" t="s">
        <v>96</v>
      </c>
      <c r="BM14" s="1" t="s">
        <v>87</v>
      </c>
      <c r="BN14" s="1" t="s">
        <v>96</v>
      </c>
      <c r="BO14" s="1" t="s">
        <v>87</v>
      </c>
      <c r="BP14" s="1" t="s">
        <v>157</v>
      </c>
      <c r="BQ14" s="1">
        <v>430</v>
      </c>
    </row>
    <row r="15" spans="1:69" x14ac:dyDescent="0.3">
      <c r="A15" s="1" t="s">
        <v>13</v>
      </c>
      <c r="B15" s="1" t="s">
        <v>75</v>
      </c>
      <c r="C15" s="1">
        <f>VALUE(RIGHT(Z16,4))</f>
        <v>73.5</v>
      </c>
      <c r="D15" s="1">
        <f>VALUE(RIGHT(AA16,4))</f>
        <v>73.5</v>
      </c>
      <c r="E15" s="1">
        <f>VALUE(RIGHT(AB16,2))</f>
        <v>72</v>
      </c>
      <c r="F15" s="1">
        <f>VALUE(RIGHT(AC16,2))</f>
        <v>72</v>
      </c>
      <c r="G15" s="1">
        <f>VALUE(RIGHT(AD16,4))</f>
        <v>70.5</v>
      </c>
      <c r="H15" s="1">
        <f>VALUE(RIGHT(AE16,4))</f>
        <v>70.5</v>
      </c>
      <c r="Y15" s="1" t="s">
        <v>88</v>
      </c>
      <c r="Z15" s="1" t="s">
        <v>142</v>
      </c>
      <c r="AA15" s="1" t="s">
        <v>150</v>
      </c>
      <c r="AB15" s="1" t="s">
        <v>150</v>
      </c>
      <c r="AC15" s="1" t="s">
        <v>150</v>
      </c>
      <c r="AD15" s="1" t="s">
        <v>172</v>
      </c>
      <c r="AE15" s="1" t="s">
        <v>172</v>
      </c>
      <c r="AF15" s="1" t="s">
        <v>172</v>
      </c>
      <c r="AG15" s="1" t="s">
        <v>150</v>
      </c>
      <c r="AH15" s="1" t="s">
        <v>150</v>
      </c>
      <c r="AI15" s="1" t="s">
        <v>150</v>
      </c>
      <c r="AJ15" s="1" t="s">
        <v>172</v>
      </c>
      <c r="AK15" s="1" t="s">
        <v>172</v>
      </c>
      <c r="AL15" s="1" t="s">
        <v>150</v>
      </c>
      <c r="AM15" s="1" t="s">
        <v>150</v>
      </c>
      <c r="AN15" s="1" t="s">
        <v>150</v>
      </c>
      <c r="AO15" s="1" t="s">
        <v>150</v>
      </c>
      <c r="AP15" s="1" t="s">
        <v>172</v>
      </c>
      <c r="AQ15" s="1" t="s">
        <v>172</v>
      </c>
      <c r="AR15" s="1" t="s">
        <v>150</v>
      </c>
      <c r="AS15" s="1" t="s">
        <v>150</v>
      </c>
      <c r="AT15" s="1" t="s">
        <v>150</v>
      </c>
      <c r="AU15" s="1" t="s">
        <v>150</v>
      </c>
      <c r="AV15" s="1" t="s">
        <v>172</v>
      </c>
      <c r="AW15" s="1" t="s">
        <v>172</v>
      </c>
      <c r="AX15" s="1" t="s">
        <v>150</v>
      </c>
      <c r="AY15" s="1" t="s">
        <v>150</v>
      </c>
      <c r="AZ15" s="1" t="s">
        <v>150</v>
      </c>
      <c r="BA15" s="1" t="s">
        <v>150</v>
      </c>
      <c r="BB15" s="1" t="s">
        <v>172</v>
      </c>
      <c r="BC15" s="1" t="s">
        <v>172</v>
      </c>
      <c r="BE15" s="1" t="s">
        <v>79</v>
      </c>
      <c r="BF15" s="1" t="s">
        <v>97</v>
      </c>
      <c r="BG15" s="1" t="s">
        <v>106</v>
      </c>
      <c r="BH15" s="1" t="s">
        <v>113</v>
      </c>
      <c r="BI15" s="1" t="s">
        <v>120</v>
      </c>
      <c r="BJ15" s="1" t="s">
        <v>127</v>
      </c>
      <c r="BK15" s="1" t="s">
        <v>134</v>
      </c>
      <c r="BM15" s="1" t="s">
        <v>79</v>
      </c>
      <c r="BN15" s="1" t="s">
        <v>113</v>
      </c>
      <c r="BO15" s="1" t="s">
        <v>79</v>
      </c>
      <c r="BP15" s="1" t="s">
        <v>206</v>
      </c>
      <c r="BQ15" s="1">
        <v>1045</v>
      </c>
    </row>
    <row r="16" spans="1:69" x14ac:dyDescent="0.3">
      <c r="A16" s="1" t="s">
        <v>9</v>
      </c>
      <c r="B16" s="1" t="s">
        <v>89</v>
      </c>
      <c r="C16" s="1">
        <f>VALUE(RIGHT(Z17,3))</f>
        <v>96</v>
      </c>
      <c r="D16" s="1">
        <f t="shared" ref="D16:H19" si="5">VALUE(RIGHT(AA17,3))</f>
        <v>114</v>
      </c>
      <c r="E16" s="1">
        <f t="shared" si="5"/>
        <v>146</v>
      </c>
      <c r="F16" s="1">
        <f t="shared" si="5"/>
        <v>177</v>
      </c>
      <c r="G16" s="1">
        <f t="shared" si="5"/>
        <v>202</v>
      </c>
      <c r="H16" s="1">
        <f t="shared" si="5"/>
        <v>221</v>
      </c>
      <c r="J16" s="1" t="s">
        <v>82</v>
      </c>
      <c r="K16" s="1" t="s">
        <v>83</v>
      </c>
      <c r="L16" s="1" t="s">
        <v>84</v>
      </c>
      <c r="M16" s="1" t="s">
        <v>85</v>
      </c>
      <c r="N16" s="1" t="s">
        <v>86</v>
      </c>
      <c r="O16" s="1" t="s">
        <v>87</v>
      </c>
      <c r="P16" s="1" t="s">
        <v>79</v>
      </c>
      <c r="Q16" s="1" t="s">
        <v>88</v>
      </c>
      <c r="R16" s="1" t="s">
        <v>75</v>
      </c>
      <c r="S16" s="1" t="s">
        <v>89</v>
      </c>
      <c r="T16" s="1" t="s">
        <v>90</v>
      </c>
      <c r="U16" s="1" t="s">
        <v>78</v>
      </c>
      <c r="V16" s="1" t="s">
        <v>76</v>
      </c>
      <c r="Y16" s="1" t="s">
        <v>75</v>
      </c>
      <c r="Z16" s="1" t="s">
        <v>143</v>
      </c>
      <c r="AA16" s="1" t="s">
        <v>143</v>
      </c>
      <c r="AB16" s="1" t="s">
        <v>159</v>
      </c>
      <c r="AC16" s="1" t="s">
        <v>159</v>
      </c>
      <c r="AD16" s="1" t="s">
        <v>173</v>
      </c>
      <c r="AE16" s="1" t="s">
        <v>173</v>
      </c>
      <c r="AF16" s="1" t="s">
        <v>190</v>
      </c>
      <c r="AG16" s="1" t="s">
        <v>143</v>
      </c>
      <c r="AH16" s="1" t="s">
        <v>201</v>
      </c>
      <c r="AI16" s="1" t="s">
        <v>201</v>
      </c>
      <c r="AJ16" s="1" t="s">
        <v>173</v>
      </c>
      <c r="AK16" s="1" t="s">
        <v>173</v>
      </c>
      <c r="AL16" s="1" t="s">
        <v>143</v>
      </c>
      <c r="AM16" s="1" t="s">
        <v>143</v>
      </c>
      <c r="AN16" s="1" t="s">
        <v>159</v>
      </c>
      <c r="AO16" s="1" t="s">
        <v>159</v>
      </c>
      <c r="AP16" s="1" t="s">
        <v>173</v>
      </c>
      <c r="AQ16" s="1" t="s">
        <v>173</v>
      </c>
      <c r="AR16" s="1" t="s">
        <v>143</v>
      </c>
      <c r="AS16" s="1" t="s">
        <v>143</v>
      </c>
      <c r="AT16" s="1" t="s">
        <v>159</v>
      </c>
      <c r="AU16" s="1" t="s">
        <v>159</v>
      </c>
      <c r="AV16" s="1" t="s">
        <v>173</v>
      </c>
      <c r="AW16" s="1" t="s">
        <v>173</v>
      </c>
      <c r="AX16" s="1" t="s">
        <v>143</v>
      </c>
      <c r="AY16" s="1" t="s">
        <v>143</v>
      </c>
      <c r="AZ16" s="1" t="s">
        <v>159</v>
      </c>
      <c r="BA16" s="1" t="s">
        <v>159</v>
      </c>
      <c r="BB16" s="1" t="s">
        <v>173</v>
      </c>
      <c r="BC16" s="1" t="s">
        <v>173</v>
      </c>
      <c r="BE16" s="1" t="s">
        <v>88</v>
      </c>
      <c r="BF16" s="1" t="s">
        <v>98</v>
      </c>
      <c r="BG16" s="1" t="s">
        <v>98</v>
      </c>
      <c r="BH16" s="1" t="s">
        <v>98</v>
      </c>
      <c r="BI16" s="1" t="s">
        <v>98</v>
      </c>
      <c r="BJ16" s="1" t="s">
        <v>98</v>
      </c>
      <c r="BK16" s="1" t="s">
        <v>98</v>
      </c>
      <c r="BM16" s="1" t="s">
        <v>88</v>
      </c>
      <c r="BN16" s="1" t="s">
        <v>98</v>
      </c>
      <c r="BO16" s="1" t="s">
        <v>88</v>
      </c>
      <c r="BP16" s="1" t="s">
        <v>150</v>
      </c>
      <c r="BQ16" s="1">
        <v>53</v>
      </c>
    </row>
    <row r="17" spans="1:69" x14ac:dyDescent="0.3">
      <c r="A17" s="1" t="s">
        <v>15</v>
      </c>
      <c r="B17" s="1" t="s">
        <v>90</v>
      </c>
      <c r="C17" s="1">
        <f>VALUE(RIGHT(Z18,3))</f>
        <v>729</v>
      </c>
      <c r="D17" s="1">
        <f t="shared" si="5"/>
        <v>752</v>
      </c>
      <c r="E17" s="1">
        <f t="shared" si="5"/>
        <v>785</v>
      </c>
      <c r="F17" s="1">
        <f t="shared" si="5"/>
        <v>808</v>
      </c>
      <c r="G17" s="1">
        <f t="shared" si="5"/>
        <v>830</v>
      </c>
      <c r="H17" s="1">
        <f t="shared" si="5"/>
        <v>853</v>
      </c>
      <c r="J17" s="1" t="s">
        <v>136</v>
      </c>
      <c r="K17" s="1">
        <v>48</v>
      </c>
      <c r="L17" s="1" t="s">
        <v>137</v>
      </c>
      <c r="M17" s="1" t="s">
        <v>138</v>
      </c>
      <c r="N17" s="1" t="s">
        <v>139</v>
      </c>
      <c r="O17" s="1" t="s">
        <v>140</v>
      </c>
      <c r="P17" s="1" t="s">
        <v>141</v>
      </c>
      <c r="Q17" s="1" t="s">
        <v>142</v>
      </c>
      <c r="R17" s="1" t="s">
        <v>143</v>
      </c>
      <c r="S17" s="1" t="s">
        <v>144</v>
      </c>
      <c r="T17" s="1" t="s">
        <v>145</v>
      </c>
      <c r="U17" s="1" t="s">
        <v>146</v>
      </c>
      <c r="V17" s="1" t="s">
        <v>147</v>
      </c>
      <c r="Y17" s="1" t="s">
        <v>89</v>
      </c>
      <c r="Z17" s="1" t="s">
        <v>144</v>
      </c>
      <c r="AA17" s="1" t="s">
        <v>151</v>
      </c>
      <c r="AB17" s="1" t="s">
        <v>160</v>
      </c>
      <c r="AC17" s="1" t="s">
        <v>166</v>
      </c>
      <c r="AD17" s="1" t="s">
        <v>174</v>
      </c>
      <c r="AE17" s="1" t="s">
        <v>182</v>
      </c>
      <c r="AF17" s="1" t="s">
        <v>191</v>
      </c>
      <c r="AG17" s="1" t="s">
        <v>196</v>
      </c>
      <c r="AH17" s="1" t="s">
        <v>202</v>
      </c>
      <c r="AI17" s="1" t="s">
        <v>207</v>
      </c>
      <c r="AJ17" s="1" t="s">
        <v>212</v>
      </c>
      <c r="AK17" s="1" t="s">
        <v>217</v>
      </c>
      <c r="AL17" s="1" t="s">
        <v>222</v>
      </c>
      <c r="AM17" s="1" t="s">
        <v>226</v>
      </c>
      <c r="AN17" s="1" t="s">
        <v>229</v>
      </c>
      <c r="AO17" s="1" t="s">
        <v>231</v>
      </c>
      <c r="AP17" s="1" t="s">
        <v>234</v>
      </c>
      <c r="AQ17" s="1" t="s">
        <v>239</v>
      </c>
      <c r="AR17" s="1" t="s">
        <v>222</v>
      </c>
      <c r="AS17" s="1" t="s">
        <v>226</v>
      </c>
      <c r="AT17" s="1" t="s">
        <v>229</v>
      </c>
      <c r="AU17" s="1" t="s">
        <v>231</v>
      </c>
      <c r="AV17" s="1" t="s">
        <v>234</v>
      </c>
      <c r="AW17" s="1" t="s">
        <v>239</v>
      </c>
      <c r="AX17" s="1" t="s">
        <v>245</v>
      </c>
      <c r="AY17" s="1" t="s">
        <v>249</v>
      </c>
      <c r="AZ17" s="1" t="s">
        <v>255</v>
      </c>
      <c r="BA17" s="1" t="s">
        <v>261</v>
      </c>
      <c r="BB17" s="1" t="s">
        <v>265</v>
      </c>
      <c r="BC17" s="1" t="s">
        <v>271</v>
      </c>
      <c r="BE17" s="1" t="s">
        <v>75</v>
      </c>
      <c r="BF17" s="1" t="s">
        <v>99</v>
      </c>
      <c r="BG17" s="1" t="s">
        <v>99</v>
      </c>
      <c r="BH17" s="1" t="s">
        <v>99</v>
      </c>
      <c r="BI17" s="1" t="s">
        <v>99</v>
      </c>
      <c r="BJ17" s="1" t="s">
        <v>99</v>
      </c>
      <c r="BK17" s="1" t="s">
        <v>99</v>
      </c>
      <c r="BM17" s="1" t="s">
        <v>75</v>
      </c>
      <c r="BN17" s="1" t="s">
        <v>99</v>
      </c>
      <c r="BO17" s="1" t="s">
        <v>75</v>
      </c>
      <c r="BP17" s="1" t="s">
        <v>201</v>
      </c>
      <c r="BQ17" s="1">
        <v>72</v>
      </c>
    </row>
    <row r="18" spans="1:69" x14ac:dyDescent="0.3">
      <c r="A18" s="1" t="s">
        <v>16</v>
      </c>
      <c r="B18" s="1" t="s">
        <v>78</v>
      </c>
      <c r="C18" s="1">
        <f>VALUE(RIGHT(Z19,3))</f>
        <v>515</v>
      </c>
      <c r="D18" s="1">
        <f t="shared" si="5"/>
        <v>535</v>
      </c>
      <c r="E18" s="1">
        <f t="shared" si="5"/>
        <v>565</v>
      </c>
      <c r="F18" s="1">
        <f t="shared" si="5"/>
        <v>595</v>
      </c>
      <c r="G18" s="1">
        <f t="shared" si="5"/>
        <v>620</v>
      </c>
      <c r="H18" s="1">
        <f t="shared" si="5"/>
        <v>640</v>
      </c>
      <c r="J18" s="1" t="s">
        <v>136</v>
      </c>
      <c r="K18" s="1">
        <v>51</v>
      </c>
      <c r="L18" s="1" t="s">
        <v>148</v>
      </c>
      <c r="M18" s="1" t="s">
        <v>94</v>
      </c>
      <c r="N18" s="1" t="s">
        <v>139</v>
      </c>
      <c r="O18" s="1" t="s">
        <v>140</v>
      </c>
      <c r="P18" s="1" t="s">
        <v>149</v>
      </c>
      <c r="Q18" s="1" t="s">
        <v>150</v>
      </c>
      <c r="R18" s="1" t="s">
        <v>143</v>
      </c>
      <c r="S18" s="1" t="s">
        <v>151</v>
      </c>
      <c r="T18" s="1" t="s">
        <v>152</v>
      </c>
      <c r="U18" s="1" t="s">
        <v>153</v>
      </c>
      <c r="V18" s="1" t="s">
        <v>154</v>
      </c>
      <c r="Y18" s="1" t="s">
        <v>90</v>
      </c>
      <c r="Z18" s="1" t="s">
        <v>145</v>
      </c>
      <c r="AA18" s="1" t="s">
        <v>152</v>
      </c>
      <c r="AB18" s="1" t="s">
        <v>161</v>
      </c>
      <c r="AC18" s="1" t="s">
        <v>167</v>
      </c>
      <c r="AD18" s="1" t="s">
        <v>175</v>
      </c>
      <c r="AE18" s="1" t="s">
        <v>183</v>
      </c>
      <c r="AF18" s="1" t="s">
        <v>192</v>
      </c>
      <c r="AG18" s="1" t="s">
        <v>197</v>
      </c>
      <c r="AH18" s="1" t="s">
        <v>203</v>
      </c>
      <c r="AI18" s="1" t="s">
        <v>208</v>
      </c>
      <c r="AJ18" s="1" t="s">
        <v>213</v>
      </c>
      <c r="AK18" s="1" t="s">
        <v>218</v>
      </c>
      <c r="AL18" s="1" t="s">
        <v>223</v>
      </c>
      <c r="AM18" s="1" t="s">
        <v>227</v>
      </c>
      <c r="AN18" s="1" t="s">
        <v>230</v>
      </c>
      <c r="AO18" s="1" t="s">
        <v>232</v>
      </c>
      <c r="AP18" s="1" t="s">
        <v>235</v>
      </c>
      <c r="AQ18" s="1" t="s">
        <v>240</v>
      </c>
      <c r="AR18" s="1" t="s">
        <v>223</v>
      </c>
      <c r="AS18" s="1" t="s">
        <v>227</v>
      </c>
      <c r="AT18" s="1" t="s">
        <v>230</v>
      </c>
      <c r="AU18" s="1" t="s">
        <v>232</v>
      </c>
      <c r="AV18" s="1" t="s">
        <v>235</v>
      </c>
      <c r="AW18" s="1" t="s">
        <v>240</v>
      </c>
      <c r="AX18" s="1" t="s">
        <v>223</v>
      </c>
      <c r="AY18" s="1" t="s">
        <v>250</v>
      </c>
      <c r="AZ18" s="1" t="s">
        <v>256</v>
      </c>
      <c r="BA18" s="1" t="s">
        <v>232</v>
      </c>
      <c r="BB18" s="1" t="s">
        <v>266</v>
      </c>
      <c r="BC18" s="1" t="s">
        <v>240</v>
      </c>
      <c r="BE18" s="1" t="s">
        <v>89</v>
      </c>
      <c r="BF18" s="1" t="s">
        <v>100</v>
      </c>
      <c r="BG18" s="1" t="s">
        <v>107</v>
      </c>
      <c r="BH18" s="1" t="s">
        <v>114</v>
      </c>
      <c r="BI18" s="1" t="s">
        <v>121</v>
      </c>
      <c r="BJ18" s="1" t="s">
        <v>128</v>
      </c>
      <c r="BK18" s="1" t="s">
        <v>99</v>
      </c>
      <c r="BM18" s="1" t="s">
        <v>89</v>
      </c>
      <c r="BN18" s="1" t="s">
        <v>114</v>
      </c>
      <c r="BO18" s="1" t="s">
        <v>89</v>
      </c>
      <c r="BP18" s="1" t="s">
        <v>207</v>
      </c>
      <c r="BQ18" s="1">
        <v>187</v>
      </c>
    </row>
    <row r="19" spans="1:69" x14ac:dyDescent="0.3">
      <c r="A19" s="1" t="s">
        <v>17</v>
      </c>
      <c r="B19" s="1" t="s">
        <v>76</v>
      </c>
      <c r="C19" s="1">
        <f>VALUE(RIGHT(Z20,3))</f>
        <v>360</v>
      </c>
      <c r="D19" s="1">
        <f t="shared" si="5"/>
        <v>369</v>
      </c>
      <c r="E19" s="1">
        <f t="shared" si="5"/>
        <v>378</v>
      </c>
      <c r="F19" s="1">
        <f t="shared" si="5"/>
        <v>387</v>
      </c>
      <c r="G19" s="1">
        <f t="shared" si="5"/>
        <v>396</v>
      </c>
      <c r="H19" s="1">
        <f t="shared" si="5"/>
        <v>405</v>
      </c>
      <c r="J19" s="1" t="s">
        <v>136</v>
      </c>
      <c r="K19" s="1">
        <v>54</v>
      </c>
      <c r="L19" s="1" t="s">
        <v>155</v>
      </c>
      <c r="M19" s="1" t="s">
        <v>156</v>
      </c>
      <c r="N19" s="1" t="s">
        <v>139</v>
      </c>
      <c r="O19" s="1" t="s">
        <v>157</v>
      </c>
      <c r="P19" s="1" t="s">
        <v>158</v>
      </c>
      <c r="Q19" s="1" t="s">
        <v>150</v>
      </c>
      <c r="R19" s="1" t="s">
        <v>159</v>
      </c>
      <c r="S19" s="1" t="s">
        <v>160</v>
      </c>
      <c r="T19" s="1" t="s">
        <v>161</v>
      </c>
      <c r="U19" s="1" t="s">
        <v>162</v>
      </c>
      <c r="V19" s="1" t="s">
        <v>163</v>
      </c>
      <c r="Y19" s="1" t="s">
        <v>78</v>
      </c>
      <c r="Z19" s="1" t="s">
        <v>146</v>
      </c>
      <c r="AA19" s="1" t="s">
        <v>153</v>
      </c>
      <c r="AB19" s="1" t="s">
        <v>162</v>
      </c>
      <c r="AC19" s="1" t="s">
        <v>168</v>
      </c>
      <c r="AD19" s="1" t="s">
        <v>176</v>
      </c>
      <c r="AE19" s="1" t="s">
        <v>184</v>
      </c>
      <c r="AF19" s="1" t="s">
        <v>193</v>
      </c>
      <c r="AG19" s="1" t="s">
        <v>198</v>
      </c>
      <c r="AH19" s="1" t="s">
        <v>204</v>
      </c>
      <c r="AI19" s="1" t="s">
        <v>209</v>
      </c>
      <c r="AJ19" s="1" t="s">
        <v>214</v>
      </c>
      <c r="AK19" s="1" t="s">
        <v>219</v>
      </c>
      <c r="AL19" s="1" t="s">
        <v>193</v>
      </c>
      <c r="AM19" s="1" t="s">
        <v>198</v>
      </c>
      <c r="AN19" s="1" t="s">
        <v>204</v>
      </c>
      <c r="AO19" s="1" t="s">
        <v>209</v>
      </c>
      <c r="AP19" s="1" t="s">
        <v>236</v>
      </c>
      <c r="AQ19" s="1" t="s">
        <v>219</v>
      </c>
      <c r="AR19" s="1" t="s">
        <v>193</v>
      </c>
      <c r="AS19" s="1" t="s">
        <v>198</v>
      </c>
      <c r="AT19" s="1" t="s">
        <v>204</v>
      </c>
      <c r="AU19" s="1" t="s">
        <v>209</v>
      </c>
      <c r="AV19" s="1" t="s">
        <v>236</v>
      </c>
      <c r="AW19" s="1" t="s">
        <v>219</v>
      </c>
      <c r="AX19" s="1" t="s">
        <v>246</v>
      </c>
      <c r="AY19" s="1" t="s">
        <v>251</v>
      </c>
      <c r="AZ19" s="1" t="s">
        <v>257</v>
      </c>
      <c r="BA19" s="1" t="s">
        <v>178</v>
      </c>
      <c r="BB19" s="1" t="s">
        <v>267</v>
      </c>
      <c r="BC19" s="1" t="s">
        <v>272</v>
      </c>
      <c r="BE19" s="1" t="s">
        <v>90</v>
      </c>
      <c r="BF19" s="1" t="s">
        <v>101</v>
      </c>
      <c r="BG19" s="1" t="s">
        <v>108</v>
      </c>
      <c r="BH19" s="1" t="s">
        <v>115</v>
      </c>
      <c r="BI19" s="1" t="s">
        <v>122</v>
      </c>
      <c r="BJ19" s="1" t="s">
        <v>129</v>
      </c>
      <c r="BK19" s="1" t="s">
        <v>135</v>
      </c>
      <c r="BM19" s="1" t="s">
        <v>90</v>
      </c>
      <c r="BN19" s="1" t="s">
        <v>115</v>
      </c>
      <c r="BO19" s="1" t="s">
        <v>90</v>
      </c>
      <c r="BP19" s="1" t="s">
        <v>208</v>
      </c>
      <c r="BQ19" s="1">
        <v>811</v>
      </c>
    </row>
    <row r="20" spans="1:69" x14ac:dyDescent="0.3">
      <c r="A20" s="1" t="s">
        <v>7</v>
      </c>
      <c r="J20" s="1" t="s">
        <v>136</v>
      </c>
      <c r="K20" s="1">
        <v>56</v>
      </c>
      <c r="L20" s="1" t="s">
        <v>164</v>
      </c>
      <c r="M20" s="1" t="s">
        <v>156</v>
      </c>
      <c r="N20" s="1" t="s">
        <v>139</v>
      </c>
      <c r="O20" s="1" t="s">
        <v>157</v>
      </c>
      <c r="P20" s="1" t="s">
        <v>165</v>
      </c>
      <c r="Q20" s="1" t="s">
        <v>150</v>
      </c>
      <c r="R20" s="1" t="s">
        <v>159</v>
      </c>
      <c r="S20" s="1" t="s">
        <v>166</v>
      </c>
      <c r="T20" s="1" t="s">
        <v>167</v>
      </c>
      <c r="U20" s="1" t="s">
        <v>168</v>
      </c>
      <c r="V20" s="1" t="s">
        <v>169</v>
      </c>
      <c r="Y20" s="1" t="s">
        <v>76</v>
      </c>
      <c r="Z20" s="1" t="s">
        <v>147</v>
      </c>
      <c r="AA20" s="1" t="s">
        <v>154</v>
      </c>
      <c r="AB20" s="1" t="s">
        <v>163</v>
      </c>
      <c r="AC20" s="1" t="s">
        <v>169</v>
      </c>
      <c r="AD20" s="1" t="s">
        <v>177</v>
      </c>
      <c r="AE20" s="1" t="s">
        <v>185</v>
      </c>
      <c r="AF20" s="1" t="s">
        <v>147</v>
      </c>
      <c r="AG20" s="1" t="s">
        <v>154</v>
      </c>
      <c r="AH20" s="1" t="s">
        <v>163</v>
      </c>
      <c r="AI20" s="1" t="s">
        <v>169</v>
      </c>
      <c r="AJ20" s="1" t="s">
        <v>177</v>
      </c>
      <c r="AK20" s="1" t="s">
        <v>185</v>
      </c>
      <c r="AL20" s="1" t="s">
        <v>147</v>
      </c>
      <c r="AM20" s="1" t="s">
        <v>154</v>
      </c>
      <c r="AN20" s="1" t="s">
        <v>163</v>
      </c>
      <c r="AO20" s="1" t="s">
        <v>169</v>
      </c>
      <c r="AP20" s="1" t="s">
        <v>177</v>
      </c>
      <c r="AQ20" s="1" t="s">
        <v>185</v>
      </c>
      <c r="AR20" s="1" t="s">
        <v>147</v>
      </c>
      <c r="AS20" s="1" t="s">
        <v>154</v>
      </c>
      <c r="AT20" s="1" t="s">
        <v>163</v>
      </c>
      <c r="AU20" s="1" t="s">
        <v>169</v>
      </c>
      <c r="AV20" s="1" t="s">
        <v>177</v>
      </c>
      <c r="AW20" s="1" t="s">
        <v>185</v>
      </c>
      <c r="AX20" s="1" t="s">
        <v>147</v>
      </c>
      <c r="AY20" s="1" t="s">
        <v>252</v>
      </c>
      <c r="AZ20" s="1" t="s">
        <v>258</v>
      </c>
      <c r="BA20" s="1" t="s">
        <v>262</v>
      </c>
      <c r="BB20" s="1" t="s">
        <v>268</v>
      </c>
      <c r="BC20" s="1" t="s">
        <v>273</v>
      </c>
      <c r="BE20" s="1" t="s">
        <v>78</v>
      </c>
      <c r="BF20" s="1" t="s">
        <v>102</v>
      </c>
      <c r="BG20" s="1" t="s">
        <v>109</v>
      </c>
      <c r="BH20" s="1" t="s">
        <v>116</v>
      </c>
      <c r="BI20" s="1" t="s">
        <v>123</v>
      </c>
      <c r="BJ20" s="1" t="s">
        <v>130</v>
      </c>
      <c r="BK20" s="1" t="s">
        <v>276</v>
      </c>
      <c r="BM20" s="1" t="s">
        <v>78</v>
      </c>
      <c r="BN20" s="1" t="s">
        <v>116</v>
      </c>
      <c r="BO20" s="1" t="s">
        <v>78</v>
      </c>
      <c r="BP20" s="1" t="s">
        <v>209</v>
      </c>
      <c r="BQ20" s="1">
        <v>605</v>
      </c>
    </row>
    <row r="21" spans="1:69" x14ac:dyDescent="0.3">
      <c r="A21" s="1" t="s">
        <v>23</v>
      </c>
      <c r="J21" s="1" t="s">
        <v>136</v>
      </c>
      <c r="K21" s="1">
        <v>58</v>
      </c>
      <c r="L21" s="1" t="s">
        <v>170</v>
      </c>
      <c r="M21" s="1" t="s">
        <v>95</v>
      </c>
      <c r="N21" s="1" t="s">
        <v>139</v>
      </c>
      <c r="O21" s="1" t="s">
        <v>157</v>
      </c>
      <c r="P21" s="1" t="s">
        <v>171</v>
      </c>
      <c r="Q21" s="1" t="s">
        <v>172</v>
      </c>
      <c r="R21" s="1" t="s">
        <v>173</v>
      </c>
      <c r="S21" s="1" t="s">
        <v>174</v>
      </c>
      <c r="T21" s="1" t="s">
        <v>175</v>
      </c>
      <c r="U21" s="1" t="s">
        <v>176</v>
      </c>
      <c r="V21" s="1" t="s">
        <v>177</v>
      </c>
      <c r="BE21" s="1" t="s">
        <v>76</v>
      </c>
      <c r="BF21" s="1" t="s">
        <v>103</v>
      </c>
      <c r="BG21" s="1" t="s">
        <v>110</v>
      </c>
      <c r="BH21" s="1" t="s">
        <v>117</v>
      </c>
      <c r="BI21" s="1" t="s">
        <v>124</v>
      </c>
      <c r="BJ21" s="1" t="s">
        <v>131</v>
      </c>
      <c r="BK21" s="1" t="s">
        <v>277</v>
      </c>
      <c r="BM21" s="1" t="s">
        <v>76</v>
      </c>
      <c r="BN21" s="1" t="s">
        <v>117</v>
      </c>
      <c r="BO21" s="1" t="s">
        <v>76</v>
      </c>
      <c r="BP21" s="1" t="s">
        <v>169</v>
      </c>
      <c r="BQ21" s="1">
        <v>387</v>
      </c>
    </row>
    <row r="22" spans="1:69" x14ac:dyDescent="0.3">
      <c r="A22" s="1" t="s">
        <v>22</v>
      </c>
      <c r="J22" s="1" t="s">
        <v>136</v>
      </c>
      <c r="K22" s="1">
        <v>61</v>
      </c>
      <c r="L22" s="1" t="s">
        <v>178</v>
      </c>
      <c r="M22" s="1" t="s">
        <v>179</v>
      </c>
      <c r="N22" s="1" t="s">
        <v>139</v>
      </c>
      <c r="O22" s="1" t="s">
        <v>180</v>
      </c>
      <c r="P22" s="1" t="s">
        <v>181</v>
      </c>
      <c r="Q22" s="1" t="s">
        <v>172</v>
      </c>
      <c r="R22" s="1" t="s">
        <v>173</v>
      </c>
      <c r="S22" s="1" t="s">
        <v>182</v>
      </c>
      <c r="T22" s="1" t="s">
        <v>183</v>
      </c>
      <c r="U22" s="1" t="s">
        <v>184</v>
      </c>
      <c r="V22" s="1" t="s">
        <v>185</v>
      </c>
    </row>
    <row r="23" spans="1:69" x14ac:dyDescent="0.3">
      <c r="A23" s="1" t="s">
        <v>72</v>
      </c>
      <c r="J23" s="1" t="s">
        <v>186</v>
      </c>
      <c r="K23" s="1">
        <v>48</v>
      </c>
      <c r="L23" s="1" t="s">
        <v>187</v>
      </c>
      <c r="M23" s="1" t="s">
        <v>94</v>
      </c>
      <c r="N23" s="1" t="s">
        <v>139</v>
      </c>
      <c r="O23" s="1" t="s">
        <v>188</v>
      </c>
      <c r="P23" s="1" t="s">
        <v>189</v>
      </c>
      <c r="Q23" s="1" t="s">
        <v>172</v>
      </c>
      <c r="R23" s="1" t="s">
        <v>190</v>
      </c>
      <c r="S23" s="1" t="s">
        <v>191</v>
      </c>
      <c r="T23" s="1" t="s">
        <v>192</v>
      </c>
      <c r="U23" s="1" t="s">
        <v>193</v>
      </c>
      <c r="V23" s="1" t="s">
        <v>147</v>
      </c>
    </row>
    <row r="24" spans="1:69" x14ac:dyDescent="0.3">
      <c r="A24" s="1" t="s">
        <v>19</v>
      </c>
      <c r="J24" s="1" t="s">
        <v>186</v>
      </c>
      <c r="K24" s="1">
        <v>51</v>
      </c>
      <c r="L24" s="1" t="s">
        <v>194</v>
      </c>
      <c r="M24" s="1" t="s">
        <v>94</v>
      </c>
      <c r="N24" s="1" t="s">
        <v>139</v>
      </c>
      <c r="O24" s="1" t="s">
        <v>140</v>
      </c>
      <c r="P24" s="1" t="s">
        <v>195</v>
      </c>
      <c r="Q24" s="1" t="s">
        <v>150</v>
      </c>
      <c r="R24" s="1" t="s">
        <v>143</v>
      </c>
      <c r="S24" s="1" t="s">
        <v>196</v>
      </c>
      <c r="T24" s="1" t="s">
        <v>197</v>
      </c>
      <c r="U24" s="1" t="s">
        <v>198</v>
      </c>
      <c r="V24" s="1" t="s">
        <v>154</v>
      </c>
    </row>
    <row r="25" spans="1:69" x14ac:dyDescent="0.3">
      <c r="A25" s="1" t="s">
        <v>20</v>
      </c>
      <c r="J25" s="1" t="s">
        <v>186</v>
      </c>
      <c r="K25" s="1">
        <v>54</v>
      </c>
      <c r="L25" s="1" t="s">
        <v>199</v>
      </c>
      <c r="M25" s="1" t="s">
        <v>156</v>
      </c>
      <c r="N25" s="1" t="s">
        <v>139</v>
      </c>
      <c r="O25" s="1" t="s">
        <v>157</v>
      </c>
      <c r="P25" s="1" t="s">
        <v>200</v>
      </c>
      <c r="Q25" s="1" t="s">
        <v>150</v>
      </c>
      <c r="R25" s="1" t="s">
        <v>201</v>
      </c>
      <c r="S25" s="1" t="s">
        <v>202</v>
      </c>
      <c r="T25" s="1" t="s">
        <v>203</v>
      </c>
      <c r="U25" s="1" t="s">
        <v>204</v>
      </c>
      <c r="V25" s="1" t="s">
        <v>163</v>
      </c>
    </row>
    <row r="26" spans="1:69" x14ac:dyDescent="0.3">
      <c r="A26" s="1" t="s">
        <v>21</v>
      </c>
      <c r="J26" s="1" t="s">
        <v>186</v>
      </c>
      <c r="K26" s="1">
        <v>56</v>
      </c>
      <c r="L26" s="1" t="s">
        <v>205</v>
      </c>
      <c r="M26" s="1" t="s">
        <v>156</v>
      </c>
      <c r="N26" s="1" t="s">
        <v>139</v>
      </c>
      <c r="O26" s="1" t="s">
        <v>157</v>
      </c>
      <c r="P26" s="1" t="s">
        <v>206</v>
      </c>
      <c r="Q26" s="1" t="s">
        <v>150</v>
      </c>
      <c r="R26" s="1" t="s">
        <v>201</v>
      </c>
      <c r="S26" s="1" t="s">
        <v>207</v>
      </c>
      <c r="T26" s="1" t="s">
        <v>208</v>
      </c>
      <c r="U26" s="1" t="s">
        <v>209</v>
      </c>
      <c r="V26" s="1" t="s">
        <v>169</v>
      </c>
    </row>
    <row r="27" spans="1:69" x14ac:dyDescent="0.3">
      <c r="A27" s="1" t="s">
        <v>24</v>
      </c>
      <c r="C27" s="4">
        <v>700</v>
      </c>
      <c r="D27" s="4">
        <v>700</v>
      </c>
      <c r="E27" s="4">
        <v>700</v>
      </c>
      <c r="F27" s="4">
        <v>700</v>
      </c>
      <c r="G27" s="4">
        <v>700</v>
      </c>
      <c r="H27" s="4">
        <v>700</v>
      </c>
      <c r="I27" s="4"/>
      <c r="J27" s="4" t="s">
        <v>186</v>
      </c>
      <c r="K27" s="4">
        <v>58</v>
      </c>
      <c r="L27" s="1" t="s">
        <v>210</v>
      </c>
      <c r="M27" s="1" t="s">
        <v>95</v>
      </c>
      <c r="N27" s="1" t="s">
        <v>139</v>
      </c>
      <c r="O27" s="1" t="s">
        <v>157</v>
      </c>
      <c r="P27" s="1" t="s">
        <v>211</v>
      </c>
      <c r="Q27" s="1" t="s">
        <v>172</v>
      </c>
      <c r="R27" s="1" t="s">
        <v>173</v>
      </c>
      <c r="S27" s="1" t="s">
        <v>212</v>
      </c>
      <c r="T27" s="1" t="s">
        <v>213</v>
      </c>
      <c r="U27" s="1" t="s">
        <v>214</v>
      </c>
      <c r="V27" s="1" t="s">
        <v>177</v>
      </c>
    </row>
    <row r="28" spans="1:69" x14ac:dyDescent="0.3">
      <c r="A28" s="1" t="s">
        <v>25</v>
      </c>
      <c r="C28" s="4">
        <v>44</v>
      </c>
      <c r="D28" s="4">
        <v>44</v>
      </c>
      <c r="E28" s="4">
        <v>44</v>
      </c>
      <c r="F28" s="4">
        <v>44</v>
      </c>
      <c r="G28" s="4">
        <v>44</v>
      </c>
      <c r="H28" s="4">
        <v>44</v>
      </c>
      <c r="I28" s="4"/>
      <c r="J28" s="4" t="s">
        <v>186</v>
      </c>
      <c r="K28" s="4">
        <v>61</v>
      </c>
      <c r="L28" s="1" t="s">
        <v>215</v>
      </c>
      <c r="M28" s="1" t="s">
        <v>179</v>
      </c>
      <c r="N28" s="1" t="s">
        <v>139</v>
      </c>
      <c r="O28" s="1" t="s">
        <v>180</v>
      </c>
      <c r="P28" s="1" t="s">
        <v>216</v>
      </c>
      <c r="Q28" s="1" t="s">
        <v>172</v>
      </c>
      <c r="R28" s="1" t="s">
        <v>173</v>
      </c>
      <c r="S28" s="1" t="s">
        <v>217</v>
      </c>
      <c r="T28" s="1" t="s">
        <v>218</v>
      </c>
      <c r="U28" s="1" t="s">
        <v>219</v>
      </c>
      <c r="V28" s="1" t="s">
        <v>185</v>
      </c>
    </row>
    <row r="29" spans="1:69" x14ac:dyDescent="0.3">
      <c r="A29" s="1" t="s">
        <v>26</v>
      </c>
      <c r="C29" s="1">
        <v>50</v>
      </c>
      <c r="D29" s="1">
        <v>50</v>
      </c>
      <c r="E29" s="1">
        <v>50</v>
      </c>
      <c r="F29" s="1">
        <v>50</v>
      </c>
      <c r="G29" s="1">
        <v>50</v>
      </c>
      <c r="H29" s="1">
        <v>50</v>
      </c>
      <c r="J29" s="1" t="s">
        <v>220</v>
      </c>
      <c r="K29" s="1">
        <v>48</v>
      </c>
      <c r="L29" s="1" t="s">
        <v>187</v>
      </c>
      <c r="M29" s="1" t="s">
        <v>94</v>
      </c>
      <c r="N29" s="1" t="s">
        <v>139</v>
      </c>
      <c r="O29" s="1" t="s">
        <v>188</v>
      </c>
      <c r="P29" s="1" t="s">
        <v>221</v>
      </c>
      <c r="Q29" s="1" t="s">
        <v>150</v>
      </c>
      <c r="R29" s="1" t="s">
        <v>143</v>
      </c>
      <c r="S29" s="1" t="s">
        <v>222</v>
      </c>
      <c r="T29" s="1" t="s">
        <v>223</v>
      </c>
      <c r="U29" s="1" t="s">
        <v>193</v>
      </c>
      <c r="V29" s="1" t="s">
        <v>147</v>
      </c>
    </row>
    <row r="30" spans="1:69" x14ac:dyDescent="0.3">
      <c r="A30" s="1" t="s">
        <v>27</v>
      </c>
      <c r="C30" s="7">
        <f>C32*2.54</f>
        <v>152.4</v>
      </c>
      <c r="D30" s="7">
        <f t="shared" ref="D30:F31" si="6">D32*2.54</f>
        <v>160.02000000000001</v>
      </c>
      <c r="E30" s="7">
        <f t="shared" si="6"/>
        <v>165.1</v>
      </c>
      <c r="F30" s="7">
        <f t="shared" si="6"/>
        <v>175.26</v>
      </c>
      <c r="G30" s="7">
        <f t="shared" ref="G30:H30" si="7">G32*2.54</f>
        <v>180.34</v>
      </c>
      <c r="H30" s="7">
        <f t="shared" si="7"/>
        <v>185.42000000000002</v>
      </c>
      <c r="J30" s="1" t="s">
        <v>220</v>
      </c>
      <c r="K30" s="1">
        <v>51</v>
      </c>
      <c r="L30" s="1" t="s">
        <v>224</v>
      </c>
      <c r="M30" s="1" t="s">
        <v>94</v>
      </c>
      <c r="N30" s="1" t="s">
        <v>139</v>
      </c>
      <c r="O30" s="1" t="s">
        <v>140</v>
      </c>
      <c r="P30" s="1" t="s">
        <v>225</v>
      </c>
      <c r="Q30" s="1" t="s">
        <v>150</v>
      </c>
      <c r="R30" s="1" t="s">
        <v>143</v>
      </c>
      <c r="S30" s="1" t="s">
        <v>226</v>
      </c>
      <c r="T30" s="1" t="s">
        <v>227</v>
      </c>
      <c r="U30" s="1" t="s">
        <v>198</v>
      </c>
      <c r="V30" s="1" t="s">
        <v>154</v>
      </c>
    </row>
    <row r="31" spans="1:69" x14ac:dyDescent="0.3">
      <c r="A31" s="1" t="s">
        <v>28</v>
      </c>
      <c r="C31" s="7">
        <f>C33*2.54</f>
        <v>160.02000000000001</v>
      </c>
      <c r="D31" s="7">
        <f t="shared" si="6"/>
        <v>165.1</v>
      </c>
      <c r="E31" s="7">
        <f t="shared" si="6"/>
        <v>175.26</v>
      </c>
      <c r="F31" s="7">
        <f t="shared" si="6"/>
        <v>180.34</v>
      </c>
      <c r="G31" s="7">
        <f t="shared" ref="G31:H31" si="8">G33*2.54</f>
        <v>185.42000000000002</v>
      </c>
      <c r="H31" s="7">
        <f t="shared" si="8"/>
        <v>193.04</v>
      </c>
      <c r="J31" s="1" t="s">
        <v>220</v>
      </c>
      <c r="K31" s="1">
        <v>54</v>
      </c>
      <c r="L31" s="1" t="s">
        <v>199</v>
      </c>
      <c r="M31" s="1" t="s">
        <v>156</v>
      </c>
      <c r="N31" s="1" t="s">
        <v>139</v>
      </c>
      <c r="O31" s="1" t="s">
        <v>157</v>
      </c>
      <c r="P31" s="1" t="s">
        <v>228</v>
      </c>
      <c r="Q31" s="1" t="s">
        <v>150</v>
      </c>
      <c r="R31" s="1" t="s">
        <v>159</v>
      </c>
      <c r="S31" s="1" t="s">
        <v>229</v>
      </c>
      <c r="T31" s="1" t="s">
        <v>230</v>
      </c>
      <c r="U31" s="1" t="s">
        <v>204</v>
      </c>
      <c r="V31" s="1" t="s">
        <v>163</v>
      </c>
    </row>
    <row r="32" spans="1:69" x14ac:dyDescent="0.3">
      <c r="C32" s="1">
        <v>60</v>
      </c>
      <c r="D32" s="6">
        <v>63</v>
      </c>
      <c r="E32" s="1">
        <v>65</v>
      </c>
      <c r="F32" s="1">
        <v>69</v>
      </c>
      <c r="G32" s="1">
        <v>71</v>
      </c>
      <c r="H32" s="1">
        <v>73</v>
      </c>
      <c r="J32" s="1" t="s">
        <v>220</v>
      </c>
      <c r="K32" s="1">
        <v>56</v>
      </c>
      <c r="L32" s="1" t="s">
        <v>205</v>
      </c>
      <c r="M32" s="1" t="s">
        <v>156</v>
      </c>
      <c r="N32" s="1" t="s">
        <v>139</v>
      </c>
      <c r="O32" s="1" t="s">
        <v>157</v>
      </c>
      <c r="P32" s="1" t="s">
        <v>206</v>
      </c>
      <c r="Q32" s="1" t="s">
        <v>150</v>
      </c>
      <c r="R32" s="1" t="s">
        <v>159</v>
      </c>
      <c r="S32" s="1" t="s">
        <v>231</v>
      </c>
      <c r="T32" s="1" t="s">
        <v>232</v>
      </c>
      <c r="U32" s="1" t="s">
        <v>209</v>
      </c>
      <c r="V32" s="1" t="s">
        <v>169</v>
      </c>
    </row>
    <row r="33" spans="1:22" x14ac:dyDescent="0.3">
      <c r="A33" s="1" t="s">
        <v>29</v>
      </c>
      <c r="B33" s="1" t="s">
        <v>30</v>
      </c>
      <c r="C33" s="1">
        <v>63</v>
      </c>
      <c r="D33" s="1">
        <v>65</v>
      </c>
      <c r="E33" s="1">
        <v>69</v>
      </c>
      <c r="F33" s="1">
        <v>71</v>
      </c>
      <c r="G33" s="1">
        <v>73</v>
      </c>
      <c r="H33" s="1">
        <v>76</v>
      </c>
      <c r="J33" s="1" t="s">
        <v>220</v>
      </c>
      <c r="K33" s="1">
        <v>58</v>
      </c>
      <c r="L33" s="1" t="s">
        <v>210</v>
      </c>
      <c r="M33" s="1" t="s">
        <v>95</v>
      </c>
      <c r="N33" s="1" t="s">
        <v>139</v>
      </c>
      <c r="O33" s="1" t="s">
        <v>157</v>
      </c>
      <c r="P33" s="1" t="s">
        <v>233</v>
      </c>
      <c r="Q33" s="1" t="s">
        <v>172</v>
      </c>
      <c r="R33" s="1" t="s">
        <v>173</v>
      </c>
      <c r="S33" s="1" t="s">
        <v>234</v>
      </c>
      <c r="T33" s="1" t="s">
        <v>235</v>
      </c>
      <c r="U33" s="1" t="s">
        <v>236</v>
      </c>
      <c r="V33" s="1" t="s">
        <v>177</v>
      </c>
    </row>
    <row r="34" spans="1:22" x14ac:dyDescent="0.3">
      <c r="A34" s="1" t="s">
        <v>66</v>
      </c>
      <c r="B34" s="1" t="s">
        <v>67</v>
      </c>
      <c r="C34" s="6"/>
      <c r="D34" s="6"/>
      <c r="E34" s="6"/>
      <c r="F34" s="6"/>
      <c r="G34" s="6"/>
      <c r="J34" s="1" t="s">
        <v>220</v>
      </c>
      <c r="K34" s="1">
        <v>61</v>
      </c>
      <c r="L34" s="1" t="s">
        <v>215</v>
      </c>
      <c r="M34" s="1" t="s">
        <v>179</v>
      </c>
      <c r="N34" s="1" t="s">
        <v>139</v>
      </c>
      <c r="O34" s="1" t="s">
        <v>237</v>
      </c>
      <c r="P34" s="1" t="s">
        <v>238</v>
      </c>
      <c r="Q34" s="1" t="s">
        <v>172</v>
      </c>
      <c r="R34" s="1" t="s">
        <v>173</v>
      </c>
      <c r="S34" s="1" t="s">
        <v>239</v>
      </c>
      <c r="T34" s="1" t="s">
        <v>240</v>
      </c>
      <c r="U34" s="1" t="s">
        <v>219</v>
      </c>
      <c r="V34" s="1" t="s">
        <v>185</v>
      </c>
    </row>
    <row r="35" spans="1:22" x14ac:dyDescent="0.3">
      <c r="A35" s="1" t="s">
        <v>68</v>
      </c>
      <c r="B35" s="1" t="s">
        <v>74</v>
      </c>
      <c r="J35" s="1" t="s">
        <v>241</v>
      </c>
      <c r="K35" s="1">
        <v>48</v>
      </c>
      <c r="L35" s="1" t="s">
        <v>187</v>
      </c>
      <c r="M35" s="1" t="s">
        <v>94</v>
      </c>
      <c r="N35" s="1" t="s">
        <v>139</v>
      </c>
      <c r="O35" s="1" t="s">
        <v>188</v>
      </c>
      <c r="P35" s="1" t="s">
        <v>221</v>
      </c>
      <c r="Q35" s="1" t="s">
        <v>150</v>
      </c>
      <c r="R35" s="1" t="s">
        <v>143</v>
      </c>
      <c r="S35" s="1" t="s">
        <v>222</v>
      </c>
      <c r="T35" s="1" t="s">
        <v>223</v>
      </c>
      <c r="U35" s="1" t="s">
        <v>193</v>
      </c>
      <c r="V35" s="1" t="s">
        <v>147</v>
      </c>
    </row>
    <row r="36" spans="1:22" x14ac:dyDescent="0.3">
      <c r="A36" s="1" t="s">
        <v>69</v>
      </c>
      <c r="B36" s="1" t="s">
        <v>70</v>
      </c>
      <c r="J36" s="1" t="s">
        <v>241</v>
      </c>
      <c r="K36" s="1">
        <v>51</v>
      </c>
      <c r="L36" s="1" t="s">
        <v>224</v>
      </c>
      <c r="M36" s="1" t="s">
        <v>94</v>
      </c>
      <c r="N36" s="1" t="s">
        <v>139</v>
      </c>
      <c r="O36" s="1" t="s">
        <v>140</v>
      </c>
      <c r="P36" s="1" t="s">
        <v>225</v>
      </c>
      <c r="Q36" s="1" t="s">
        <v>150</v>
      </c>
      <c r="R36" s="1" t="s">
        <v>143</v>
      </c>
      <c r="S36" s="1" t="s">
        <v>226</v>
      </c>
      <c r="T36" s="1" t="s">
        <v>227</v>
      </c>
      <c r="U36" s="1" t="s">
        <v>198</v>
      </c>
      <c r="V36" s="1" t="s">
        <v>154</v>
      </c>
    </row>
    <row r="37" spans="1:22" x14ac:dyDescent="0.3">
      <c r="A37" s="1" t="s">
        <v>31</v>
      </c>
      <c r="B37" s="1" t="s">
        <v>280</v>
      </c>
      <c r="J37" s="1" t="s">
        <v>241</v>
      </c>
      <c r="K37" s="1">
        <v>54</v>
      </c>
      <c r="L37" s="1" t="s">
        <v>199</v>
      </c>
      <c r="M37" s="1" t="s">
        <v>156</v>
      </c>
      <c r="N37" s="1" t="s">
        <v>139</v>
      </c>
      <c r="O37" s="1" t="s">
        <v>157</v>
      </c>
      <c r="P37" s="1" t="s">
        <v>228</v>
      </c>
      <c r="Q37" s="1" t="s">
        <v>150</v>
      </c>
      <c r="R37" s="1" t="s">
        <v>159</v>
      </c>
      <c r="S37" s="1" t="s">
        <v>229</v>
      </c>
      <c r="T37" s="1" t="s">
        <v>230</v>
      </c>
      <c r="U37" s="1" t="s">
        <v>204</v>
      </c>
      <c r="V37" s="1" t="s">
        <v>163</v>
      </c>
    </row>
    <row r="38" spans="1:22" x14ac:dyDescent="0.3">
      <c r="A38" s="1" t="s">
        <v>32</v>
      </c>
      <c r="B38" s="1" t="s">
        <v>71</v>
      </c>
      <c r="J38" s="1" t="s">
        <v>241</v>
      </c>
      <c r="K38" s="1">
        <v>56</v>
      </c>
      <c r="L38" s="1" t="s">
        <v>205</v>
      </c>
      <c r="M38" s="1" t="s">
        <v>156</v>
      </c>
      <c r="N38" s="1" t="s">
        <v>139</v>
      </c>
      <c r="O38" s="1" t="s">
        <v>157</v>
      </c>
      <c r="P38" s="1" t="s">
        <v>206</v>
      </c>
      <c r="Q38" s="1" t="s">
        <v>150</v>
      </c>
      <c r="R38" s="1" t="s">
        <v>159</v>
      </c>
      <c r="S38" s="1" t="s">
        <v>231</v>
      </c>
      <c r="T38" s="1" t="s">
        <v>232</v>
      </c>
      <c r="U38" s="1" t="s">
        <v>209</v>
      </c>
      <c r="V38" s="1" t="s">
        <v>169</v>
      </c>
    </row>
    <row r="39" spans="1:22" x14ac:dyDescent="0.3">
      <c r="A39" s="1" t="s">
        <v>33</v>
      </c>
      <c r="J39" s="1" t="s">
        <v>241</v>
      </c>
      <c r="K39" s="1">
        <v>58</v>
      </c>
      <c r="L39" s="1" t="s">
        <v>210</v>
      </c>
      <c r="M39" s="1" t="s">
        <v>95</v>
      </c>
      <c r="N39" s="1" t="s">
        <v>139</v>
      </c>
      <c r="O39" s="1" t="s">
        <v>157</v>
      </c>
      <c r="P39" s="1" t="s">
        <v>233</v>
      </c>
      <c r="Q39" s="1" t="s">
        <v>172</v>
      </c>
      <c r="R39" s="1" t="s">
        <v>173</v>
      </c>
      <c r="S39" s="1" t="s">
        <v>234</v>
      </c>
      <c r="T39" s="1" t="s">
        <v>235</v>
      </c>
      <c r="U39" s="1" t="s">
        <v>236</v>
      </c>
      <c r="V39" s="1" t="s">
        <v>177</v>
      </c>
    </row>
    <row r="40" spans="1:22" x14ac:dyDescent="0.3">
      <c r="A40" s="1" t="s">
        <v>34</v>
      </c>
      <c r="B40" s="1">
        <v>50</v>
      </c>
      <c r="J40" s="1" t="s">
        <v>241</v>
      </c>
      <c r="K40" s="1">
        <v>61</v>
      </c>
      <c r="L40" s="1" t="s">
        <v>215</v>
      </c>
      <c r="M40" s="1" t="s">
        <v>179</v>
      </c>
      <c r="N40" s="1" t="s">
        <v>139</v>
      </c>
      <c r="O40" s="1" t="s">
        <v>237</v>
      </c>
      <c r="P40" s="1" t="s">
        <v>238</v>
      </c>
      <c r="Q40" s="1" t="s">
        <v>172</v>
      </c>
      <c r="R40" s="1" t="s">
        <v>173</v>
      </c>
      <c r="S40" s="1" t="s">
        <v>239</v>
      </c>
      <c r="T40" s="1" t="s">
        <v>240</v>
      </c>
      <c r="U40" s="1" t="s">
        <v>219</v>
      </c>
      <c r="V40" s="1" t="s">
        <v>185</v>
      </c>
    </row>
    <row r="41" spans="1:22" x14ac:dyDescent="0.3">
      <c r="A41" s="1" t="s">
        <v>35</v>
      </c>
      <c r="B41" s="5"/>
      <c r="J41" s="1" t="s">
        <v>242</v>
      </c>
      <c r="K41" s="1">
        <v>48</v>
      </c>
      <c r="L41" s="1" t="s">
        <v>243</v>
      </c>
      <c r="M41" s="1" t="s">
        <v>94</v>
      </c>
      <c r="N41" s="1" t="s">
        <v>139</v>
      </c>
      <c r="O41" s="1" t="s">
        <v>157</v>
      </c>
      <c r="P41" s="1" t="s">
        <v>244</v>
      </c>
      <c r="Q41" s="1" t="s">
        <v>150</v>
      </c>
      <c r="R41" s="1" t="s">
        <v>143</v>
      </c>
      <c r="S41" s="1" t="s">
        <v>245</v>
      </c>
      <c r="T41" s="1" t="s">
        <v>223</v>
      </c>
      <c r="U41" s="1" t="s">
        <v>246</v>
      </c>
      <c r="V41" s="1" t="s">
        <v>147</v>
      </c>
    </row>
    <row r="42" spans="1:22" x14ac:dyDescent="0.3">
      <c r="A42" s="1" t="s">
        <v>36</v>
      </c>
      <c r="J42" s="1" t="s">
        <v>242</v>
      </c>
      <c r="K42" s="1">
        <v>51</v>
      </c>
      <c r="L42" s="1" t="s">
        <v>247</v>
      </c>
      <c r="M42" s="1" t="s">
        <v>94</v>
      </c>
      <c r="N42" s="1" t="s">
        <v>139</v>
      </c>
      <c r="O42" s="1" t="s">
        <v>157</v>
      </c>
      <c r="P42" s="1" t="s">
        <v>248</v>
      </c>
      <c r="Q42" s="1" t="s">
        <v>150</v>
      </c>
      <c r="R42" s="1" t="s">
        <v>143</v>
      </c>
      <c r="S42" s="1" t="s">
        <v>249</v>
      </c>
      <c r="T42" s="1" t="s">
        <v>250</v>
      </c>
      <c r="U42" s="1" t="s">
        <v>251</v>
      </c>
      <c r="V42" s="1" t="s">
        <v>252</v>
      </c>
    </row>
    <row r="43" spans="1:22" x14ac:dyDescent="0.3">
      <c r="A43" s="1" t="s">
        <v>37</v>
      </c>
      <c r="J43" s="1" t="s">
        <v>242</v>
      </c>
      <c r="K43" s="1">
        <v>54</v>
      </c>
      <c r="L43" s="1" t="s">
        <v>253</v>
      </c>
      <c r="M43" s="1" t="s">
        <v>94</v>
      </c>
      <c r="N43" s="1" t="s">
        <v>139</v>
      </c>
      <c r="O43" s="1" t="s">
        <v>157</v>
      </c>
      <c r="P43" s="1" t="s">
        <v>254</v>
      </c>
      <c r="Q43" s="1" t="s">
        <v>150</v>
      </c>
      <c r="R43" s="1" t="s">
        <v>159</v>
      </c>
      <c r="S43" s="1" t="s">
        <v>255</v>
      </c>
      <c r="T43" s="1" t="s">
        <v>256</v>
      </c>
      <c r="U43" s="1" t="s">
        <v>257</v>
      </c>
      <c r="V43" s="1" t="s">
        <v>258</v>
      </c>
    </row>
    <row r="44" spans="1:22" x14ac:dyDescent="0.3">
      <c r="A44" s="1" t="s">
        <v>38</v>
      </c>
      <c r="J44" s="1" t="s">
        <v>242</v>
      </c>
      <c r="K44" s="1">
        <v>56</v>
      </c>
      <c r="L44" s="1" t="s">
        <v>259</v>
      </c>
      <c r="M44" s="1" t="s">
        <v>94</v>
      </c>
      <c r="N44" s="1" t="s">
        <v>139</v>
      </c>
      <c r="O44" s="1" t="s">
        <v>237</v>
      </c>
      <c r="P44" s="1" t="s">
        <v>260</v>
      </c>
      <c r="Q44" s="1" t="s">
        <v>150</v>
      </c>
      <c r="R44" s="1" t="s">
        <v>159</v>
      </c>
      <c r="S44" s="1" t="s">
        <v>261</v>
      </c>
      <c r="T44" s="1" t="s">
        <v>232</v>
      </c>
      <c r="U44" s="1" t="s">
        <v>178</v>
      </c>
      <c r="V44" s="1" t="s">
        <v>262</v>
      </c>
    </row>
    <row r="45" spans="1:22" x14ac:dyDescent="0.3">
      <c r="A45" s="1" t="s">
        <v>39</v>
      </c>
      <c r="J45" s="1" t="s">
        <v>242</v>
      </c>
      <c r="K45" s="1">
        <v>58</v>
      </c>
      <c r="L45" s="1" t="s">
        <v>263</v>
      </c>
      <c r="M45" s="1" t="s">
        <v>95</v>
      </c>
      <c r="N45" s="1" t="s">
        <v>139</v>
      </c>
      <c r="O45" s="1" t="s">
        <v>237</v>
      </c>
      <c r="P45" s="1" t="s">
        <v>264</v>
      </c>
      <c r="Q45" s="1" t="s">
        <v>172</v>
      </c>
      <c r="R45" s="1" t="s">
        <v>173</v>
      </c>
      <c r="S45" s="1" t="s">
        <v>265</v>
      </c>
      <c r="T45" s="1" t="s">
        <v>266</v>
      </c>
      <c r="U45" s="1" t="s">
        <v>267</v>
      </c>
      <c r="V45" s="1" t="s">
        <v>268</v>
      </c>
    </row>
    <row r="46" spans="1:22" x14ac:dyDescent="0.3">
      <c r="A46" s="1" t="s">
        <v>40</v>
      </c>
      <c r="B46" s="1">
        <v>142</v>
      </c>
      <c r="J46" s="1" t="s">
        <v>242</v>
      </c>
      <c r="K46" s="1">
        <v>61</v>
      </c>
      <c r="L46" s="1" t="s">
        <v>269</v>
      </c>
      <c r="M46" s="1" t="s">
        <v>95</v>
      </c>
      <c r="N46" s="1" t="s">
        <v>139</v>
      </c>
      <c r="O46" s="1" t="s">
        <v>237</v>
      </c>
      <c r="P46" s="1" t="s">
        <v>270</v>
      </c>
      <c r="Q46" s="1" t="s">
        <v>172</v>
      </c>
      <c r="R46" s="1" t="s">
        <v>173</v>
      </c>
      <c r="S46" s="1" t="s">
        <v>271</v>
      </c>
      <c r="T46" s="1" t="s">
        <v>240</v>
      </c>
      <c r="U46" s="1" t="s">
        <v>272</v>
      </c>
      <c r="V46" s="1" t="s">
        <v>273</v>
      </c>
    </row>
    <row r="47" spans="1:22" x14ac:dyDescent="0.3">
      <c r="A47" s="1" t="s">
        <v>41</v>
      </c>
      <c r="B47" s="1">
        <v>100</v>
      </c>
    </row>
    <row r="48" spans="1:22" x14ac:dyDescent="0.3">
      <c r="A48" s="1" t="s">
        <v>286</v>
      </c>
    </row>
    <row r="49" spans="1:2" x14ac:dyDescent="0.3">
      <c r="A49" s="1" t="s">
        <v>287</v>
      </c>
    </row>
    <row r="50" spans="1:2" x14ac:dyDescent="0.3">
      <c r="A50" s="1" t="s">
        <v>288</v>
      </c>
    </row>
    <row r="51" spans="1:2" x14ac:dyDescent="0.3">
      <c r="A51" s="1" t="s">
        <v>289</v>
      </c>
    </row>
    <row r="52" spans="1:2" x14ac:dyDescent="0.3">
      <c r="A52" s="1" t="s">
        <v>290</v>
      </c>
    </row>
    <row r="53" spans="1:2" x14ac:dyDescent="0.3">
      <c r="A53" s="1" t="s">
        <v>291</v>
      </c>
    </row>
    <row r="54" spans="1:2" x14ac:dyDescent="0.3">
      <c r="A54" s="1" t="s">
        <v>42</v>
      </c>
      <c r="B54" s="1" t="s">
        <v>281</v>
      </c>
    </row>
    <row r="55" spans="1:2" x14ac:dyDescent="0.3">
      <c r="A55" s="1" t="s">
        <v>43</v>
      </c>
    </row>
    <row r="56" spans="1:2" x14ac:dyDescent="0.3">
      <c r="A56" s="1" t="s">
        <v>44</v>
      </c>
      <c r="B56" s="1">
        <v>27.2</v>
      </c>
    </row>
    <row r="57" spans="1:2" x14ac:dyDescent="0.3">
      <c r="A57" s="1" t="s">
        <v>45</v>
      </c>
      <c r="B57" s="1" t="s">
        <v>71</v>
      </c>
    </row>
    <row r="58" spans="1:2" x14ac:dyDescent="0.3">
      <c r="A58" s="1" t="s">
        <v>46</v>
      </c>
      <c r="B58" s="1">
        <v>42</v>
      </c>
    </row>
    <row r="59" spans="1:2" x14ac:dyDescent="0.3">
      <c r="A59" s="1" t="s">
        <v>47</v>
      </c>
      <c r="B59" s="1">
        <v>48</v>
      </c>
    </row>
    <row r="60" spans="1:2" x14ac:dyDescent="0.3">
      <c r="A60" s="1" t="s">
        <v>48</v>
      </c>
      <c r="B60" s="1">
        <v>160</v>
      </c>
    </row>
    <row r="61" spans="1:2" x14ac:dyDescent="0.3">
      <c r="A61" s="1" t="s">
        <v>49</v>
      </c>
      <c r="B61" s="1">
        <v>160</v>
      </c>
    </row>
    <row r="62" spans="1:2" x14ac:dyDescent="0.3">
      <c r="A62" s="1" t="s">
        <v>50</v>
      </c>
    </row>
    <row r="63" spans="1:2" x14ac:dyDescent="0.3">
      <c r="A63" s="1" t="s">
        <v>51</v>
      </c>
      <c r="B63" s="1" t="s">
        <v>275</v>
      </c>
    </row>
    <row r="64" spans="1:2" x14ac:dyDescent="0.3">
      <c r="A64" s="1" t="s">
        <v>52</v>
      </c>
      <c r="B64" s="1" t="s">
        <v>73</v>
      </c>
    </row>
    <row r="65" spans="1:2" x14ac:dyDescent="0.3">
      <c r="A65" s="1" t="s">
        <v>53</v>
      </c>
    </row>
    <row r="66" spans="1:2" x14ac:dyDescent="0.3">
      <c r="A66" s="1" t="s">
        <v>54</v>
      </c>
    </row>
    <row r="67" spans="1:2" x14ac:dyDescent="0.3">
      <c r="A67" s="1" t="s">
        <v>55</v>
      </c>
      <c r="B67" s="1">
        <v>2</v>
      </c>
    </row>
    <row r="68" spans="1:2" x14ac:dyDescent="0.3">
      <c r="A68" s="1" t="s">
        <v>56</v>
      </c>
    </row>
    <row r="69" spans="1:2" x14ac:dyDescent="0.3">
      <c r="A69" s="1" t="s">
        <v>57</v>
      </c>
      <c r="B69" s="1" t="s">
        <v>71</v>
      </c>
    </row>
    <row r="70" spans="1:2" x14ac:dyDescent="0.3">
      <c r="A70" s="1" t="s">
        <v>58</v>
      </c>
      <c r="B70" s="1">
        <v>3</v>
      </c>
    </row>
    <row r="71" spans="1:2" x14ac:dyDescent="0.3">
      <c r="A71" s="1" t="s">
        <v>59</v>
      </c>
      <c r="B71" s="1" t="s">
        <v>71</v>
      </c>
    </row>
    <row r="72" spans="1:2" x14ac:dyDescent="0.3">
      <c r="A72" s="1" t="s">
        <v>60</v>
      </c>
      <c r="B72" s="1" t="s">
        <v>71</v>
      </c>
    </row>
    <row r="73" spans="1:2" x14ac:dyDescent="0.3">
      <c r="A73" s="1" t="s">
        <v>61</v>
      </c>
      <c r="B73" s="1" t="s">
        <v>71</v>
      </c>
    </row>
    <row r="74" spans="1:2" x14ac:dyDescent="0.3">
      <c r="A74" s="1" t="s">
        <v>62</v>
      </c>
      <c r="B74" s="1">
        <v>1799.95</v>
      </c>
    </row>
    <row r="75" spans="1:2" x14ac:dyDescent="0.3">
      <c r="A75" s="1" t="s">
        <v>63</v>
      </c>
      <c r="B75" s="1">
        <v>3995.95</v>
      </c>
    </row>
    <row r="76" spans="1:2" x14ac:dyDescent="0.3">
      <c r="A76" s="1" t="s">
        <v>64</v>
      </c>
    </row>
    <row r="77" spans="1:2" x14ac:dyDescent="0.3">
      <c r="A77" s="1" t="s">
        <v>65</v>
      </c>
      <c r="B77" s="1" t="s">
        <v>274</v>
      </c>
    </row>
    <row r="78" spans="1:2" x14ac:dyDescent="0.3">
      <c r="A78" s="1" t="s">
        <v>284</v>
      </c>
      <c r="B78" s="1" t="s">
        <v>285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dc:creator>
  <cp:lastModifiedBy>Jeffrey A Walker</cp:lastModifiedBy>
  <dcterms:created xsi:type="dcterms:W3CDTF">2025-07-26T17:58:58Z</dcterms:created>
  <dcterms:modified xsi:type="dcterms:W3CDTF">2025-11-07T14:43:15Z</dcterms:modified>
</cp:coreProperties>
</file>