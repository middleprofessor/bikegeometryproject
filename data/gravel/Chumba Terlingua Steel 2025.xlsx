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35EDCA-9093-EC4A-833A-3785FDCCD3FB}" xr6:coauthVersionLast="47" xr6:coauthVersionMax="47" xr10:uidLastSave="{00000000-0000-0000-0000-000000000000}"/>
  <bookViews>
    <workbookView xWindow="34380" yWindow="-24740" windowWidth="25140" windowHeight="13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D29" i="1"/>
  <c r="E29" i="1"/>
  <c r="F29" i="1"/>
  <c r="G29" i="1"/>
  <c r="H29" i="1"/>
  <c r="C29" i="1"/>
  <c r="E16" i="1"/>
  <c r="F16" i="1"/>
  <c r="G16" i="1"/>
  <c r="H16" i="1"/>
  <c r="D16" i="1"/>
  <c r="C16" i="1"/>
  <c r="D14" i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<sst xmlns="http://schemas.openxmlformats.org/spreadsheetml/2006/main" count="125" uniqueCount="114">
  <si>
    <t>brand</t>
  </si>
  <si>
    <t>Chumba</t>
  </si>
  <si>
    <t>model</t>
  </si>
  <si>
    <t>model_year</t>
  </si>
  <si>
    <t>input_date</t>
  </si>
  <si>
    <t>url</t>
  </si>
  <si>
    <t>data_range</t>
  </si>
  <si>
    <t>a8:h30</t>
  </si>
  <si>
    <t>frame_size</t>
  </si>
  <si>
    <t>top_tube_effective_length</t>
  </si>
  <si>
    <t>Effective Top Tube</t>
  </si>
  <si>
    <t>head_tube_angle</t>
  </si>
  <si>
    <t>Head Tube Angle</t>
  </si>
  <si>
    <t>head_tube_length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</si>
  <si>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</si>
  <si>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</si>
  <si>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</si>
  <si>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</si>
  <si>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</si>
  <si>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</si>
  <si>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</si>
  <si>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</si>
  <si>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</si>
  <si>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</si>
  <si>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</si>
  <si>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</si>
  <si>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</si>
  <si>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</si>
  <si>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</si>
  <si>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</si>
  <si>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</si>
  <si>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</si>
  <si>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</si>
  <si>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</si>
  <si>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</si>
  <si>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</si>
  <si>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</si>
  <si>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</si>
  <si>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</si>
  <si>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</si>
  <si>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</si>
  <si>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</si>
  <si>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</si>
  <si>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</si>
  <si>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</si>
  <si>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</si>
  <si>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</si>
  <si>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</si>
  <si>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</si>
  <si>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</si>
  <si>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</si>
  <si>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</si>
  <si>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</si>
  <si>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</si>
  <si>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</si>
  <si>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</si>
  <si>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</si>
  <si>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</si>
  <si>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</si>
  <si>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</si>
  <si>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</si>
  <si>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</si>
  <si>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</si>
  <si>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</si>
  <si>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</si>
  <si>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</si>
  <si>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</si>
  <si>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</si>
  <si>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</si>
  <si>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</si>
  <si>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</si>
  <si>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</si>
  <si>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</si>
  <si>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</si>
  <si>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</si>
  <si>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</si>
  <si>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</si>
  <si>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</si>
  <si>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</si>
  <si>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</si>
  <si>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</si>
  <si>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</si>
  <si>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</si>
  <si>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</si>
  <si>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</si>
  <si>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https://chumbausa.com/terlingua-700c-650bplus-steel</t>
  </si>
  <si>
    <t>threaded</t>
  </si>
  <si>
    <t>external</t>
  </si>
  <si>
    <t>yes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</si>
  <si>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</si>
  <si>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</si>
  <si>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</si>
  <si>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</si>
  <si>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</si>
  <si>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</si>
  <si>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</si>
  <si>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</si>
  <si>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Head Tube Length</t>
  </si>
  <si>
    <t>425-445</t>
  </si>
  <si>
    <t>999-1019</t>
  </si>
  <si>
    <t>1007-1027</t>
  </si>
  <si>
    <t>1014-1034</t>
  </si>
  <si>
    <t>1036-1056</t>
  </si>
  <si>
    <t>1042-1062</t>
  </si>
  <si>
    <t>1053-1073</t>
  </si>
  <si>
    <t>29.1"</t>
  </si>
  <si>
    <t>29.8"</t>
  </si>
  <si>
    <t>30.3"</t>
  </si>
  <si>
    <t>30.9"</t>
  </si>
  <si>
    <t>31.7"</t>
  </si>
  <si>
    <t>32.3"</t>
  </si>
  <si>
    <t>Terlingua Steel (short)</t>
  </si>
  <si>
    <t>USD</t>
  </si>
  <si>
    <t>https://images.squarespace-cdn.com/content/v1/52f98c74e4b097d8674dc15e/1725976712625-5UQH5G41JVP338NW0UFF/Bikepacking-Roots-Chumba-Terlingua-Gravel-Giveaway-Bike4.jpg?format=1500w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</si>
</sst>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111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2">
        <v>45907</v>
      </c>
    </row>
    <row r="5" spans="1:14" x14ac:dyDescent="0.3">
      <c r="A5" t="s">
        <v>5</v>
      </c>
      <c r="B5" t="s">
        <v>85</v>
      </c>
    </row>
    <row r="6" spans="1:14" x14ac:dyDescent="0.3">
      <c r="B6" t="s">
        <v>113</v>
      </c>
    </row>
    <row r="7" spans="1:14" x14ac:dyDescent="0.3">
      <c r="A7" t="s">
        <v>6</v>
      </c>
      <c r="B7" t="s">
        <v>7</v>
      </c>
    </row>
    <row r="8" spans="1:14" x14ac:dyDescent="0.3">
      <c r="A8" t="s">
        <v>8</v>
      </c>
      <c r="B8" t="s">
        <v>89</v>
      </c>
      <c r="C8">
        <v>50</v>
      </c>
      <c r="D8">
        <v>52</v>
      </c>
      <c r="E8">
        <v>54</v>
      </c>
      <c r="F8">
        <v>56</v>
      </c>
      <c r="G8">
        <v>58</v>
      </c>
      <c r="H8">
        <v>60</v>
      </c>
    </row>
    <row r="9" spans="1:14" x14ac:dyDescent="0.3">
      <c r="A9" t="s">
        <v>9</v>
      </c>
      <c r="B9" t="s">
        <v>10</v>
      </c>
      <c r="C9">
        <v>518</v>
      </c>
      <c r="D9">
        <v>530</v>
      </c>
      <c r="E9">
        <v>545</v>
      </c>
      <c r="F9">
        <v>560</v>
      </c>
      <c r="G9">
        <v>575</v>
      </c>
      <c r="H9">
        <v>590</v>
      </c>
    </row>
    <row r="10" spans="1:14" x14ac:dyDescent="0.3">
      <c r="A10" t="s">
        <v>11</v>
      </c>
      <c r="B10" t="s">
        <v>12</v>
      </c>
      <c r="C10">
        <v>71</v>
      </c>
      <c r="D10">
        <v>71</v>
      </c>
      <c r="E10">
        <v>71.5</v>
      </c>
      <c r="F10">
        <v>71.5</v>
      </c>
      <c r="G10">
        <v>72</v>
      </c>
      <c r="H10">
        <v>72</v>
      </c>
    </row>
    <row r="11" spans="1:14" x14ac:dyDescent="0.3">
      <c r="A11" t="s">
        <v>13</v>
      </c>
      <c r="B11" t="s">
        <v>97</v>
      </c>
      <c r="C11">
        <v>100</v>
      </c>
      <c r="D11">
        <v>120</v>
      </c>
      <c r="E11">
        <v>130</v>
      </c>
      <c r="F11">
        <v>150</v>
      </c>
      <c r="G11">
        <v>170</v>
      </c>
      <c r="H11">
        <v>190</v>
      </c>
    </row>
    <row r="12" spans="1:14" x14ac:dyDescent="0.3">
      <c r="A12" t="s">
        <v>14</v>
      </c>
      <c r="B12" t="s">
        <v>15</v>
      </c>
      <c r="C12">
        <v>74.5</v>
      </c>
      <c r="D12">
        <v>74</v>
      </c>
      <c r="E12">
        <v>73.5</v>
      </c>
      <c r="F12">
        <v>73.5</v>
      </c>
      <c r="G12">
        <v>73</v>
      </c>
      <c r="H12">
        <v>73</v>
      </c>
    </row>
    <row r="13" spans="1:14" x14ac:dyDescent="0.3">
      <c r="A13" t="s">
        <v>16</v>
      </c>
      <c r="B13" t="s">
        <v>17</v>
      </c>
      <c r="C13">
        <v>485</v>
      </c>
      <c r="D13">
        <v>500</v>
      </c>
      <c r="E13">
        <v>515</v>
      </c>
      <c r="F13">
        <v>530</v>
      </c>
      <c r="G13">
        <v>545</v>
      </c>
      <c r="H13">
        <v>560</v>
      </c>
    </row>
    <row r="14" spans="1:14" x14ac:dyDescent="0.3">
      <c r="A14" t="s">
        <v>18</v>
      </c>
      <c r="B14" t="s">
        <v>19</v>
      </c>
      <c r="C14">
        <f>VALUE(LEFT(I14,3))</f>
        <v>425</v>
      </c>
      <c r="D14">
        <f t="shared" ref="D14:H14" si="0">VALUE(LEFT(J14,3))</f>
        <v>425</v>
      </c>
      <c r="E14">
        <f t="shared" si="0"/>
        <v>425</v>
      </c>
      <c r="F14">
        <f t="shared" si="0"/>
        <v>425</v>
      </c>
      <c r="G14">
        <f t="shared" si="0"/>
        <v>425</v>
      </c>
      <c r="H14">
        <f t="shared" si="0"/>
        <v>425</v>
      </c>
      <c r="I14" t="s">
        <v>98</v>
      </c>
      <c r="J14" t="s">
        <v>98</v>
      </c>
      <c r="K14" t="s">
        <v>98</v>
      </c>
      <c r="L14" t="s">
        <v>98</v>
      </c>
      <c r="M14" t="s">
        <v>98</v>
      </c>
      <c r="N14" t="s">
        <v>98</v>
      </c>
    </row>
    <row r="15" spans="1:14" x14ac:dyDescent="0.3">
      <c r="A15" t="s">
        <v>20</v>
      </c>
      <c r="B15" t="s">
        <v>21</v>
      </c>
      <c r="C15">
        <v>71</v>
      </c>
      <c r="D15">
        <v>71</v>
      </c>
      <c r="E15">
        <v>68</v>
      </c>
      <c r="F15">
        <v>68</v>
      </c>
      <c r="G15">
        <v>65</v>
      </c>
      <c r="H15">
        <v>65</v>
      </c>
    </row>
    <row r="16" spans="1:14" x14ac:dyDescent="0.3">
      <c r="A16" t="s">
        <v>22</v>
      </c>
      <c r="B16" t="s">
        <v>23</v>
      </c>
      <c r="C16">
        <f>VALUE(LEFT(I16,3))</f>
        <v>999</v>
      </c>
      <c r="D16">
        <f>VALUE(LEFT(J16,4))</f>
        <v>1007</v>
      </c>
      <c r="E16">
        <f t="shared" ref="E16:H16" si="1">VALUE(LEFT(K16,4))</f>
        <v>1014</v>
      </c>
      <c r="F16">
        <f t="shared" si="1"/>
        <v>1036</v>
      </c>
      <c r="G16">
        <f t="shared" si="1"/>
        <v>1042</v>
      </c>
      <c r="H16">
        <f t="shared" si="1"/>
        <v>1053</v>
      </c>
      <c r="I16" t="s">
        <v>99</v>
      </c>
      <c r="J16" t="s">
        <v>100</v>
      </c>
      <c r="K16" t="s">
        <v>101</v>
      </c>
      <c r="L16" t="s">
        <v>102</v>
      </c>
      <c r="M16" t="s">
        <v>103</v>
      </c>
      <c r="N16" t="s">
        <v>104</v>
      </c>
    </row>
    <row r="17" spans="1:8" x14ac:dyDescent="0.3">
      <c r="A17" t="s">
        <v>26</v>
      </c>
      <c r="B17" t="s">
        <v>27</v>
      </c>
      <c r="C17">
        <v>369</v>
      </c>
      <c r="D17">
        <v>371</v>
      </c>
      <c r="E17">
        <v>379</v>
      </c>
      <c r="F17">
        <v>393</v>
      </c>
      <c r="G17">
        <v>397</v>
      </c>
      <c r="H17">
        <v>402</v>
      </c>
    </row>
    <row r="18" spans="1:8" x14ac:dyDescent="0.3">
      <c r="A18" t="s">
        <v>28</v>
      </c>
      <c r="B18" t="s">
        <v>29</v>
      </c>
      <c r="C18">
        <v>531</v>
      </c>
      <c r="D18">
        <v>550</v>
      </c>
      <c r="E18">
        <v>558</v>
      </c>
      <c r="F18">
        <v>577</v>
      </c>
      <c r="G18">
        <v>595</v>
      </c>
      <c r="H18">
        <v>614</v>
      </c>
    </row>
    <row r="19" spans="1:8" x14ac:dyDescent="0.3">
      <c r="A19" t="s">
        <v>24</v>
      </c>
    </row>
    <row r="20" spans="1:8" x14ac:dyDescent="0.3">
      <c r="A20" t="s">
        <v>30</v>
      </c>
      <c r="C20">
        <v>49</v>
      </c>
      <c r="D20">
        <v>49</v>
      </c>
      <c r="E20">
        <v>49</v>
      </c>
      <c r="F20">
        <v>49</v>
      </c>
      <c r="G20">
        <v>49</v>
      </c>
      <c r="H20">
        <v>49</v>
      </c>
    </row>
    <row r="21" spans="1:8" x14ac:dyDescent="0.3">
      <c r="A21" t="s">
        <v>31</v>
      </c>
      <c r="C21">
        <v>398</v>
      </c>
      <c r="D21">
        <v>398</v>
      </c>
      <c r="E21">
        <v>398</v>
      </c>
      <c r="F21">
        <v>398</v>
      </c>
      <c r="G21">
        <v>398</v>
      </c>
      <c r="H21">
        <v>398</v>
      </c>
    </row>
    <row r="22" spans="1:8" x14ac:dyDescent="0.3">
      <c r="A22" t="s">
        <v>32</v>
      </c>
      <c r="B22" t="s">
        <v>32</v>
      </c>
    </row>
    <row r="23" spans="1:8" x14ac:dyDescent="0.3">
      <c r="A23" t="s">
        <v>33</v>
      </c>
      <c r="B23" t="s">
        <v>33</v>
      </c>
    </row>
    <row r="24" spans="1:8" x14ac:dyDescent="0.3">
      <c r="A24" t="s">
        <v>34</v>
      </c>
      <c r="B24" t="s">
        <v>34</v>
      </c>
    </row>
    <row r="25" spans="1:8" x14ac:dyDescent="0.3">
      <c r="A25" t="s">
        <v>35</v>
      </c>
    </row>
    <row r="26" spans="1:8" x14ac:dyDescent="0.3">
      <c r="A26" t="s">
        <v>36</v>
      </c>
      <c r="B26" t="s">
        <v>36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37</v>
      </c>
      <c r="B27" t="s">
        <v>37</v>
      </c>
      <c r="C27">
        <v>40</v>
      </c>
      <c r="D27">
        <v>40</v>
      </c>
      <c r="E27">
        <v>40</v>
      </c>
      <c r="F27">
        <v>40</v>
      </c>
      <c r="G27">
        <v>40</v>
      </c>
      <c r="H27">
        <v>40</v>
      </c>
    </row>
    <row r="28" spans="1:8" x14ac:dyDescent="0.3">
      <c r="A28" t="s">
        <v>38</v>
      </c>
      <c r="B28" t="s">
        <v>38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39</v>
      </c>
      <c r="C29">
        <f>C31*2.54</f>
        <v>152.4</v>
      </c>
      <c r="D29">
        <f t="shared" ref="D29:H30" si="2">D31*2.54</f>
        <v>162.56</v>
      </c>
      <c r="E29">
        <f t="shared" si="2"/>
        <v>172.72</v>
      </c>
      <c r="F29">
        <f t="shared" si="2"/>
        <v>177.8</v>
      </c>
      <c r="G29">
        <f t="shared" si="2"/>
        <v>182.88</v>
      </c>
      <c r="H29">
        <f t="shared" si="2"/>
        <v>187.96</v>
      </c>
    </row>
    <row r="30" spans="1:8" x14ac:dyDescent="0.3">
      <c r="A30" t="s">
        <v>40</v>
      </c>
      <c r="C30">
        <f>C32*2.54</f>
        <v>160.02000000000001</v>
      </c>
      <c r="D30">
        <f t="shared" si="2"/>
        <v>170.18</v>
      </c>
      <c r="E30">
        <f t="shared" si="2"/>
        <v>177.8</v>
      </c>
      <c r="F30">
        <f t="shared" si="2"/>
        <v>182.88</v>
      </c>
      <c r="G30">
        <f t="shared" si="2"/>
        <v>186.69</v>
      </c>
      <c r="H30">
        <f t="shared" si="2"/>
        <v>190.5</v>
      </c>
    </row>
    <row r="31" spans="1:8" x14ac:dyDescent="0.3">
      <c r="C31">
        <v>60</v>
      </c>
      <c r="D31">
        <v>64</v>
      </c>
      <c r="E31">
        <v>68</v>
      </c>
      <c r="F31">
        <v>70</v>
      </c>
      <c r="G31">
        <v>72</v>
      </c>
      <c r="H31">
        <v>74</v>
      </c>
    </row>
    <row r="32" spans="1:8" x14ac:dyDescent="0.3">
      <c r="A32" t="s">
        <v>41</v>
      </c>
      <c r="B32" t="s">
        <v>42</v>
      </c>
      <c r="C32">
        <v>63</v>
      </c>
      <c r="D32">
        <v>67</v>
      </c>
      <c r="E32">
        <v>70</v>
      </c>
      <c r="F32">
        <v>72</v>
      </c>
      <c r="G32">
        <v>73.5</v>
      </c>
      <c r="H32">
        <v>75</v>
      </c>
    </row>
    <row r="33" spans="1:9" x14ac:dyDescent="0.3">
      <c r="A33" t="s">
        <v>79</v>
      </c>
      <c r="B33" t="s">
        <v>80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90</v>
      </c>
    </row>
    <row r="34" spans="1:9" x14ac:dyDescent="0.3">
      <c r="A34" t="s">
        <v>81</v>
      </c>
      <c r="B34" t="s">
        <v>82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25</v>
      </c>
    </row>
    <row r="35" spans="1:9" x14ac:dyDescent="0.3">
      <c r="A35" t="s">
        <v>83</v>
      </c>
      <c r="B35" t="s">
        <v>84</v>
      </c>
    </row>
    <row r="36" spans="1:9" x14ac:dyDescent="0.3">
      <c r="A36" t="s">
        <v>43</v>
      </c>
      <c r="B36" t="s">
        <v>44</v>
      </c>
    </row>
    <row r="37" spans="1:9" x14ac:dyDescent="0.3">
      <c r="A37" t="s">
        <v>45</v>
      </c>
    </row>
    <row r="38" spans="1:9" x14ac:dyDescent="0.3">
      <c r="A38" t="s">
        <v>46</v>
      </c>
    </row>
    <row r="39" spans="1:9" x14ac:dyDescent="0.3">
      <c r="A39" t="s">
        <v>47</v>
      </c>
      <c r="B39">
        <v>50</v>
      </c>
    </row>
    <row r="40" spans="1:9" x14ac:dyDescent="0.3">
      <c r="A40" t="s">
        <v>48</v>
      </c>
    </row>
    <row r="41" spans="1:9" x14ac:dyDescent="0.3">
      <c r="A41" t="s">
        <v>49</v>
      </c>
    </row>
    <row r="42" spans="1:9" x14ac:dyDescent="0.3">
      <c r="A42" t="s">
        <v>50</v>
      </c>
    </row>
    <row r="43" spans="1:9" x14ac:dyDescent="0.3">
      <c r="A43" t="s">
        <v>51</v>
      </c>
    </row>
    <row r="44" spans="1:9" x14ac:dyDescent="0.3">
      <c r="A44" t="s">
        <v>52</v>
      </c>
    </row>
    <row r="45" spans="1:9" x14ac:dyDescent="0.3">
      <c r="A45" t="s">
        <v>53</v>
      </c>
      <c r="B45">
        <v>142</v>
      </c>
    </row>
    <row r="46" spans="1:9" x14ac:dyDescent="0.3">
      <c r="A46" t="s">
        <v>54</v>
      </c>
      <c r="B46">
        <v>100</v>
      </c>
    </row>
    <row r="47" spans="1:9" x14ac:dyDescent="0.3">
      <c r="A47" t="s">
        <v>55</v>
      </c>
      <c r="B47" s="1" t="s">
        <v>86</v>
      </c>
    </row>
    <row r="48" spans="1:9" x14ac:dyDescent="0.3">
      <c r="A48" t="s">
        <v>56</v>
      </c>
    </row>
    <row r="49" spans="1:2" x14ac:dyDescent="0.3">
      <c r="A49" t="s">
        <v>57</v>
      </c>
      <c r="B49">
        <v>27.2</v>
      </c>
    </row>
    <row r="50" spans="1:2" x14ac:dyDescent="0.3">
      <c r="A50" t="s">
        <v>58</v>
      </c>
    </row>
    <row r="51" spans="1:2" x14ac:dyDescent="0.3">
      <c r="A51" t="s">
        <v>59</v>
      </c>
      <c r="B51">
        <v>46</v>
      </c>
    </row>
    <row r="52" spans="1:2" x14ac:dyDescent="0.3">
      <c r="A52" t="s">
        <v>60</v>
      </c>
      <c r="B52">
        <v>52</v>
      </c>
    </row>
    <row r="53" spans="1:2" x14ac:dyDescent="0.3">
      <c r="A53" t="s">
        <v>61</v>
      </c>
      <c r="B53">
        <v>160</v>
      </c>
    </row>
    <row r="54" spans="1:2" x14ac:dyDescent="0.3">
      <c r="A54" t="s">
        <v>62</v>
      </c>
      <c r="B54">
        <v>160</v>
      </c>
    </row>
    <row r="55" spans="1:2" x14ac:dyDescent="0.3">
      <c r="A55" t="s">
        <v>63</v>
      </c>
    </row>
    <row r="56" spans="1:2" x14ac:dyDescent="0.3">
      <c r="A56" t="s">
        <v>64</v>
      </c>
      <c r="B56" s="1" t="s">
        <v>87</v>
      </c>
    </row>
    <row r="57" spans="1:2" x14ac:dyDescent="0.3">
      <c r="A57" t="s">
        <v>65</v>
      </c>
    </row>
    <row r="58" spans="1:2" x14ac:dyDescent="0.3">
      <c r="A58" t="s">
        <v>66</v>
      </c>
    </row>
    <row r="59" spans="1:2" x14ac:dyDescent="0.3">
      <c r="A59" t="s">
        <v>67</v>
      </c>
    </row>
    <row r="60" spans="1:2" x14ac:dyDescent="0.3">
      <c r="A60" t="s">
        <v>68</v>
      </c>
    </row>
    <row r="61" spans="1:2" x14ac:dyDescent="0.3">
      <c r="A61" t="s">
        <v>69</v>
      </c>
    </row>
    <row r="62" spans="1:2" x14ac:dyDescent="0.3">
      <c r="A62" t="s">
        <v>70</v>
      </c>
    </row>
    <row r="63" spans="1:2" x14ac:dyDescent="0.3">
      <c r="A63" t="s">
        <v>71</v>
      </c>
    </row>
    <row r="64" spans="1:2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  <c r="B67">
        <v>2320</v>
      </c>
    </row>
    <row r="68" spans="1:2" x14ac:dyDescent="0.3">
      <c r="A68" t="s">
        <v>76</v>
      </c>
    </row>
    <row r="69" spans="1:2" x14ac:dyDescent="0.3">
      <c r="A69" t="s">
        <v>77</v>
      </c>
      <c r="B69" s="1" t="s">
        <v>88</v>
      </c>
    </row>
    <row r="70" spans="1:2" x14ac:dyDescent="0.3">
      <c r="A70" t="s">
        <v>78</v>
      </c>
      <c r="B70" s="1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2025-10-14T11:52:15Z</dcterms:modified>
</cp:coreProperties>
</file>