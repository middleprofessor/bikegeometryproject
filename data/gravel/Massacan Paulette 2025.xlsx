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937D89F-93A1-094D-AE28-38C966D1A246}" xr6:coauthVersionLast="47" xr6:coauthVersionMax="47" xr10:uidLastSave="{00000000-0000-0000-0000-000000000000}"/>
  <bookViews>
    <workbookView xWindow="1260" yWindow="600" windowWidth="2754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C12" i="1"/>
  <c r="D11" i="1"/>
  <c r="E11" i="1"/>
  <c r="F11" i="1"/>
  <c r="G11" i="1"/>
  <c r="C11" i="1"/>
</calcChain>
</file>

<file path=xl/sharedStrings.xml><?xml version="1.0" encoding="utf-8"?>
<sst xmlns="http://schemas.openxmlformats.org/spreadsheetml/2006/main" count="128" uniqueCount="107">
  <si>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</si>
  <si>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</si>
  <si>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</si>
  <si>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</si>
  <si>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</si>
  <si>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</si>
  <si>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</si>
  <si>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</si>
  <si>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</si>
  <si>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</si>
  <si>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</si>
  <si>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</si>
  <si>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</si>
  <si>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</si>
  <si>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</si>
  <si>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fork_offset_rake</t>
  </si>
  <si>
    <t>stack</t>
  </si>
  <si>
    <t>reach</t>
  </si>
  <si>
    <t>standover</t>
  </si>
  <si>
    <t>stem_length</t>
  </si>
  <si>
    <t>handlebar_width</t>
  </si>
  <si>
    <t>crank_length</t>
  </si>
  <si>
    <t>frame_weight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</si>
  <si>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</si>
  <si>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</si>
  <si>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</si>
  <si>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</si>
  <si>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</si>
  <si>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</si>
  <si>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</si>
  <si>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</si>
  <si>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</si>
  <si>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</si>
  <si>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</si>
  <si>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</si>
  <si>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</si>
  <si>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</si>
  <si>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</si>
  <si>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</si>
  <si>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</si>
  <si>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</si>
  <si>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</si>
  <si>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</si>
  <si>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</si>
  <si>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</si>
  <si>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</si>
  <si>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</si>
  <si>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</si>
  <si>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</si>
  <si>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</si>
  <si>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</si>
  <si>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</si>
  <si>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</si>
  <si>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</si>
  <si>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</si>
  <si>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</si>
  <si>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</si>
  <si>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</si>
  <si>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</si>
  <si>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</si>
  <si>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</si>
  <si>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</si>
  <si>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</si>
  <si>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</si>
  <si>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</si>
  <si>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</si>
  <si>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</si>
  <si>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</si>
  <si>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</si>
  <si>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</si>
  <si>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</si>
  <si>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USD</t>
  </si>
  <si>
    <t>location</t>
  </si>
  <si>
    <t>M</t>
  </si>
  <si>
    <t>Massacan</t>
  </si>
  <si>
    <t>Size</t>
  </si>
  <si>
    <t>Stack</t>
  </si>
  <si>
    <t>Reach</t>
  </si>
  <si>
    <t>Seat Tube (C/T - C/C)</t>
  </si>
  <si>
    <t>Top Tube (HT Top)</t>
  </si>
  <si>
    <t>Head Tube</t>
  </si>
  <si>
    <t>BB Drop</t>
  </si>
  <si>
    <t>Chain Stay</t>
  </si>
  <si>
    <t>Seat Tube Angle</t>
  </si>
  <si>
    <t>Head Tube Angle</t>
  </si>
  <si>
    <t>XS</t>
  </si>
  <si>
    <t>S</t>
  </si>
  <si>
    <t>520 - 480</t>
  </si>
  <si>
    <t>540 - 500</t>
  </si>
  <si>
    <t>L</t>
  </si>
  <si>
    <t>560 - 520</t>
  </si>
  <si>
    <t>XL</t>
  </si>
  <si>
    <t>Seat Tube (C/C)</t>
  </si>
  <si>
    <t>seat_tube_c_c</t>
  </si>
  <si>
    <t>aluminum</t>
  </si>
  <si>
    <t>yes</t>
  </si>
  <si>
    <t>not spec'd</t>
  </si>
  <si>
    <t>Nice, France</t>
  </si>
  <si>
    <t>threaded 68</t>
  </si>
  <si>
    <t>Paoletta</t>
  </si>
  <si>
    <t>https://www.massacan.cc/en/pages/paulette</t>
  </si>
  <si>
    <t>both</t>
  </si>
  <si>
    <t>https://www.massacan.cc/cdn/shop/files/MassacanPauletteShimanoGRX1.jpg?v=1734079901&amp;width=1024</t>
  </si>
  <si>
    <t>500 - 460</t>
  </si>
  <si>
    <t>580 - 540</t>
  </si>
  <si>
    <t>Seat Tube (C/T)</t>
  </si>
  <si>
    <t>a8:g31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</si>
</sst>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9" x14ac:dyDescent="0.3">
      <c r="A1" t="s">
        <v>0</v>
      </c>
      <c r="B1" s="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</row>
    <row r="2" spans="1:19" x14ac:dyDescent="0.3">
      <c r="A2" t="s">
        <v>1</v>
      </c>
      <c r="B2" s="1" t="s">
        <v>99</v>
      </c>
      <c r="J2" t="s">
        <v>85</v>
      </c>
      <c r="K2">
        <v>546</v>
      </c>
      <c r="L2">
        <v>364</v>
      </c>
      <c r="M2" t="s">
        <v>103</v>
      </c>
      <c r="N2">
        <v>520</v>
      </c>
      <c r="O2">
        <v>115</v>
      </c>
      <c r="P2">
        <v>70</v>
      </c>
      <c r="Q2">
        <v>435</v>
      </c>
      <c r="R2">
        <v>74</v>
      </c>
      <c r="S2">
        <v>70</v>
      </c>
    </row>
    <row r="3" spans="1:19" x14ac:dyDescent="0.3">
      <c r="A3" t="s">
        <v>2</v>
      </c>
      <c r="B3">
        <v>2025</v>
      </c>
      <c r="J3" t="s">
        <v>86</v>
      </c>
      <c r="K3">
        <v>554</v>
      </c>
      <c r="L3">
        <v>376</v>
      </c>
      <c r="M3" t="s">
        <v>87</v>
      </c>
      <c r="N3">
        <v>535</v>
      </c>
      <c r="O3">
        <v>130</v>
      </c>
      <c r="P3">
        <v>70</v>
      </c>
      <c r="Q3">
        <v>435</v>
      </c>
      <c r="R3">
        <v>74</v>
      </c>
      <c r="S3">
        <v>70.5</v>
      </c>
    </row>
    <row r="4" spans="1:19" x14ac:dyDescent="0.3">
      <c r="A4" t="s">
        <v>3</v>
      </c>
      <c r="B4" s="2">
        <v>45953</v>
      </c>
      <c r="J4" t="s">
        <v>73</v>
      </c>
      <c r="K4">
        <v>570</v>
      </c>
      <c r="L4">
        <v>378</v>
      </c>
      <c r="M4" t="s">
        <v>88</v>
      </c>
      <c r="N4">
        <v>550</v>
      </c>
      <c r="O4">
        <v>145</v>
      </c>
      <c r="P4">
        <v>70</v>
      </c>
      <c r="Q4">
        <v>435</v>
      </c>
      <c r="R4">
        <v>73.5</v>
      </c>
      <c r="S4">
        <v>71</v>
      </c>
    </row>
    <row r="5" spans="1:19" x14ac:dyDescent="0.3">
      <c r="A5" t="s">
        <v>4</v>
      </c>
      <c r="B5" t="s">
        <v>100</v>
      </c>
      <c r="J5" t="s">
        <v>89</v>
      </c>
      <c r="K5">
        <v>589</v>
      </c>
      <c r="L5">
        <v>381</v>
      </c>
      <c r="M5" t="s">
        <v>90</v>
      </c>
      <c r="N5">
        <v>560</v>
      </c>
      <c r="O5">
        <v>165</v>
      </c>
      <c r="P5">
        <v>70</v>
      </c>
      <c r="Q5">
        <v>435</v>
      </c>
      <c r="R5">
        <v>73</v>
      </c>
      <c r="S5">
        <v>71</v>
      </c>
    </row>
    <row r="6" spans="1:19" x14ac:dyDescent="0.3">
      <c r="B6" t="s">
        <v>102</v>
      </c>
      <c r="J6" t="s">
        <v>91</v>
      </c>
      <c r="K6">
        <v>612</v>
      </c>
      <c r="L6">
        <v>387</v>
      </c>
      <c r="M6" t="s">
        <v>104</v>
      </c>
      <c r="N6">
        <v>580</v>
      </c>
      <c r="O6">
        <v>185</v>
      </c>
      <c r="P6">
        <v>70</v>
      </c>
      <c r="Q6">
        <v>435</v>
      </c>
      <c r="R6">
        <v>72.5</v>
      </c>
      <c r="S6">
        <v>72</v>
      </c>
    </row>
    <row r="7" spans="1:19" x14ac:dyDescent="0.3">
      <c r="A7" t="s">
        <v>5</v>
      </c>
      <c r="B7" s="1" t="s">
        <v>106</v>
      </c>
    </row>
    <row r="8" spans="1:19" x14ac:dyDescent="0.3">
      <c r="A8" t="s">
        <v>6</v>
      </c>
      <c r="B8" t="s">
        <v>75</v>
      </c>
      <c r="C8" t="s">
        <v>85</v>
      </c>
      <c r="D8" t="s">
        <v>86</v>
      </c>
      <c r="E8" t="s">
        <v>73</v>
      </c>
      <c r="F8" t="s">
        <v>89</v>
      </c>
      <c r="G8" t="s">
        <v>91</v>
      </c>
    </row>
    <row r="9" spans="1:19" x14ac:dyDescent="0.3">
      <c r="A9" t="s">
        <v>16</v>
      </c>
      <c r="B9" t="s">
        <v>76</v>
      </c>
      <c r="C9">
        <v>546</v>
      </c>
      <c r="D9">
        <v>554</v>
      </c>
      <c r="E9">
        <v>570</v>
      </c>
      <c r="F9">
        <v>589</v>
      </c>
      <c r="G9">
        <v>612</v>
      </c>
    </row>
    <row r="10" spans="1:19" x14ac:dyDescent="0.3">
      <c r="A10" t="s">
        <v>17</v>
      </c>
      <c r="B10" t="s">
        <v>77</v>
      </c>
      <c r="C10">
        <v>364</v>
      </c>
      <c r="D10">
        <v>376</v>
      </c>
      <c r="E10">
        <v>378</v>
      </c>
      <c r="F10">
        <v>381</v>
      </c>
      <c r="G10">
        <v>387</v>
      </c>
    </row>
    <row r="11" spans="1:19" x14ac:dyDescent="0.3">
      <c r="A11" t="s">
        <v>7</v>
      </c>
      <c r="B11" s="1" t="s">
        <v>105</v>
      </c>
      <c r="C11">
        <f>VALUE(LEFT(I11,3))</f>
        <v>500</v>
      </c>
      <c r="D11">
        <f t="shared" ref="D11:G11" si="0">VALUE(LEFT(J11,3))</f>
        <v>520</v>
      </c>
      <c r="E11">
        <f t="shared" si="0"/>
        <v>540</v>
      </c>
      <c r="F11">
        <f t="shared" si="0"/>
        <v>560</v>
      </c>
      <c r="G11">
        <f t="shared" si="0"/>
        <v>580</v>
      </c>
      <c r="H11" s="1"/>
      <c r="I11" t="s">
        <v>103</v>
      </c>
      <c r="J11" t="s">
        <v>87</v>
      </c>
      <c r="K11" t="s">
        <v>88</v>
      </c>
      <c r="L11" t="s">
        <v>90</v>
      </c>
      <c r="M11" t="s">
        <v>104</v>
      </c>
    </row>
    <row r="12" spans="1:19" x14ac:dyDescent="0.3">
      <c r="A12" s="1" t="s">
        <v>93</v>
      </c>
      <c r="B12" s="1" t="s">
        <v>92</v>
      </c>
      <c r="C12">
        <f>VALUE(RIGHT(I11,3))</f>
        <v>460</v>
      </c>
      <c r="D12">
        <f t="shared" ref="D12:G12" si="1">VALUE(RIGHT(J11,3))</f>
        <v>480</v>
      </c>
      <c r="E12">
        <f t="shared" si="1"/>
        <v>500</v>
      </c>
      <c r="F12">
        <f t="shared" si="1"/>
        <v>520</v>
      </c>
      <c r="G12">
        <f t="shared" si="1"/>
        <v>540</v>
      </c>
    </row>
    <row r="13" spans="1:19" x14ac:dyDescent="0.3">
      <c r="A13" t="s">
        <v>8</v>
      </c>
      <c r="B13" t="s">
        <v>79</v>
      </c>
      <c r="C13">
        <v>520</v>
      </c>
      <c r="D13">
        <v>535</v>
      </c>
      <c r="E13">
        <v>550</v>
      </c>
      <c r="F13">
        <v>560</v>
      </c>
      <c r="G13">
        <v>580</v>
      </c>
    </row>
    <row r="14" spans="1:19" x14ac:dyDescent="0.3">
      <c r="A14" t="s">
        <v>9</v>
      </c>
      <c r="B14" t="s">
        <v>80</v>
      </c>
      <c r="C14">
        <v>115</v>
      </c>
      <c r="D14">
        <v>130</v>
      </c>
      <c r="E14">
        <v>145</v>
      </c>
      <c r="F14">
        <v>165</v>
      </c>
      <c r="G14">
        <v>185</v>
      </c>
    </row>
    <row r="15" spans="1:19" x14ac:dyDescent="0.3">
      <c r="A15" t="s">
        <v>14</v>
      </c>
      <c r="B15" t="s">
        <v>81</v>
      </c>
      <c r="C15">
        <v>70</v>
      </c>
      <c r="D15">
        <v>70</v>
      </c>
      <c r="E15">
        <v>70</v>
      </c>
      <c r="F15">
        <v>70</v>
      </c>
      <c r="G15">
        <v>70</v>
      </c>
    </row>
    <row r="16" spans="1:19" x14ac:dyDescent="0.3">
      <c r="A16" t="s">
        <v>12</v>
      </c>
      <c r="B16" t="s">
        <v>82</v>
      </c>
      <c r="C16">
        <v>435</v>
      </c>
      <c r="D16">
        <v>435</v>
      </c>
      <c r="E16">
        <v>435</v>
      </c>
      <c r="F16">
        <v>435</v>
      </c>
      <c r="G16">
        <v>435</v>
      </c>
    </row>
    <row r="17" spans="1:9" x14ac:dyDescent="0.3">
      <c r="A17" t="s">
        <v>26</v>
      </c>
      <c r="C17">
        <v>400</v>
      </c>
      <c r="D17">
        <v>400</v>
      </c>
      <c r="E17">
        <v>400</v>
      </c>
      <c r="F17">
        <v>400</v>
      </c>
      <c r="G17">
        <v>400</v>
      </c>
    </row>
    <row r="18" spans="1:9" x14ac:dyDescent="0.3">
      <c r="A18" t="s">
        <v>15</v>
      </c>
      <c r="C18">
        <v>48</v>
      </c>
      <c r="D18">
        <v>48</v>
      </c>
      <c r="E18">
        <v>48</v>
      </c>
      <c r="F18">
        <v>48</v>
      </c>
      <c r="G18">
        <v>48</v>
      </c>
    </row>
    <row r="19" spans="1:9" x14ac:dyDescent="0.3">
      <c r="A19" t="s">
        <v>10</v>
      </c>
      <c r="B19" t="s">
        <v>83</v>
      </c>
      <c r="C19">
        <v>74</v>
      </c>
      <c r="D19">
        <v>74</v>
      </c>
      <c r="E19">
        <v>73.5</v>
      </c>
      <c r="F19">
        <v>73</v>
      </c>
      <c r="G19">
        <v>72.5</v>
      </c>
    </row>
    <row r="20" spans="1:9" x14ac:dyDescent="0.3">
      <c r="A20" t="s">
        <v>11</v>
      </c>
      <c r="B20" t="s">
        <v>84</v>
      </c>
      <c r="C20">
        <v>70</v>
      </c>
      <c r="D20">
        <v>70.5</v>
      </c>
      <c r="E20">
        <v>71</v>
      </c>
      <c r="F20">
        <v>71</v>
      </c>
      <c r="G20">
        <v>72</v>
      </c>
    </row>
    <row r="21" spans="1:9" x14ac:dyDescent="0.3">
      <c r="A21" t="s">
        <v>13</v>
      </c>
    </row>
    <row r="22" spans="1:9" x14ac:dyDescent="0.3">
      <c r="A22" t="s">
        <v>18</v>
      </c>
    </row>
    <row r="23" spans="1:9" x14ac:dyDescent="0.3">
      <c r="A23" t="s">
        <v>22</v>
      </c>
      <c r="E23">
        <v>1500</v>
      </c>
    </row>
    <row r="24" spans="1:9" x14ac:dyDescent="0.3">
      <c r="A24" t="s">
        <v>19</v>
      </c>
    </row>
    <row r="25" spans="1:9" x14ac:dyDescent="0.3">
      <c r="A25" t="s">
        <v>20</v>
      </c>
    </row>
    <row r="26" spans="1:9" x14ac:dyDescent="0.3">
      <c r="A26" t="s">
        <v>21</v>
      </c>
    </row>
    <row r="27" spans="1:9" x14ac:dyDescent="0.3">
      <c r="A27" t="s">
        <v>23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9" x14ac:dyDescent="0.3">
      <c r="A28" t="s">
        <v>24</v>
      </c>
      <c r="C28">
        <v>45</v>
      </c>
      <c r="D28">
        <v>45</v>
      </c>
      <c r="E28">
        <v>45</v>
      </c>
      <c r="F28">
        <v>45</v>
      </c>
      <c r="G28">
        <v>45</v>
      </c>
      <c r="I28" s="1" t="s">
        <v>96</v>
      </c>
    </row>
    <row r="29" spans="1:9" x14ac:dyDescent="0.3">
      <c r="A29" t="s">
        <v>25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9" x14ac:dyDescent="0.3">
      <c r="A30" t="s">
        <v>27</v>
      </c>
    </row>
    <row r="31" spans="1:9" x14ac:dyDescent="0.3">
      <c r="A31" t="s">
        <v>28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s="1" t="s">
        <v>101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31</v>
      </c>
      <c r="B37" s="1" t="s">
        <v>94</v>
      </c>
    </row>
    <row r="38" spans="1:2" x14ac:dyDescent="0.3">
      <c r="A38" t="s">
        <v>32</v>
      </c>
      <c r="B38" s="1"/>
    </row>
    <row r="39" spans="1:2" x14ac:dyDescent="0.3">
      <c r="A39" t="s">
        <v>33</v>
      </c>
    </row>
    <row r="40" spans="1:2" x14ac:dyDescent="0.3">
      <c r="A40" t="s">
        <v>34</v>
      </c>
      <c r="B40">
        <v>45</v>
      </c>
    </row>
    <row r="41" spans="1:2" x14ac:dyDescent="0.3">
      <c r="A41" t="s">
        <v>35</v>
      </c>
    </row>
    <row r="42" spans="1:2" x14ac:dyDescent="0.3">
      <c r="A42" t="s">
        <v>36</v>
      </c>
    </row>
    <row r="43" spans="1:2" x14ac:dyDescent="0.3">
      <c r="A43" t="s">
        <v>37</v>
      </c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42</v>
      </c>
      <c r="B48" s="1" t="s">
        <v>98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 t="s">
        <v>95</v>
      </c>
    </row>
    <row r="52" spans="1:2" x14ac:dyDescent="0.3">
      <c r="A52" t="s">
        <v>46</v>
      </c>
      <c r="B52">
        <v>46</v>
      </c>
    </row>
    <row r="53" spans="1:2" x14ac:dyDescent="0.3">
      <c r="A53" t="s">
        <v>47</v>
      </c>
      <c r="B53">
        <v>52</v>
      </c>
    </row>
    <row r="54" spans="1:2" x14ac:dyDescent="0.3">
      <c r="A54" t="s">
        <v>48</v>
      </c>
      <c r="B54">
        <v>160</v>
      </c>
    </row>
    <row r="55" spans="1:2" x14ac:dyDescent="0.3">
      <c r="A55" t="s">
        <v>49</v>
      </c>
      <c r="B55">
        <v>160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/>
    </row>
    <row r="59" spans="1:2" x14ac:dyDescent="0.3">
      <c r="A59" t="s">
        <v>53</v>
      </c>
    </row>
    <row r="60" spans="1:2" x14ac:dyDescent="0.3">
      <c r="A60" t="s">
        <v>54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</row>
    <row r="63" spans="1:2" x14ac:dyDescent="0.3">
      <c r="A63" t="s">
        <v>57</v>
      </c>
    </row>
    <row r="64" spans="1:2" x14ac:dyDescent="0.3">
      <c r="A64" t="s">
        <v>58</v>
      </c>
      <c r="B64">
        <v>4</v>
      </c>
    </row>
    <row r="65" spans="1:2" x14ac:dyDescent="0.3">
      <c r="A65" t="s">
        <v>59</v>
      </c>
      <c r="B65" s="1"/>
    </row>
    <row r="66" spans="1:2" x14ac:dyDescent="0.3">
      <c r="A66" t="s">
        <v>60</v>
      </c>
      <c r="B66" s="1" t="s">
        <v>95</v>
      </c>
    </row>
    <row r="67" spans="1:2" x14ac:dyDescent="0.3">
      <c r="A67" t="s">
        <v>61</v>
      </c>
      <c r="B67" s="1" t="s">
        <v>95</v>
      </c>
    </row>
    <row r="68" spans="1:2" x14ac:dyDescent="0.3">
      <c r="A68" t="s">
        <v>62</v>
      </c>
      <c r="B68">
        <v>1470</v>
      </c>
    </row>
    <row r="69" spans="1:2" x14ac:dyDescent="0.3">
      <c r="A69" t="s">
        <v>63</v>
      </c>
      <c r="B69">
        <v>2357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71</v>
      </c>
    </row>
    <row r="72" spans="1:2" x14ac:dyDescent="0.3">
      <c r="A72" t="s">
        <v>72</v>
      </c>
      <c r="B72" s="1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2025-10-24T01:44:41Z</dcterms:modified>
</cp:coreProperties>
</file>