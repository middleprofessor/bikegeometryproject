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77F64E3-EC20-9B49-9D67-B984B5735BA2}" xr6:coauthVersionLast="47" xr6:coauthVersionMax="47" xr10:uidLastSave="{00000000-0000-0000-0000-000000000000}"/>
  <bookViews>
    <workbookView xWindow="5420" yWindow="1380" windowWidth="27540" windowHeight="15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E11" i="1"/>
  <c r="F11" i="1"/>
  <c r="G11" i="1"/>
  <c r="H11" i="1"/>
  <c r="D12" i="1"/>
  <c r="E12" i="1"/>
  <c r="F12" i="1"/>
  <c r="G12" i="1"/>
  <c r="H12" i="1"/>
  <c r="C12" i="1"/>
  <c r="C11" i="1"/>
</calcChain>
</file>

<file path=xl/sharedStrings.xml><?xml version="1.0" encoding="utf-8"?>
<sst xmlns="http://schemas.openxmlformats.org/spreadsheetml/2006/main" count="138" uniqueCount="112">
  <si>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</si>
  <si>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</si>
  <si>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</si>
  <si>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</si>
  <si>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</si>
  <si>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</si>
  <si>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</si>
  <si>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</si>
  <si>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</si>
  <si>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</si>
  <si>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</si>
  <si>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</si>
  <si>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</si>
  <si>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</si>
  <si>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</si>
  <si>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fork_offset_rake</t>
  </si>
  <si>
    <t>stack</t>
  </si>
  <si>
    <t>reach</t>
  </si>
  <si>
    <t>standover</t>
  </si>
  <si>
    <t>stem_length</t>
  </si>
  <si>
    <t>handlebar_width</t>
  </si>
  <si>
    <t>crank_length</t>
  </si>
  <si>
    <t>frame_weight</t>
  </si>
  <si>
    <t>wheel_size</t>
  </si>
  <si>
    <t>tire_width_spec</t>
  </si>
  <si>
    <t>tire_width_max</t>
  </si>
  <si>
    <t>axle_crown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</si>
  <si>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</si>
  <si>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</si>
  <si>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</si>
  <si>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</si>
  <si>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</si>
  <si>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</si>
  <si>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</si>
  <si>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</si>
  <si>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</si>
  <si>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</si>
  <si>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</si>
  <si>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</si>
  <si>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</si>
  <si>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</si>
  <si>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</si>
  <si>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</si>
  <si>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</si>
  <si>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</si>
  <si>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</si>
  <si>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</si>
  <si>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</si>
  <si>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</si>
  <si>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</si>
  <si>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</si>
  <si>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</si>
  <si>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</si>
  <si>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</si>
  <si>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</si>
  <si>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</si>
  <si>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</si>
  <si>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</si>
  <si>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</si>
  <si>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</si>
  <si>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</si>
  <si>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</si>
  <si>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</si>
  <si>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</si>
  <si>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</si>
  <si>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</si>
  <si>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</si>
  <si>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</si>
  <si>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</si>
  <si>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</si>
  <si>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</si>
  <si>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</si>
  <si>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USD</t>
  </si>
  <si>
    <t>location</t>
  </si>
  <si>
    <t>M</t>
  </si>
  <si>
    <t>Massacan</t>
  </si>
  <si>
    <t>Paula</t>
  </si>
  <si>
    <t>https://www.massacan.cc/en/pages/paula</t>
  </si>
  <si>
    <t>Size</t>
  </si>
  <si>
    <t>Stack</t>
  </si>
  <si>
    <t>Reach</t>
  </si>
  <si>
    <t>Seat Tube (C/T - C/C)</t>
  </si>
  <si>
    <t>Top Tube (HT Top)</t>
  </si>
  <si>
    <t>Head Tube</t>
  </si>
  <si>
    <t>BB Drop</t>
  </si>
  <si>
    <t>Chain Stay</t>
  </si>
  <si>
    <t>Fork A2C</t>
  </si>
  <si>
    <t>Fork Rake</t>
  </si>
  <si>
    <t>Seat Tube Angle</t>
  </si>
  <si>
    <t>Head Tube Angle</t>
  </si>
  <si>
    <t>XXS</t>
  </si>
  <si>
    <t>470 - 430</t>
  </si>
  <si>
    <t>XS</t>
  </si>
  <si>
    <t>490 - 450</t>
  </si>
  <si>
    <t>S</t>
  </si>
  <si>
    <t>520 - 480</t>
  </si>
  <si>
    <t>540 - 500</t>
  </si>
  <si>
    <t>L</t>
  </si>
  <si>
    <t>560 - 520</t>
  </si>
  <si>
    <t>XL</t>
  </si>
  <si>
    <t>590 - 550</t>
  </si>
  <si>
    <t>Seat Tube (C/C)</t>
  </si>
  <si>
    <t>Seat Tube (C/T )</t>
  </si>
  <si>
    <t>seat_tube_c_c</t>
  </si>
  <si>
    <t>a8:h31</t>
  </si>
  <si>
    <t>aluminum</t>
  </si>
  <si>
    <t>threaded 85.5</t>
  </si>
  <si>
    <t>semi-integrated</t>
  </si>
  <si>
    <t>https://www.massacan.cc/cdn/shop/files/Massacan_Paula-1.jpg?v=1697832264&amp;width=600</t>
  </si>
  <si>
    <t>yes</t>
  </si>
  <si>
    <t>not spec'd</t>
  </si>
  <si>
    <t>Nice, 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</si>
</sst>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2"/>
  <sheetViews>
    <sheetView tabSelected="1" topLeftCell="A35" workbookViewId="0">
      <selection activeCell="B68" sqref="B68"/>
    </sheetView>
  </sheetViews>
  <sheetFormatPr baseColWidth="10" defaultRowHeight="20" x14ac:dyDescent="0.3"/>
  <cols>
    <col min="1" max="2" width="19.6640625" customWidth="1"/>
  </cols>
  <sheetData>
    <row r="1" spans="1:21" x14ac:dyDescent="0.3">
      <c r="A1" t="s">
        <v>0</v>
      </c>
      <c r="B1" s="1" t="s">
        <v>75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83</v>
      </c>
      <c r="P1" t="s">
        <v>84</v>
      </c>
      <c r="Q1" t="s">
        <v>85</v>
      </c>
      <c r="R1" t="s">
        <v>86</v>
      </c>
      <c r="S1" t="s">
        <v>87</v>
      </c>
      <c r="T1" t="s">
        <v>88</v>
      </c>
      <c r="U1" t="s">
        <v>89</v>
      </c>
    </row>
    <row r="2" spans="1:21" x14ac:dyDescent="0.3">
      <c r="A2" t="s">
        <v>1</v>
      </c>
      <c r="B2" s="1" t="s">
        <v>76</v>
      </c>
      <c r="J2" t="s">
        <v>90</v>
      </c>
      <c r="K2">
        <v>530</v>
      </c>
      <c r="L2">
        <v>361</v>
      </c>
      <c r="M2" t="s">
        <v>91</v>
      </c>
      <c r="N2">
        <v>513</v>
      </c>
      <c r="O2">
        <v>110</v>
      </c>
      <c r="P2">
        <v>67</v>
      </c>
      <c r="Q2">
        <v>435</v>
      </c>
      <c r="R2">
        <v>400</v>
      </c>
      <c r="S2">
        <v>48</v>
      </c>
      <c r="T2">
        <v>74</v>
      </c>
      <c r="U2">
        <v>70</v>
      </c>
    </row>
    <row r="3" spans="1:21" x14ac:dyDescent="0.3">
      <c r="A3" t="s">
        <v>2</v>
      </c>
      <c r="B3">
        <v>2025</v>
      </c>
      <c r="J3" t="s">
        <v>92</v>
      </c>
      <c r="K3">
        <v>546</v>
      </c>
      <c r="L3">
        <v>368</v>
      </c>
      <c r="M3" t="s">
        <v>93</v>
      </c>
      <c r="N3">
        <v>525</v>
      </c>
      <c r="O3">
        <v>125</v>
      </c>
      <c r="P3">
        <v>67</v>
      </c>
      <c r="Q3">
        <v>435</v>
      </c>
      <c r="R3">
        <v>400</v>
      </c>
      <c r="S3">
        <v>48</v>
      </c>
      <c r="T3">
        <v>74</v>
      </c>
      <c r="U3">
        <v>70.5</v>
      </c>
    </row>
    <row r="4" spans="1:21" x14ac:dyDescent="0.3">
      <c r="A4" t="s">
        <v>3</v>
      </c>
      <c r="B4" s="2">
        <v>45953</v>
      </c>
      <c r="J4" t="s">
        <v>94</v>
      </c>
      <c r="K4">
        <v>562</v>
      </c>
      <c r="L4">
        <v>369</v>
      </c>
      <c r="M4" t="s">
        <v>95</v>
      </c>
      <c r="N4">
        <v>535</v>
      </c>
      <c r="O4">
        <v>140</v>
      </c>
      <c r="P4">
        <v>67</v>
      </c>
      <c r="Q4">
        <v>435</v>
      </c>
      <c r="R4">
        <v>400</v>
      </c>
      <c r="S4">
        <v>48</v>
      </c>
      <c r="T4">
        <v>73.5</v>
      </c>
      <c r="U4">
        <v>71</v>
      </c>
    </row>
    <row r="5" spans="1:21" x14ac:dyDescent="0.3">
      <c r="A5" t="s">
        <v>4</v>
      </c>
      <c r="B5" t="s">
        <v>77</v>
      </c>
      <c r="J5" t="s">
        <v>74</v>
      </c>
      <c r="K5">
        <v>573</v>
      </c>
      <c r="L5">
        <v>370</v>
      </c>
      <c r="M5" t="s">
        <v>96</v>
      </c>
      <c r="N5">
        <v>545</v>
      </c>
      <c r="O5">
        <v>150</v>
      </c>
      <c r="P5">
        <v>67</v>
      </c>
      <c r="Q5">
        <v>435</v>
      </c>
      <c r="R5">
        <v>400</v>
      </c>
      <c r="S5">
        <v>48</v>
      </c>
      <c r="T5">
        <v>73</v>
      </c>
      <c r="U5">
        <v>71.5</v>
      </c>
    </row>
    <row r="6" spans="1:21" x14ac:dyDescent="0.3">
      <c r="B6" t="s">
        <v>108</v>
      </c>
      <c r="J6" t="s">
        <v>97</v>
      </c>
      <c r="K6">
        <v>594</v>
      </c>
      <c r="L6">
        <v>373</v>
      </c>
      <c r="M6" t="s">
        <v>98</v>
      </c>
      <c r="N6">
        <v>560</v>
      </c>
      <c r="O6">
        <v>170</v>
      </c>
      <c r="P6">
        <v>67</v>
      </c>
      <c r="Q6">
        <v>435</v>
      </c>
      <c r="R6">
        <v>400</v>
      </c>
      <c r="S6">
        <v>48</v>
      </c>
      <c r="T6">
        <v>72.5</v>
      </c>
      <c r="U6">
        <v>72</v>
      </c>
    </row>
    <row r="7" spans="1:21" x14ac:dyDescent="0.3">
      <c r="A7" t="s">
        <v>5</v>
      </c>
      <c r="B7" s="1" t="s">
        <v>104</v>
      </c>
      <c r="J7" t="s">
        <v>99</v>
      </c>
      <c r="K7">
        <v>615</v>
      </c>
      <c r="L7">
        <v>391</v>
      </c>
      <c r="M7" t="s">
        <v>100</v>
      </c>
      <c r="N7">
        <v>585</v>
      </c>
      <c r="O7">
        <v>190</v>
      </c>
      <c r="P7">
        <v>67</v>
      </c>
      <c r="Q7">
        <v>435</v>
      </c>
      <c r="R7">
        <v>400</v>
      </c>
      <c r="S7">
        <v>48</v>
      </c>
      <c r="T7">
        <v>72.5</v>
      </c>
      <c r="U7">
        <v>72.5</v>
      </c>
    </row>
    <row r="8" spans="1:21" x14ac:dyDescent="0.3">
      <c r="A8" t="s">
        <v>6</v>
      </c>
      <c r="B8" t="s">
        <v>78</v>
      </c>
      <c r="C8" t="s">
        <v>90</v>
      </c>
      <c r="D8" t="s">
        <v>92</v>
      </c>
      <c r="E8" t="s">
        <v>94</v>
      </c>
      <c r="F8" t="s">
        <v>74</v>
      </c>
      <c r="G8" t="s">
        <v>97</v>
      </c>
      <c r="H8" t="s">
        <v>99</v>
      </c>
    </row>
    <row r="9" spans="1:21" x14ac:dyDescent="0.3">
      <c r="A9" t="s">
        <v>16</v>
      </c>
      <c r="B9" t="s">
        <v>79</v>
      </c>
      <c r="C9">
        <v>530</v>
      </c>
      <c r="D9">
        <v>546</v>
      </c>
      <c r="E9">
        <v>562</v>
      </c>
      <c r="F9">
        <v>573</v>
      </c>
      <c r="G9">
        <v>594</v>
      </c>
      <c r="H9">
        <v>615</v>
      </c>
    </row>
    <row r="10" spans="1:21" x14ac:dyDescent="0.3">
      <c r="A10" t="s">
        <v>17</v>
      </c>
      <c r="B10" t="s">
        <v>80</v>
      </c>
      <c r="C10">
        <v>361</v>
      </c>
      <c r="D10">
        <v>368</v>
      </c>
      <c r="E10">
        <v>369</v>
      </c>
      <c r="F10">
        <v>370</v>
      </c>
      <c r="G10">
        <v>373</v>
      </c>
      <c r="H10">
        <v>391</v>
      </c>
    </row>
    <row r="11" spans="1:21" x14ac:dyDescent="0.3">
      <c r="A11" t="s">
        <v>7</v>
      </c>
      <c r="B11" s="1" t="s">
        <v>102</v>
      </c>
      <c r="C11" s="1">
        <f>VALUE(LEFT(I11,3))</f>
        <v>470</v>
      </c>
      <c r="D11" s="1">
        <f t="shared" ref="D11:H11" si="0">VALUE(LEFT(J11,3))</f>
        <v>490</v>
      </c>
      <c r="E11" s="1">
        <f t="shared" si="0"/>
        <v>520</v>
      </c>
      <c r="F11" s="1">
        <f t="shared" si="0"/>
        <v>540</v>
      </c>
      <c r="G11" s="1">
        <f t="shared" si="0"/>
        <v>560</v>
      </c>
      <c r="H11" s="1">
        <f t="shared" si="0"/>
        <v>590</v>
      </c>
      <c r="I11" t="s">
        <v>91</v>
      </c>
      <c r="J11" t="s">
        <v>93</v>
      </c>
      <c r="K11" t="s">
        <v>95</v>
      </c>
      <c r="L11" t="s">
        <v>96</v>
      </c>
      <c r="M11" t="s">
        <v>98</v>
      </c>
      <c r="N11" t="s">
        <v>100</v>
      </c>
    </row>
    <row r="12" spans="1:21" x14ac:dyDescent="0.3">
      <c r="A12" s="1" t="s">
        <v>103</v>
      </c>
      <c r="B12" s="1" t="s">
        <v>101</v>
      </c>
      <c r="C12">
        <f>VALUE(RIGHT(I11,3))</f>
        <v>430</v>
      </c>
      <c r="D12">
        <f t="shared" ref="D12:H12" si="1">VALUE(RIGHT(J11,3))</f>
        <v>450</v>
      </c>
      <c r="E12">
        <f t="shared" si="1"/>
        <v>480</v>
      </c>
      <c r="F12">
        <f t="shared" si="1"/>
        <v>500</v>
      </c>
      <c r="G12">
        <f t="shared" si="1"/>
        <v>520</v>
      </c>
      <c r="H12">
        <f t="shared" si="1"/>
        <v>550</v>
      </c>
    </row>
    <row r="13" spans="1:21" x14ac:dyDescent="0.3">
      <c r="A13" t="s">
        <v>8</v>
      </c>
      <c r="B13" t="s">
        <v>82</v>
      </c>
      <c r="C13">
        <v>513</v>
      </c>
      <c r="D13">
        <v>525</v>
      </c>
      <c r="E13">
        <v>535</v>
      </c>
      <c r="F13">
        <v>545</v>
      </c>
      <c r="G13">
        <v>560</v>
      </c>
      <c r="H13">
        <v>585</v>
      </c>
    </row>
    <row r="14" spans="1:21" x14ac:dyDescent="0.3">
      <c r="A14" t="s">
        <v>9</v>
      </c>
      <c r="B14" t="s">
        <v>83</v>
      </c>
      <c r="C14">
        <v>110</v>
      </c>
      <c r="D14">
        <v>125</v>
      </c>
      <c r="E14">
        <v>140</v>
      </c>
      <c r="F14">
        <v>150</v>
      </c>
      <c r="G14">
        <v>170</v>
      </c>
      <c r="H14">
        <v>190</v>
      </c>
    </row>
    <row r="15" spans="1:21" x14ac:dyDescent="0.3">
      <c r="A15" t="s">
        <v>14</v>
      </c>
      <c r="B15" t="s">
        <v>84</v>
      </c>
      <c r="C15">
        <v>67</v>
      </c>
      <c r="D15">
        <v>67</v>
      </c>
      <c r="E15">
        <v>67</v>
      </c>
      <c r="F15">
        <v>67</v>
      </c>
      <c r="G15">
        <v>67</v>
      </c>
      <c r="H15">
        <v>67</v>
      </c>
    </row>
    <row r="16" spans="1:21" x14ac:dyDescent="0.3">
      <c r="A16" t="s">
        <v>12</v>
      </c>
      <c r="B16" t="s">
        <v>85</v>
      </c>
      <c r="C16">
        <v>435</v>
      </c>
      <c r="D16">
        <v>435</v>
      </c>
      <c r="E16">
        <v>435</v>
      </c>
      <c r="F16">
        <v>435</v>
      </c>
      <c r="G16">
        <v>435</v>
      </c>
      <c r="H16">
        <v>435</v>
      </c>
    </row>
    <row r="17" spans="1:9" x14ac:dyDescent="0.3">
      <c r="A17" t="s">
        <v>26</v>
      </c>
      <c r="B17" t="s">
        <v>86</v>
      </c>
      <c r="C17">
        <v>400</v>
      </c>
      <c r="D17">
        <v>400</v>
      </c>
      <c r="E17">
        <v>400</v>
      </c>
      <c r="F17">
        <v>400</v>
      </c>
      <c r="G17">
        <v>400</v>
      </c>
      <c r="H17">
        <v>400</v>
      </c>
    </row>
    <row r="18" spans="1:9" x14ac:dyDescent="0.3">
      <c r="A18" t="s">
        <v>15</v>
      </c>
      <c r="B18" t="s">
        <v>87</v>
      </c>
      <c r="C18">
        <v>48</v>
      </c>
      <c r="D18">
        <v>48</v>
      </c>
      <c r="E18">
        <v>48</v>
      </c>
      <c r="F18">
        <v>48</v>
      </c>
      <c r="G18">
        <v>48</v>
      </c>
      <c r="H18">
        <v>48</v>
      </c>
    </row>
    <row r="19" spans="1:9" x14ac:dyDescent="0.3">
      <c r="A19" t="s">
        <v>10</v>
      </c>
      <c r="B19" t="s">
        <v>88</v>
      </c>
      <c r="C19">
        <v>74</v>
      </c>
      <c r="D19">
        <v>74</v>
      </c>
      <c r="E19">
        <v>73.5</v>
      </c>
      <c r="F19">
        <v>73</v>
      </c>
      <c r="G19">
        <v>72.5</v>
      </c>
      <c r="H19">
        <v>72.5</v>
      </c>
    </row>
    <row r="20" spans="1:9" x14ac:dyDescent="0.3">
      <c r="A20" t="s">
        <v>11</v>
      </c>
      <c r="B20" t="s">
        <v>89</v>
      </c>
      <c r="C20">
        <v>70</v>
      </c>
      <c r="D20">
        <v>70.5</v>
      </c>
      <c r="E20">
        <v>71</v>
      </c>
      <c r="F20">
        <v>71.5</v>
      </c>
      <c r="G20">
        <v>72</v>
      </c>
      <c r="H20">
        <v>72.5</v>
      </c>
    </row>
    <row r="21" spans="1:9" x14ac:dyDescent="0.3">
      <c r="A21" t="s">
        <v>13</v>
      </c>
    </row>
    <row r="22" spans="1:9" x14ac:dyDescent="0.3">
      <c r="A22" t="s">
        <v>18</v>
      </c>
    </row>
    <row r="23" spans="1:9" x14ac:dyDescent="0.3">
      <c r="A23" t="s">
        <v>22</v>
      </c>
      <c r="F23">
        <v>1500</v>
      </c>
    </row>
    <row r="24" spans="1:9" x14ac:dyDescent="0.3">
      <c r="A24" t="s">
        <v>19</v>
      </c>
    </row>
    <row r="25" spans="1:9" x14ac:dyDescent="0.3">
      <c r="A25" t="s">
        <v>20</v>
      </c>
    </row>
    <row r="26" spans="1:9" x14ac:dyDescent="0.3">
      <c r="A26" t="s">
        <v>21</v>
      </c>
    </row>
    <row r="27" spans="1:9" x14ac:dyDescent="0.3">
      <c r="A27" t="s">
        <v>23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</row>
    <row r="28" spans="1:9" x14ac:dyDescent="0.3">
      <c r="A28" t="s">
        <v>24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 s="1" t="s">
        <v>110</v>
      </c>
    </row>
    <row r="29" spans="1:9" x14ac:dyDescent="0.3">
      <c r="A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27</v>
      </c>
    </row>
    <row r="31" spans="1:9" x14ac:dyDescent="0.3">
      <c r="A31" t="s">
        <v>28</v>
      </c>
    </row>
    <row r="33" spans="1:2" x14ac:dyDescent="0.3">
      <c r="A33" t="s">
        <v>29</v>
      </c>
      <c r="B33" t="s">
        <v>30</v>
      </c>
    </row>
    <row r="34" spans="1:2" x14ac:dyDescent="0.3">
      <c r="A34" t="s">
        <v>66</v>
      </c>
      <c r="B34" t="s">
        <v>67</v>
      </c>
    </row>
    <row r="35" spans="1:2" x14ac:dyDescent="0.3">
      <c r="A35" t="s">
        <v>68</v>
      </c>
      <c r="B35" t="s">
        <v>69</v>
      </c>
    </row>
    <row r="36" spans="1:2" x14ac:dyDescent="0.3">
      <c r="A36" t="s">
        <v>70</v>
      </c>
      <c r="B36" t="s">
        <v>71</v>
      </c>
    </row>
    <row r="37" spans="1:2" x14ac:dyDescent="0.3">
      <c r="A37" t="s">
        <v>31</v>
      </c>
      <c r="B37" s="1" t="s">
        <v>105</v>
      </c>
    </row>
    <row r="38" spans="1:2" x14ac:dyDescent="0.3">
      <c r="A38" t="s">
        <v>32</v>
      </c>
      <c r="B38" s="1" t="s">
        <v>109</v>
      </c>
    </row>
    <row r="39" spans="1:2" x14ac:dyDescent="0.3">
      <c r="A39" t="s">
        <v>33</v>
      </c>
    </row>
    <row r="40" spans="1:2" x14ac:dyDescent="0.3">
      <c r="A40" t="s">
        <v>34</v>
      </c>
      <c r="B40">
        <v>50</v>
      </c>
    </row>
    <row r="41" spans="1:2" x14ac:dyDescent="0.3">
      <c r="A41" t="s">
        <v>35</v>
      </c>
    </row>
    <row r="42" spans="1:2" x14ac:dyDescent="0.3">
      <c r="A42" t="s">
        <v>36</v>
      </c>
    </row>
    <row r="43" spans="1:2" x14ac:dyDescent="0.3">
      <c r="A43" t="s">
        <v>37</v>
      </c>
    </row>
    <row r="44" spans="1:2" x14ac:dyDescent="0.3">
      <c r="A44" t="s">
        <v>38</v>
      </c>
    </row>
    <row r="45" spans="1:2" x14ac:dyDescent="0.3">
      <c r="A45" t="s">
        <v>39</v>
      </c>
    </row>
    <row r="46" spans="1:2" x14ac:dyDescent="0.3">
      <c r="A46" t="s">
        <v>40</v>
      </c>
      <c r="B46">
        <v>142</v>
      </c>
    </row>
    <row r="47" spans="1:2" x14ac:dyDescent="0.3">
      <c r="A47" t="s">
        <v>41</v>
      </c>
      <c r="B47">
        <v>100</v>
      </c>
    </row>
    <row r="48" spans="1:2" x14ac:dyDescent="0.3">
      <c r="A48" t="s">
        <v>42</v>
      </c>
      <c r="B48" s="1" t="s">
        <v>106</v>
      </c>
    </row>
    <row r="49" spans="1:2" x14ac:dyDescent="0.3">
      <c r="A49" t="s">
        <v>43</v>
      </c>
    </row>
    <row r="50" spans="1:2" x14ac:dyDescent="0.3">
      <c r="A50" t="s">
        <v>44</v>
      </c>
      <c r="B50">
        <v>27.2</v>
      </c>
    </row>
    <row r="51" spans="1:2" x14ac:dyDescent="0.3">
      <c r="A51" t="s">
        <v>45</v>
      </c>
      <c r="B51" s="1" t="s">
        <v>109</v>
      </c>
    </row>
    <row r="52" spans="1:2" x14ac:dyDescent="0.3">
      <c r="A52" t="s">
        <v>46</v>
      </c>
      <c r="B52">
        <v>42</v>
      </c>
    </row>
    <row r="53" spans="1:2" x14ac:dyDescent="0.3">
      <c r="A53" t="s">
        <v>47</v>
      </c>
      <c r="B53">
        <v>52</v>
      </c>
    </row>
    <row r="54" spans="1:2" x14ac:dyDescent="0.3">
      <c r="A54" t="s">
        <v>48</v>
      </c>
      <c r="B54">
        <v>160</v>
      </c>
    </row>
    <row r="55" spans="1:2" x14ac:dyDescent="0.3">
      <c r="A55" t="s">
        <v>49</v>
      </c>
      <c r="B55">
        <v>160</v>
      </c>
    </row>
    <row r="56" spans="1:2" x14ac:dyDescent="0.3">
      <c r="A56" t="s">
        <v>50</v>
      </c>
    </row>
    <row r="57" spans="1:2" x14ac:dyDescent="0.3">
      <c r="A57" t="s">
        <v>51</v>
      </c>
      <c r="B57" s="1" t="s">
        <v>107</v>
      </c>
    </row>
    <row r="58" spans="1:2" x14ac:dyDescent="0.3">
      <c r="A58" t="s">
        <v>52</v>
      </c>
      <c r="B58" s="1"/>
    </row>
    <row r="59" spans="1:2" x14ac:dyDescent="0.3">
      <c r="A59" t="s">
        <v>53</v>
      </c>
    </row>
    <row r="60" spans="1:2" x14ac:dyDescent="0.3">
      <c r="A60" t="s">
        <v>54</v>
      </c>
    </row>
    <row r="61" spans="1:2" x14ac:dyDescent="0.3">
      <c r="A61" t="s">
        <v>55</v>
      </c>
      <c r="B61">
        <v>2</v>
      </c>
    </row>
    <row r="62" spans="1:2" x14ac:dyDescent="0.3">
      <c r="A62" t="s">
        <v>56</v>
      </c>
      <c r="B62">
        <v>1</v>
      </c>
    </row>
    <row r="63" spans="1:2" x14ac:dyDescent="0.3">
      <c r="A63" t="s">
        <v>57</v>
      </c>
    </row>
    <row r="64" spans="1:2" x14ac:dyDescent="0.3">
      <c r="A64" t="s">
        <v>58</v>
      </c>
      <c r="B64">
        <v>4</v>
      </c>
    </row>
    <row r="65" spans="1:2" x14ac:dyDescent="0.3">
      <c r="A65" t="s">
        <v>59</v>
      </c>
      <c r="B65" s="1"/>
    </row>
    <row r="66" spans="1:2" x14ac:dyDescent="0.3">
      <c r="A66" t="s">
        <v>60</v>
      </c>
      <c r="B66" s="1" t="s">
        <v>109</v>
      </c>
    </row>
    <row r="67" spans="1:2" x14ac:dyDescent="0.3">
      <c r="A67" t="s">
        <v>61</v>
      </c>
      <c r="B67" s="1" t="s">
        <v>109</v>
      </c>
    </row>
    <row r="68" spans="1:2" x14ac:dyDescent="0.3">
      <c r="A68" t="s">
        <v>62</v>
      </c>
      <c r="B68">
        <v>1667</v>
      </c>
    </row>
    <row r="69" spans="1:2" x14ac:dyDescent="0.3">
      <c r="A69" t="s">
        <v>63</v>
      </c>
      <c r="B69">
        <v>3146</v>
      </c>
    </row>
    <row r="70" spans="1:2" x14ac:dyDescent="0.3">
      <c r="A70" t="s">
        <v>64</v>
      </c>
    </row>
    <row r="71" spans="1:2" x14ac:dyDescent="0.3">
      <c r="A71" t="s">
        <v>65</v>
      </c>
      <c r="B71" s="1" t="s">
        <v>72</v>
      </c>
    </row>
    <row r="72" spans="1:2" x14ac:dyDescent="0.3">
      <c r="A72" t="s">
        <v>73</v>
      </c>
      <c r="B72" s="1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2025-10-24T00:58:18Z</dcterms:modified>
</cp:coreProperties>
</file>