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80D1C960-2270-7B40-B2E8-5A1902647EE6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E8" i="1"/>
  <c r="F8" i="1"/>
  <c r="G8" i="1"/>
  <c r="H8" i="1"/>
  <c r="I8" i="1"/>
  <c r="J8" i="1"/>
  <c r="C8" i="1"/>
</calcChain>
</file>

<file path=xl/sharedStrings.xml><?xml version="1.0" encoding="utf-8"?>
<sst xmlns="http://schemas.openxmlformats.org/spreadsheetml/2006/main" count="130" uniqueCount="127">
  <si>
    <t>brand</t>
  </si>
  <si>
    <t>model</t>
  </si>
  <si>
    <t>model year</t>
  </si>
  <si>
    <t>2025</t>
  </si>
  <si>
    <t>input date</t>
  </si>
  <si>
    <t>URL</t>
  </si>
  <si>
    <t>data_range</t>
  </si>
  <si>
    <t>frame_size</t>
  </si>
  <si>
    <t>wheel_size</t>
  </si>
  <si>
    <t>seat_tube_length</t>
  </si>
  <si>
    <t>seat_tube_angle</t>
  </si>
  <si>
    <t>head_tube_length</t>
  </si>
  <si>
    <t>head_tube_angle</t>
  </si>
  <si>
    <t>top_tube_effective_length</t>
  </si>
  <si>
    <t>bottom_bracket_drop</t>
  </si>
  <si>
    <t>chainstay_length</t>
  </si>
  <si>
    <t>fork_offset_rake</t>
  </si>
  <si>
    <t>wheelbase</t>
  </si>
  <si>
    <t>standover</t>
  </si>
  <si>
    <t>reach</t>
  </si>
  <si>
    <t>stack</t>
  </si>
  <si>
    <t>axle_crown</t>
  </si>
  <si>
    <t>handlebar_width</t>
  </si>
  <si>
    <t>stem_length</t>
  </si>
  <si>
    <t>crank_length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</si>
  <si>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</si>
  <si>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</si>
  <si>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</si>
  <si>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</si>
  <si>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</si>
  <si>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</si>
  <si>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</si>
  <si>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</si>
  <si>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yes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</si>
  <si>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</si>
  <si>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</si>
  <si>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</si>
  <si>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</si>
  <si>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</si>
  <si>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</si>
  <si>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</si>
  <si>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</si>
  <si>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</si>
  <si>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</si>
  <si>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</si>
  <si>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</si>
  <si>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</si>
  <si>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</si>
  <si>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</si>
  <si>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</si>
  <si>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</si>
  <si>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</si>
  <si>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</si>
  <si>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</si>
  <si>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front_derailleur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</si>
  <si>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</si>
  <si>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</si>
  <si>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</si>
  <si>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</si>
  <si>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</si>
  <si>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</si>
  <si>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</si>
  <si>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</si>
  <si>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</si>
  <si>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</si>
  <si>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</si>
  <si>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</si>
  <si>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</si>
  <si>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</si>
  <si>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</si>
  <si>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</si>
  <si>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frame_weight</t>
  </si>
  <si>
    <t>rigid</t>
  </si>
  <si>
    <t>Size</t>
  </si>
  <si>
    <t>internal</t>
  </si>
  <si>
    <t>USD</t>
  </si>
  <si>
    <t>Surly</t>
  </si>
  <si>
    <t>Straggler</t>
  </si>
  <si>
    <t>https://surlybikes.com/collections/new-straggler</t>
  </si>
  <si>
    <t>46 (650b)</t>
  </si>
  <si>
    <t>49 (650b)</t>
  </si>
  <si>
    <t>52 (650b)</t>
  </si>
  <si>
    <t>54 (700c)</t>
  </si>
  <si>
    <t>56 (700c)</t>
  </si>
  <si>
    <t>58 (700c)</t>
  </si>
  <si>
    <t>61 (700c)</t>
  </si>
  <si>
    <t>64 (700c)</t>
  </si>
  <si>
    <t>A. Effective Top Tube</t>
  </si>
  <si>
    <t>B. Stand Over</t>
  </si>
  <si>
    <t>C. Reach</t>
  </si>
  <si>
    <t>D. Stack</t>
  </si>
  <si>
    <t>E. Total Seat Tube Length</t>
  </si>
  <si>
    <t>F. Headtube Length</t>
  </si>
  <si>
    <t>G. Headtube Angle</t>
  </si>
  <si>
    <t>H. Seat Tube Angle</t>
  </si>
  <si>
    <t>I. BB Drop</t>
  </si>
  <si>
    <t>J. BB Height</t>
  </si>
  <si>
    <t>K. Chainstay Length</t>
  </si>
  <si>
    <t>L. Fork Length Axle to Crown</t>
  </si>
  <si>
    <t>M. Fork Offset</t>
  </si>
  <si>
    <t>N. Wheelbase</t>
  </si>
  <si>
    <t>Crank Arm Length</t>
  </si>
  <si>
    <t>Handlebar Width</t>
  </si>
  <si>
    <t>147.0 - 157.0</t>
  </si>
  <si>
    <t>155.0 - 165.0</t>
  </si>
  <si>
    <t>160.0 - 170.0</t>
  </si>
  <si>
    <t>166.0 - 177.0</t>
  </si>
  <si>
    <t>173.0 - 183.0</t>
  </si>
  <si>
    <t>179.0 - 189.0</t>
  </si>
  <si>
    <t>184.0 - 194.0</t>
  </si>
  <si>
    <t>193.0 -</t>
  </si>
  <si>
    <t>Stem Length</t>
  </si>
  <si>
    <t>drop bar</t>
  </si>
  <si>
    <t>steel</t>
  </si>
  <si>
    <t>bb_height</t>
  </si>
  <si>
    <t>a8:j31</t>
  </si>
  <si>
    <t>external</t>
  </si>
  <si>
    <t>from fork specs, the geometry chart has:</t>
  </si>
  <si>
    <t>https://surlybikes.com/cdn/shop/files/surly-straggler-grx-610-bike-subtropic-algae-BK01494-2000px.jpg?v=1757440088&amp;width=823</t>
  </si>
  <si>
    <t>location</t>
  </si>
  <si>
    <t>Bloomington, Minnesota, USA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</si>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</sst>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313131"/>
      <name val="Arial"/>
      <family val="2"/>
    </font>
    <font>
      <sz val="14"/>
      <color rgb="FF313131"/>
      <name val="Arial"/>
      <family val="2"/>
    </font>
    <font>
      <u/>
      <sz val="14"/>
      <color theme="10"/>
      <name val="Futura"/>
      <family val="2"/>
    </font>
    <font>
      <sz val="14"/>
      <color rgb="FF000000"/>
      <name val="Futura Medium"/>
    </font>
    <font>
      <sz val="14"/>
      <color rgb="FF313131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0" fillId="0" borderId="0" xfId="0" applyNumberFormat="1"/>
    <xf numFmtId="0" fontId="4" fillId="0" borderId="0" xfId="1"/>
    <xf numFmtId="0" fontId="5" fillId="0" borderId="0" xfId="0" applyFont="1"/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8"/>
  <sheetViews>
    <sheetView tabSelected="1" topLeftCell="A62" zoomScaleNormal="100" workbookViewId="0">
      <selection activeCell="A72" sqref="A72:B72"/>
    </sheetView>
  </sheetViews>
  <sheetFormatPr baseColWidth="10" defaultRowHeight="20" x14ac:dyDescent="0.3"/>
  <cols>
    <col min="1" max="2" width="19.6640625" customWidth="1"/>
  </cols>
  <sheetData>
    <row r="1" spans="1:22" x14ac:dyDescent="0.3">
      <c r="A1" t="s">
        <v>0</v>
      </c>
      <c r="B1" s="1" t="s">
        <v>76</v>
      </c>
    </row>
    <row r="2" spans="1:22" x14ac:dyDescent="0.3">
      <c r="A2" t="s">
        <v>1</v>
      </c>
      <c r="B2" s="1" t="s">
        <v>77</v>
      </c>
    </row>
    <row r="3" spans="1:22" x14ac:dyDescent="0.3">
      <c r="A3" t="s">
        <v>2</v>
      </c>
      <c r="B3" t="s">
        <v>3</v>
      </c>
    </row>
    <row r="4" spans="1:22" x14ac:dyDescent="0.3">
      <c r="A4" t="s">
        <v>4</v>
      </c>
      <c r="B4" s="4">
        <v>45926</v>
      </c>
    </row>
    <row r="5" spans="1:22" x14ac:dyDescent="0.3">
      <c r="A5" t="s">
        <v>5</v>
      </c>
      <c r="B5" s="5" t="s">
        <v>78</v>
      </c>
    </row>
    <row r="6" spans="1:22" x14ac:dyDescent="0.3">
      <c r="B6" t="s">
        <v>118</v>
      </c>
    </row>
    <row r="7" spans="1:22" x14ac:dyDescent="0.3">
      <c r="A7" t="s">
        <v>6</v>
      </c>
      <c r="B7" s="1" t="s">
        <v>115</v>
      </c>
    </row>
    <row r="8" spans="1:22" x14ac:dyDescent="0.3">
      <c r="A8" t="s">
        <v>7</v>
      </c>
      <c r="B8" s="6" t="s">
        <v>73</v>
      </c>
      <c r="C8" s="6">
        <f>VALUE(LEFT(K8,2))</f>
        <v>46</v>
      </c>
      <c r="D8" s="6">
        <f t="shared" ref="D8:J8" si="0">VALUE(LEFT(L8,2))</f>
        <v>49</v>
      </c>
      <c r="E8" s="6">
        <f t="shared" si="0"/>
        <v>52</v>
      </c>
      <c r="F8" s="6">
        <f t="shared" si="0"/>
        <v>54</v>
      </c>
      <c r="G8" s="6">
        <f t="shared" si="0"/>
        <v>56</v>
      </c>
      <c r="H8" s="6">
        <f t="shared" si="0"/>
        <v>58</v>
      </c>
      <c r="I8" s="6">
        <f t="shared" si="0"/>
        <v>61</v>
      </c>
      <c r="J8" s="6">
        <f t="shared" si="0"/>
        <v>64</v>
      </c>
      <c r="K8" s="6" t="s">
        <v>79</v>
      </c>
      <c r="L8" s="6" t="s">
        <v>80</v>
      </c>
      <c r="M8" s="7" t="s">
        <v>81</v>
      </c>
      <c r="N8" s="7" t="s">
        <v>82</v>
      </c>
      <c r="O8" s="7" t="s">
        <v>83</v>
      </c>
      <c r="P8" s="7" t="s">
        <v>84</v>
      </c>
      <c r="Q8" s="2" t="s">
        <v>85</v>
      </c>
      <c r="R8" s="2" t="s">
        <v>86</v>
      </c>
      <c r="S8" s="2"/>
      <c r="T8" s="2"/>
      <c r="U8" s="2"/>
      <c r="V8" s="2"/>
    </row>
    <row r="9" spans="1:22" x14ac:dyDescent="0.3">
      <c r="A9" t="s">
        <v>13</v>
      </c>
      <c r="B9" s="7" t="s">
        <v>87</v>
      </c>
      <c r="C9" s="6">
        <v>500</v>
      </c>
      <c r="D9" s="6">
        <v>520</v>
      </c>
      <c r="E9" s="6">
        <v>540</v>
      </c>
      <c r="F9" s="6">
        <v>555</v>
      </c>
      <c r="G9" s="6">
        <v>570</v>
      </c>
      <c r="H9" s="6">
        <v>585</v>
      </c>
      <c r="I9" s="6">
        <v>605</v>
      </c>
      <c r="J9" s="6">
        <v>630</v>
      </c>
      <c r="O9" s="3"/>
      <c r="P9" s="3"/>
      <c r="Q9" s="3"/>
      <c r="R9" s="3"/>
      <c r="S9" s="3"/>
      <c r="T9" s="3"/>
      <c r="U9" s="3"/>
      <c r="V9" s="3"/>
    </row>
    <row r="10" spans="1:22" x14ac:dyDescent="0.3">
      <c r="A10" t="s">
        <v>18</v>
      </c>
      <c r="B10" s="7" t="s">
        <v>88</v>
      </c>
      <c r="C10" s="6">
        <v>682</v>
      </c>
      <c r="D10" s="6">
        <v>716</v>
      </c>
      <c r="E10" s="6">
        <v>746</v>
      </c>
      <c r="F10" s="6">
        <v>779</v>
      </c>
      <c r="G10" s="6">
        <v>807</v>
      </c>
      <c r="H10" s="6">
        <v>830</v>
      </c>
      <c r="I10" s="7">
        <v>857</v>
      </c>
      <c r="J10" s="7">
        <v>895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x14ac:dyDescent="0.3">
      <c r="A11" t="s">
        <v>19</v>
      </c>
      <c r="B11" s="7" t="s">
        <v>89</v>
      </c>
      <c r="C11" s="6">
        <v>363.9</v>
      </c>
      <c r="D11" s="6">
        <v>362.9</v>
      </c>
      <c r="E11" s="6">
        <v>365.3</v>
      </c>
      <c r="F11" s="6">
        <v>391.4</v>
      </c>
      <c r="G11" s="6">
        <v>389.1</v>
      </c>
      <c r="H11" s="6">
        <v>392.5</v>
      </c>
      <c r="I11" s="7">
        <v>403.5</v>
      </c>
      <c r="J11" s="7">
        <v>419.5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3">
      <c r="A12" t="s">
        <v>20</v>
      </c>
      <c r="B12" s="7" t="s">
        <v>90</v>
      </c>
      <c r="C12" s="6">
        <v>507.9</v>
      </c>
      <c r="D12" s="6">
        <v>530.4</v>
      </c>
      <c r="E12" s="6">
        <v>554</v>
      </c>
      <c r="F12" s="6">
        <v>570.70000000000005</v>
      </c>
      <c r="G12" s="6">
        <v>591.6</v>
      </c>
      <c r="H12" s="6">
        <v>610.6</v>
      </c>
      <c r="I12" s="7">
        <v>639.1</v>
      </c>
      <c r="J12" s="7">
        <v>667.7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x14ac:dyDescent="0.3">
      <c r="A13" t="s">
        <v>9</v>
      </c>
      <c r="B13" s="7" t="s">
        <v>91</v>
      </c>
      <c r="C13" s="6">
        <v>390</v>
      </c>
      <c r="D13" s="6">
        <v>430</v>
      </c>
      <c r="E13" s="6">
        <v>460</v>
      </c>
      <c r="F13" s="6">
        <v>490</v>
      </c>
      <c r="G13" s="6">
        <v>520</v>
      </c>
      <c r="H13" s="6">
        <v>545</v>
      </c>
      <c r="I13" s="6">
        <v>570</v>
      </c>
      <c r="J13" s="6">
        <v>620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x14ac:dyDescent="0.3">
      <c r="A14" t="s">
        <v>11</v>
      </c>
      <c r="B14" s="6" t="s">
        <v>92</v>
      </c>
      <c r="C14" s="6">
        <v>90</v>
      </c>
      <c r="D14" s="6">
        <v>110</v>
      </c>
      <c r="E14" s="6">
        <v>135</v>
      </c>
      <c r="F14" s="6">
        <v>120</v>
      </c>
      <c r="G14" s="6">
        <v>140</v>
      </c>
      <c r="H14" s="6">
        <v>160</v>
      </c>
      <c r="I14" s="7">
        <v>190</v>
      </c>
      <c r="J14" s="7">
        <v>220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x14ac:dyDescent="0.3">
      <c r="A15" t="s">
        <v>12</v>
      </c>
      <c r="B15" s="7" t="s">
        <v>93</v>
      </c>
      <c r="C15" s="6">
        <v>70</v>
      </c>
      <c r="D15" s="6">
        <v>71</v>
      </c>
      <c r="E15" s="6">
        <v>71</v>
      </c>
      <c r="F15" s="6">
        <v>71.5</v>
      </c>
      <c r="G15" s="6">
        <v>72</v>
      </c>
      <c r="H15" s="6">
        <v>72</v>
      </c>
      <c r="I15" s="7">
        <v>72</v>
      </c>
      <c r="J15" s="7">
        <v>72</v>
      </c>
      <c r="K15" s="3"/>
      <c r="L15" s="3"/>
      <c r="M15" s="3"/>
      <c r="N15" s="3"/>
    </row>
    <row r="16" spans="1:22" x14ac:dyDescent="0.3">
      <c r="A16" t="s">
        <v>10</v>
      </c>
      <c r="B16" s="7" t="s">
        <v>94</v>
      </c>
      <c r="C16" s="6">
        <v>75</v>
      </c>
      <c r="D16" s="6">
        <v>73.5</v>
      </c>
      <c r="E16" s="6">
        <v>72.5</v>
      </c>
      <c r="F16" s="6">
        <v>74</v>
      </c>
      <c r="G16" s="6">
        <v>73</v>
      </c>
      <c r="H16" s="6">
        <v>72.5</v>
      </c>
      <c r="I16" s="6">
        <v>72.5</v>
      </c>
      <c r="J16" s="6">
        <v>72.5</v>
      </c>
    </row>
    <row r="17" spans="1:19" x14ac:dyDescent="0.3">
      <c r="A17" t="s">
        <v>14</v>
      </c>
      <c r="B17" s="7" t="s">
        <v>95</v>
      </c>
      <c r="C17" s="6">
        <v>62</v>
      </c>
      <c r="D17" s="6">
        <v>62</v>
      </c>
      <c r="E17" s="6">
        <v>62</v>
      </c>
      <c r="F17" s="6">
        <v>72</v>
      </c>
      <c r="G17" s="6">
        <v>72</v>
      </c>
      <c r="H17" s="6">
        <v>72</v>
      </c>
      <c r="I17" s="6">
        <v>72</v>
      </c>
      <c r="J17" s="6">
        <v>72</v>
      </c>
      <c r="K17" s="3"/>
      <c r="L17" s="3"/>
      <c r="M17" s="3"/>
      <c r="N17" s="3"/>
    </row>
    <row r="18" spans="1:19" x14ac:dyDescent="0.3">
      <c r="A18" s="1" t="s">
        <v>114</v>
      </c>
      <c r="B18" s="7" t="s">
        <v>96</v>
      </c>
      <c r="C18" s="6">
        <v>277</v>
      </c>
      <c r="D18" s="6">
        <v>277</v>
      </c>
      <c r="E18" s="6">
        <v>277</v>
      </c>
      <c r="F18" s="6">
        <v>285.5</v>
      </c>
      <c r="G18" s="6">
        <v>285.5</v>
      </c>
      <c r="H18" s="6">
        <v>285.5</v>
      </c>
      <c r="I18" s="7">
        <v>285.5</v>
      </c>
      <c r="J18" s="7">
        <v>285.5</v>
      </c>
      <c r="K18" s="3"/>
      <c r="L18" s="3"/>
      <c r="M18" s="3"/>
      <c r="N18" s="3"/>
    </row>
    <row r="19" spans="1:19" x14ac:dyDescent="0.3">
      <c r="A19" t="s">
        <v>15</v>
      </c>
      <c r="B19" s="7" t="s">
        <v>97</v>
      </c>
      <c r="C19" s="6">
        <v>416</v>
      </c>
      <c r="D19" s="6">
        <v>416</v>
      </c>
      <c r="E19" s="6">
        <v>416</v>
      </c>
      <c r="F19" s="6">
        <v>435</v>
      </c>
      <c r="G19" s="6">
        <v>435</v>
      </c>
      <c r="H19" s="6">
        <v>435</v>
      </c>
      <c r="I19" s="6">
        <v>435</v>
      </c>
      <c r="J19" s="6">
        <v>435</v>
      </c>
    </row>
    <row r="20" spans="1:19" x14ac:dyDescent="0.3">
      <c r="A20" t="s">
        <v>21</v>
      </c>
      <c r="B20" s="7" t="s">
        <v>98</v>
      </c>
      <c r="C20" s="6">
        <v>390</v>
      </c>
      <c r="D20" s="6">
        <v>390</v>
      </c>
      <c r="E20" s="6">
        <v>390</v>
      </c>
      <c r="F20" s="6">
        <v>410</v>
      </c>
      <c r="G20" s="6">
        <v>410</v>
      </c>
      <c r="H20" s="6">
        <v>410</v>
      </c>
      <c r="I20" s="6">
        <v>410</v>
      </c>
      <c r="J20" s="6">
        <v>410</v>
      </c>
      <c r="K20" s="1" t="s">
        <v>117</v>
      </c>
      <c r="L20" s="6">
        <v>387.5</v>
      </c>
      <c r="M20" s="6">
        <v>387.5</v>
      </c>
      <c r="N20" s="6">
        <v>387.5</v>
      </c>
      <c r="O20" s="6">
        <v>407.6</v>
      </c>
      <c r="P20" s="6">
        <v>407.6</v>
      </c>
      <c r="Q20" s="6">
        <v>407.6</v>
      </c>
      <c r="R20" s="6">
        <v>407.6</v>
      </c>
      <c r="S20" s="6">
        <v>407.6</v>
      </c>
    </row>
    <row r="21" spans="1:19" x14ac:dyDescent="0.3">
      <c r="A21" t="s">
        <v>16</v>
      </c>
      <c r="B21" s="7" t="s">
        <v>99</v>
      </c>
      <c r="C21" s="6">
        <v>44</v>
      </c>
      <c r="D21" s="6">
        <v>44</v>
      </c>
      <c r="E21" s="6">
        <v>44</v>
      </c>
      <c r="F21" s="6">
        <v>44</v>
      </c>
      <c r="G21" s="6">
        <v>44</v>
      </c>
      <c r="H21" s="6">
        <v>44</v>
      </c>
      <c r="I21" s="6">
        <v>44</v>
      </c>
      <c r="J21" s="6">
        <v>44</v>
      </c>
    </row>
    <row r="22" spans="1:19" x14ac:dyDescent="0.3">
      <c r="A22" t="s">
        <v>17</v>
      </c>
      <c r="B22" s="6" t="s">
        <v>100</v>
      </c>
      <c r="C22" s="6">
        <v>984.4</v>
      </c>
      <c r="D22" s="6">
        <v>982.1</v>
      </c>
      <c r="E22" s="6">
        <v>992.6</v>
      </c>
      <c r="F22" s="6">
        <v>1033.5999999999999</v>
      </c>
      <c r="G22" s="6">
        <v>1033.2</v>
      </c>
      <c r="H22" s="6">
        <v>1042.7</v>
      </c>
      <c r="I22" s="6">
        <v>1063</v>
      </c>
      <c r="J22" s="6">
        <v>1088.3</v>
      </c>
    </row>
    <row r="23" spans="1:19" x14ac:dyDescent="0.3">
      <c r="A23" s="1" t="s">
        <v>24</v>
      </c>
      <c r="B23" s="6" t="s">
        <v>101</v>
      </c>
      <c r="C23" s="6">
        <v>165</v>
      </c>
      <c r="D23" s="6">
        <v>165</v>
      </c>
      <c r="E23" s="6">
        <v>165</v>
      </c>
      <c r="F23" s="6">
        <v>170</v>
      </c>
      <c r="G23" s="6">
        <v>170</v>
      </c>
      <c r="H23" s="6">
        <v>170</v>
      </c>
      <c r="I23" s="7">
        <v>170</v>
      </c>
      <c r="J23" s="7">
        <v>170</v>
      </c>
      <c r="K23" s="3"/>
      <c r="L23" s="3"/>
      <c r="M23" s="3"/>
      <c r="N23" s="3"/>
    </row>
    <row r="24" spans="1:19" x14ac:dyDescent="0.3">
      <c r="A24" t="s">
        <v>22</v>
      </c>
      <c r="B24" s="6" t="s">
        <v>102</v>
      </c>
      <c r="C24" s="6">
        <v>400</v>
      </c>
      <c r="D24" s="6">
        <v>420</v>
      </c>
      <c r="E24" s="6">
        <v>440</v>
      </c>
      <c r="F24" s="6">
        <v>460</v>
      </c>
      <c r="G24" s="6">
        <v>460</v>
      </c>
      <c r="H24" s="6">
        <v>480</v>
      </c>
      <c r="I24" s="7">
        <v>500</v>
      </c>
      <c r="J24" s="7">
        <v>520</v>
      </c>
      <c r="K24" s="3"/>
      <c r="L24" s="3"/>
      <c r="M24" s="3"/>
      <c r="N24" s="3"/>
    </row>
    <row r="25" spans="1:19" x14ac:dyDescent="0.3">
      <c r="A25" t="s">
        <v>23</v>
      </c>
      <c r="B25" s="6" t="s">
        <v>111</v>
      </c>
      <c r="C25" s="6">
        <v>70</v>
      </c>
      <c r="D25" s="6">
        <v>80</v>
      </c>
      <c r="E25" s="6">
        <v>90</v>
      </c>
      <c r="F25" s="6">
        <v>90</v>
      </c>
      <c r="G25" s="6">
        <v>100</v>
      </c>
      <c r="H25" s="6">
        <v>100</v>
      </c>
      <c r="I25" s="7">
        <v>100</v>
      </c>
      <c r="J25" s="7">
        <v>110</v>
      </c>
      <c r="K25" s="3"/>
      <c r="L25" s="3"/>
      <c r="M25" s="3"/>
      <c r="N25" s="3"/>
    </row>
    <row r="26" spans="1:19" x14ac:dyDescent="0.3">
      <c r="A26" s="1" t="s">
        <v>71</v>
      </c>
      <c r="B26" s="6"/>
      <c r="C26" s="6"/>
      <c r="D26" s="6"/>
      <c r="E26" s="6"/>
      <c r="F26" s="6"/>
      <c r="G26" s="6"/>
      <c r="H26" s="6"/>
      <c r="I26" s="7"/>
      <c r="J26" s="7"/>
      <c r="K26" s="3"/>
      <c r="L26" s="3"/>
      <c r="M26" s="3"/>
      <c r="N26" s="3"/>
    </row>
    <row r="27" spans="1:19" x14ac:dyDescent="0.3">
      <c r="A27" t="s">
        <v>8</v>
      </c>
      <c r="B27" s="6"/>
      <c r="C27" s="6">
        <v>650</v>
      </c>
      <c r="D27" s="6">
        <v>650</v>
      </c>
      <c r="E27" s="6">
        <v>650</v>
      </c>
      <c r="F27" s="6">
        <v>700</v>
      </c>
      <c r="G27" s="6">
        <v>700</v>
      </c>
      <c r="H27" s="6">
        <v>700</v>
      </c>
      <c r="I27" s="6">
        <v>700</v>
      </c>
      <c r="J27" s="6">
        <v>700</v>
      </c>
      <c r="K27" s="3"/>
      <c r="L27" s="3"/>
      <c r="M27" s="3"/>
      <c r="N27" s="3"/>
    </row>
    <row r="28" spans="1:19" x14ac:dyDescent="0.3">
      <c r="A28" t="s">
        <v>25</v>
      </c>
      <c r="B28" s="6"/>
      <c r="C28" s="6">
        <v>47</v>
      </c>
      <c r="D28" s="6">
        <v>47</v>
      </c>
      <c r="E28" s="6">
        <v>47</v>
      </c>
      <c r="F28" s="6">
        <v>45</v>
      </c>
      <c r="G28" s="6">
        <v>45</v>
      </c>
      <c r="H28" s="6">
        <v>45</v>
      </c>
      <c r="I28" s="6">
        <v>45</v>
      </c>
      <c r="J28" s="6">
        <v>45</v>
      </c>
      <c r="K28" s="3"/>
      <c r="L28" s="3"/>
      <c r="M28" s="3"/>
      <c r="N28" s="3"/>
    </row>
    <row r="29" spans="1:19" x14ac:dyDescent="0.3">
      <c r="A29" t="s">
        <v>26</v>
      </c>
      <c r="B29" s="6"/>
      <c r="C29" s="6">
        <v>50</v>
      </c>
      <c r="D29" s="6">
        <v>50</v>
      </c>
      <c r="E29" s="6">
        <v>50</v>
      </c>
      <c r="F29" s="6">
        <v>50</v>
      </c>
      <c r="G29" s="6">
        <v>50</v>
      </c>
      <c r="H29" s="6">
        <v>50</v>
      </c>
      <c r="I29" s="6">
        <v>50</v>
      </c>
      <c r="J29" s="6">
        <v>50</v>
      </c>
      <c r="K29" s="3"/>
      <c r="L29" s="3"/>
      <c r="M29" s="3"/>
      <c r="N29" s="3"/>
    </row>
    <row r="30" spans="1:19" x14ac:dyDescent="0.3">
      <c r="A30" t="s">
        <v>27</v>
      </c>
      <c r="B30" s="6"/>
      <c r="C30" s="6">
        <v>147</v>
      </c>
      <c r="D30" s="6">
        <v>155</v>
      </c>
      <c r="E30" s="6">
        <v>160</v>
      </c>
      <c r="F30" s="6">
        <v>166</v>
      </c>
      <c r="G30" s="6">
        <v>173</v>
      </c>
      <c r="H30" s="6">
        <v>179</v>
      </c>
      <c r="I30" s="7">
        <v>184</v>
      </c>
      <c r="J30" s="7">
        <v>193</v>
      </c>
      <c r="K30" s="3"/>
      <c r="L30" s="3"/>
      <c r="M30" s="3"/>
      <c r="N30" s="3"/>
    </row>
    <row r="31" spans="1:19" x14ac:dyDescent="0.3">
      <c r="A31" t="s">
        <v>28</v>
      </c>
      <c r="B31" s="6"/>
      <c r="C31" s="6">
        <v>157</v>
      </c>
      <c r="D31" s="6">
        <v>165</v>
      </c>
      <c r="E31" s="6">
        <v>170</v>
      </c>
      <c r="F31" s="6">
        <v>177</v>
      </c>
      <c r="G31" s="6">
        <v>183</v>
      </c>
      <c r="H31" s="6">
        <v>189</v>
      </c>
      <c r="I31" s="6">
        <v>194</v>
      </c>
      <c r="J31" s="7">
        <v>200</v>
      </c>
    </row>
    <row r="32" spans="1:19" x14ac:dyDescent="0.3">
      <c r="B32" s="6"/>
      <c r="C32" s="6" t="s">
        <v>103</v>
      </c>
      <c r="D32" s="6" t="s">
        <v>104</v>
      </c>
      <c r="E32" s="6" t="s">
        <v>105</v>
      </c>
      <c r="F32" s="6" t="s">
        <v>106</v>
      </c>
      <c r="G32" s="6" t="s">
        <v>107</v>
      </c>
      <c r="H32" s="6" t="s">
        <v>108</v>
      </c>
      <c r="I32" s="7" t="s">
        <v>109</v>
      </c>
      <c r="J32" s="7" t="s">
        <v>110</v>
      </c>
    </row>
    <row r="33" spans="1:5" x14ac:dyDescent="0.3">
      <c r="A33" t="s">
        <v>29</v>
      </c>
      <c r="B33" t="s">
        <v>30</v>
      </c>
      <c r="C33" s="2"/>
      <c r="D33" s="2"/>
      <c r="E33" s="2"/>
    </row>
    <row r="34" spans="1:5" x14ac:dyDescent="0.3">
      <c r="A34" t="s">
        <v>67</v>
      </c>
      <c r="B34" t="s">
        <v>68</v>
      </c>
      <c r="C34" s="2"/>
      <c r="D34" s="2"/>
      <c r="E34" s="2"/>
    </row>
    <row r="35" spans="1:5" x14ac:dyDescent="0.3">
      <c r="A35" t="s">
        <v>69</v>
      </c>
      <c r="B35" s="1" t="s">
        <v>112</v>
      </c>
      <c r="C35" s="2"/>
      <c r="D35" s="2"/>
      <c r="E35" s="2"/>
    </row>
    <row r="36" spans="1:5" x14ac:dyDescent="0.3">
      <c r="A36" t="s">
        <v>70</v>
      </c>
      <c r="B36" s="1" t="s">
        <v>72</v>
      </c>
      <c r="C36" s="2"/>
      <c r="D36" s="2"/>
      <c r="E36" s="2"/>
    </row>
    <row r="37" spans="1:5" x14ac:dyDescent="0.3">
      <c r="A37" t="s">
        <v>31</v>
      </c>
      <c r="B37" s="1" t="s">
        <v>113</v>
      </c>
      <c r="C37" s="2"/>
      <c r="D37" s="2"/>
      <c r="E37" s="2"/>
    </row>
    <row r="38" spans="1:5" x14ac:dyDescent="0.3">
      <c r="A38" t="s">
        <v>32</v>
      </c>
      <c r="B38" s="1"/>
      <c r="C38" s="2"/>
      <c r="D38" s="2"/>
      <c r="E38" s="2"/>
    </row>
    <row r="39" spans="1:5" x14ac:dyDescent="0.3">
      <c r="A39" t="s">
        <v>34</v>
      </c>
      <c r="B39" s="1"/>
      <c r="C39" s="2"/>
      <c r="D39" s="2"/>
      <c r="E39" s="2"/>
    </row>
    <row r="40" spans="1:5" x14ac:dyDescent="0.3">
      <c r="A40" t="s">
        <v>35</v>
      </c>
      <c r="B40">
        <v>50</v>
      </c>
      <c r="C40" s="2"/>
      <c r="D40" s="2"/>
      <c r="E40" s="2"/>
    </row>
    <row r="41" spans="1:5" x14ac:dyDescent="0.3">
      <c r="A41" t="s">
        <v>36</v>
      </c>
      <c r="B41">
        <v>50</v>
      </c>
      <c r="C41" s="2"/>
      <c r="D41" s="2"/>
      <c r="E41" s="2"/>
    </row>
    <row r="42" spans="1:5" x14ac:dyDescent="0.3">
      <c r="A42" t="s">
        <v>37</v>
      </c>
      <c r="C42" s="2"/>
      <c r="D42" s="2"/>
      <c r="E42" s="2"/>
    </row>
    <row r="43" spans="1:5" x14ac:dyDescent="0.3">
      <c r="A43" t="s">
        <v>38</v>
      </c>
    </row>
    <row r="44" spans="1:5" x14ac:dyDescent="0.3">
      <c r="A44" t="s">
        <v>39</v>
      </c>
    </row>
    <row r="45" spans="1:5" x14ac:dyDescent="0.3">
      <c r="A45" t="s">
        <v>40</v>
      </c>
    </row>
    <row r="46" spans="1:5" x14ac:dyDescent="0.3">
      <c r="A46" t="s">
        <v>41</v>
      </c>
      <c r="B46">
        <v>142</v>
      </c>
    </row>
    <row r="47" spans="1:5" x14ac:dyDescent="0.3">
      <c r="A47" t="s">
        <v>42</v>
      </c>
      <c r="B47">
        <v>100</v>
      </c>
    </row>
    <row r="48" spans="1:5" x14ac:dyDescent="0.3">
      <c r="A48" t="s">
        <v>121</v>
      </c>
    </row>
    <row r="49" spans="1:2" x14ac:dyDescent="0.3">
      <c r="A49" t="s">
        <v>122</v>
      </c>
    </row>
    <row r="50" spans="1:2" x14ac:dyDescent="0.3">
      <c r="A50" t="s">
        <v>123</v>
      </c>
    </row>
    <row r="51" spans="1:2" x14ac:dyDescent="0.3">
      <c r="A51" t="s">
        <v>124</v>
      </c>
    </row>
    <row r="52" spans="1:2" x14ac:dyDescent="0.3">
      <c r="A52" t="s">
        <v>125</v>
      </c>
    </row>
    <row r="53" spans="1:2" x14ac:dyDescent="0.3">
      <c r="A53" t="s">
        <v>126</v>
      </c>
    </row>
    <row r="54" spans="1:2" x14ac:dyDescent="0.3">
      <c r="A54" t="s">
        <v>43</v>
      </c>
      <c r="B54" s="1"/>
    </row>
    <row r="55" spans="1:2" x14ac:dyDescent="0.3">
      <c r="A55" t="s">
        <v>44</v>
      </c>
    </row>
    <row r="56" spans="1:2" x14ac:dyDescent="0.3">
      <c r="A56" t="s">
        <v>45</v>
      </c>
      <c r="B56">
        <v>27.2</v>
      </c>
    </row>
    <row r="57" spans="1:2" x14ac:dyDescent="0.3">
      <c r="A57" t="s">
        <v>54</v>
      </c>
      <c r="B57" s="1" t="s">
        <v>33</v>
      </c>
    </row>
    <row r="58" spans="1:2" x14ac:dyDescent="0.3">
      <c r="A58" t="s">
        <v>46</v>
      </c>
      <c r="B58">
        <v>46</v>
      </c>
    </row>
    <row r="59" spans="1:2" x14ac:dyDescent="0.3">
      <c r="A59" t="s">
        <v>47</v>
      </c>
      <c r="B59">
        <v>50</v>
      </c>
    </row>
    <row r="60" spans="1:2" x14ac:dyDescent="0.3">
      <c r="A60" t="s">
        <v>48</v>
      </c>
      <c r="B60">
        <v>160</v>
      </c>
    </row>
    <row r="61" spans="1:2" x14ac:dyDescent="0.3">
      <c r="A61" t="s">
        <v>49</v>
      </c>
      <c r="B61">
        <v>160</v>
      </c>
    </row>
    <row r="62" spans="1:2" x14ac:dyDescent="0.3">
      <c r="A62" t="s">
        <v>50</v>
      </c>
      <c r="B62" s="1"/>
    </row>
    <row r="63" spans="1:2" x14ac:dyDescent="0.3">
      <c r="A63" t="s">
        <v>51</v>
      </c>
      <c r="B63" s="1" t="s">
        <v>116</v>
      </c>
    </row>
    <row r="64" spans="1:2" x14ac:dyDescent="0.3">
      <c r="A64" t="s">
        <v>52</v>
      </c>
      <c r="B64" s="1" t="s">
        <v>74</v>
      </c>
    </row>
    <row r="65" spans="1:2" x14ac:dyDescent="0.3">
      <c r="A65" t="s">
        <v>53</v>
      </c>
    </row>
    <row r="66" spans="1:2" x14ac:dyDescent="0.3">
      <c r="A66" t="s">
        <v>55</v>
      </c>
      <c r="B66" s="1"/>
    </row>
    <row r="67" spans="1:2" x14ac:dyDescent="0.3">
      <c r="A67" t="s">
        <v>56</v>
      </c>
      <c r="B67">
        <v>2</v>
      </c>
    </row>
    <row r="68" spans="1:2" x14ac:dyDescent="0.3">
      <c r="A68" t="s">
        <v>57</v>
      </c>
      <c r="B68">
        <v>1</v>
      </c>
    </row>
    <row r="69" spans="1:2" x14ac:dyDescent="0.3">
      <c r="A69" t="s">
        <v>58</v>
      </c>
    </row>
    <row r="70" spans="1:2" x14ac:dyDescent="0.3">
      <c r="A70" t="s">
        <v>59</v>
      </c>
      <c r="B70">
        <v>3</v>
      </c>
    </row>
    <row r="71" spans="1:2" x14ac:dyDescent="0.3">
      <c r="A71" t="s">
        <v>60</v>
      </c>
      <c r="B71" s="1" t="s">
        <v>33</v>
      </c>
    </row>
    <row r="72" spans="1:2" x14ac:dyDescent="0.3">
      <c r="A72" t="s">
        <v>61</v>
      </c>
      <c r="B72" s="1" t="s">
        <v>33</v>
      </c>
    </row>
    <row r="73" spans="1:2" x14ac:dyDescent="0.3">
      <c r="A73" t="s">
        <v>62</v>
      </c>
      <c r="B73" s="1" t="s">
        <v>33</v>
      </c>
    </row>
    <row r="74" spans="1:2" x14ac:dyDescent="0.3">
      <c r="A74" t="s">
        <v>63</v>
      </c>
      <c r="B74">
        <v>899</v>
      </c>
    </row>
    <row r="75" spans="1:2" x14ac:dyDescent="0.3">
      <c r="A75" t="s">
        <v>64</v>
      </c>
      <c r="B75">
        <v>1999</v>
      </c>
    </row>
    <row r="76" spans="1:2" x14ac:dyDescent="0.3">
      <c r="A76" t="s">
        <v>65</v>
      </c>
    </row>
    <row r="77" spans="1:2" x14ac:dyDescent="0.3">
      <c r="A77" t="s">
        <v>66</v>
      </c>
      <c r="B77" s="1" t="s">
        <v>75</v>
      </c>
    </row>
    <row r="78" spans="1:2" x14ac:dyDescent="0.3">
      <c r="A78" t="s">
        <v>119</v>
      </c>
      <c r="B78" t="s">
        <v>120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2025-07-25T13:16:29Z</dcterms:created>
  <dcterms:modified xsi:type="dcterms:W3CDTF">2025-11-07T14:48:48Z</dcterms:modified>
</cp:coreProperties>
</file>