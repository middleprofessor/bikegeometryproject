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F681F51-CABF-FD4F-A8A5-5A85E9BA6EDD}" xr6:coauthVersionLast="47" xr6:coauthVersionMax="47" xr10:uidLastSave="{00000000-0000-0000-0000-000000000000}"/>
  <bookViews>
    <workbookView xWindow="28560" yWindow="-194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I13" i="1"/>
  <c r="J13" i="1"/>
  <c r="C13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C24" i="1"/>
  <c r="C20" i="1"/>
  <c r="C19" i="1"/>
  <c r="C12" i="1"/>
  <c r="C11" i="1"/>
  <c r="C10" i="1"/>
  <c r="C14" i="1"/>
  <c r="C15" i="1"/>
  <c r="C16" i="1"/>
  <c r="C17" i="1"/>
  <c r="C18" i="1"/>
  <c r="C21" i="1"/>
  <c r="C22" i="1"/>
  <c r="C23" i="1"/>
  <c r="C9" i="1"/>
</calcChain>
</file>

<file path=xl/sharedStrings.xml><?xml version="1.0" encoding="utf-8"?>
<sst xmlns="http://schemas.openxmlformats.org/spreadsheetml/2006/main" count="159" uniqueCount="130">
  <si>
    <t>brand</t>
  </si>
  <si>
    <t>Sage</t>
  </si>
  <si>
    <t>model</t>
  </si>
  <si>
    <t>model year</t>
  </si>
  <si>
    <t>2025</t>
  </si>
  <si>
    <t>input date</t>
  </si>
  <si>
    <t>URL</t>
  </si>
  <si>
    <t>11-Jul-2025</t>
  </si>
  <si>
    <t>data_range</t>
  </si>
  <si>
    <t>a8:j33</t>
  </si>
  <si>
    <t>frame_size</t>
  </si>
  <si>
    <t>seat_tube_length</t>
  </si>
  <si>
    <t>[A] Seat Tube - Center to Top</t>
  </si>
  <si>
    <t>top_tube_effective_length</t>
  </si>
  <si>
    <t>[B] Top Tube Effective</t>
  </si>
  <si>
    <t>head_tube_angle</t>
  </si>
  <si>
    <t>[C] Head Tube Angle</t>
  </si>
  <si>
    <t>seat_tube_angle_actual</t>
  </si>
  <si>
    <t>[D] Seat Tube Angle</t>
  </si>
  <si>
    <t>seat_tube_angle</t>
  </si>
  <si>
    <t>standover</t>
  </si>
  <si>
    <t>[E] Stand Over</t>
  </si>
  <si>
    <t>head_tube_length</t>
  </si>
  <si>
    <t>[F] Head Tube Length</t>
  </si>
  <si>
    <t>wheelbase</t>
  </si>
  <si>
    <t>[G] Wheelbase</t>
  </si>
  <si>
    <t>front_center</t>
  </si>
  <si>
    <t>[H] Front Center</t>
  </si>
  <si>
    <t>chainstay_length</t>
  </si>
  <si>
    <t>[I] Chainstay Length</t>
  </si>
  <si>
    <t>bottom_bracket_drop</t>
  </si>
  <si>
    <t>[J] Bottom Bracket Drop</t>
  </si>
  <si>
    <t>trail</t>
  </si>
  <si>
    <t>[K] Trail</t>
  </si>
  <si>
    <t>stack</t>
  </si>
  <si>
    <t>[M] Stack</t>
  </si>
  <si>
    <t>reach</t>
  </si>
  <si>
    <t>[N] Reach</t>
  </si>
  <si>
    <t>axle_crown</t>
  </si>
  <si>
    <t>[O] Axle to Crown- Fork</t>
  </si>
  <si>
    <t>fork_offset_rake</t>
  </si>
  <si>
    <t>[P] Offset- Fork</t>
  </si>
  <si>
    <t>frame_weight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</si>
  <si>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</si>
  <si>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</si>
  <si>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</si>
  <si>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</si>
  <si>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</si>
  <si>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</si>
  <si>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</si>
  <si>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</si>
  <si>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</si>
  <si>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</si>
  <si>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</si>
  <si>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</si>
  <si>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</si>
  <si>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</si>
  <si>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</si>
  <si>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0</t>
  </si>
  <si>
    <t>tire_width_max_700c</t>
  </si>
  <si>
    <t>57</t>
  </si>
  <si>
    <t>tire_width_max_650b</t>
  </si>
  <si>
    <t>suspension_corrected</t>
  </si>
  <si>
    <t>40</t>
  </si>
  <si>
    <t>fork_suspension</t>
  </si>
  <si>
    <t>stem_suspension</t>
  </si>
  <si>
    <t>no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</si>
  <si>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</si>
  <si>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</si>
  <si>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</si>
  <si>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</si>
  <si>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</si>
  <si>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</si>
  <si>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</si>
  <si>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</si>
  <si>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</si>
  <si>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31.6</t>
  </si>
  <si>
    <t>front_derailleur</t>
  </si>
  <si>
    <t>max_chainring_1x</t>
  </si>
  <si>
    <t>44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</si>
  <si>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</si>
  <si>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</si>
  <si>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</si>
  <si>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</si>
  <si>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</si>
  <si>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</si>
  <si>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</si>
  <si>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</si>
  <si>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</si>
  <si>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</si>
  <si>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</si>
  <si>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</si>
  <si>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</si>
  <si>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</si>
  <si>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</si>
  <si>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</si>
  <si>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</si>
  <si>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</si>
  <si>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</si>
  <si>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</si>
  <si>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</si>
  <si>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</si>
  <si>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</si>
  <si>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</si>
  <si>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</si>
  <si>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</si>
  <si>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</si>
  <si>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location</t>
  </si>
  <si>
    <t>Beaverton, Oregon,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</si>
  <si>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</si>
  <si>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</si>
  <si>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</si>
  <si>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</si>
  <si>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</si>
  <si>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</si>
  <si>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</si>
  <si>
    <t>Storm King</t>
  </si>
  <si>
    <t>48CM</t>
  </si>
  <si>
    <t>50CM</t>
  </si>
  <si>
    <t>52CM</t>
  </si>
  <si>
    <t>54CM</t>
  </si>
  <si>
    <t>56CM</t>
  </si>
  <si>
    <t>58CM</t>
  </si>
  <si>
    <t>60CM</t>
  </si>
  <si>
    <t>62CM</t>
  </si>
  <si>
    <t>Effective Seat Tube Angle</t>
  </si>
  <si>
    <t>SIZE</t>
  </si>
  <si>
    <t>https://sagetitanium.com/product/storm-king-monster-gravel-bike/</t>
  </si>
  <si>
    <t>rigid</t>
  </si>
  <si>
    <t>https://sagetitanium.wpenginepowered.com/wp-content/uploads/2025/04/2025-Storm-King-PRO-Website-Edit.jpg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</si>
</sst>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t="s">
        <v>1</v>
      </c>
    </row>
    <row r="2" spans="1:20" x14ac:dyDescent="0.3">
      <c r="A2" t="s">
        <v>2</v>
      </c>
      <c r="B2" s="1" t="s">
        <v>116</v>
      </c>
    </row>
    <row r="3" spans="1:20" x14ac:dyDescent="0.3">
      <c r="A3" t="s">
        <v>3</v>
      </c>
      <c r="B3" t="s">
        <v>4</v>
      </c>
    </row>
    <row r="4" spans="1:20" x14ac:dyDescent="0.3">
      <c r="A4" t="s">
        <v>5</v>
      </c>
      <c r="B4" t="s">
        <v>7</v>
      </c>
    </row>
    <row r="5" spans="1:20" x14ac:dyDescent="0.3">
      <c r="A5" t="s">
        <v>6</v>
      </c>
      <c r="B5" t="s">
        <v>127</v>
      </c>
    </row>
    <row r="6" spans="1:20" x14ac:dyDescent="0.3">
      <c r="B6" t="s">
        <v>129</v>
      </c>
    </row>
    <row r="7" spans="1:20" x14ac:dyDescent="0.3">
      <c r="A7" t="s">
        <v>8</v>
      </c>
      <c r="B7" t="s">
        <v>9</v>
      </c>
    </row>
    <row r="8" spans="1:20" x14ac:dyDescent="0.3">
      <c r="A8" t="s">
        <v>10</v>
      </c>
      <c r="B8" s="1" t="s">
        <v>126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L8" s="1" t="s">
        <v>126</v>
      </c>
      <c r="M8" t="s">
        <v>117</v>
      </c>
      <c r="N8" t="s">
        <v>118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</row>
    <row r="9" spans="1:20" x14ac:dyDescent="0.3">
      <c r="A9" t="s">
        <v>11</v>
      </c>
      <c r="B9" t="s">
        <v>12</v>
      </c>
      <c r="C9">
        <f>M9*10</f>
        <v>450</v>
      </c>
      <c r="D9">
        <f>N9*10</f>
        <v>470</v>
      </c>
      <c r="E9">
        <f>O9*10</f>
        <v>490</v>
      </c>
      <c r="F9">
        <f>P9*10</f>
        <v>510</v>
      </c>
      <c r="G9">
        <f>Q9*10</f>
        <v>520</v>
      </c>
      <c r="H9">
        <f>R9*10</f>
        <v>540</v>
      </c>
      <c r="I9">
        <f>S9*10</f>
        <v>560</v>
      </c>
      <c r="J9">
        <f>T9*10</f>
        <v>575</v>
      </c>
      <c r="L9" t="s">
        <v>12</v>
      </c>
      <c r="M9">
        <v>45</v>
      </c>
      <c r="N9">
        <v>47</v>
      </c>
      <c r="O9">
        <v>49</v>
      </c>
      <c r="P9">
        <v>51</v>
      </c>
      <c r="Q9">
        <v>52</v>
      </c>
      <c r="R9">
        <v>54</v>
      </c>
      <c r="S9">
        <v>56</v>
      </c>
      <c r="T9">
        <v>57.5</v>
      </c>
    </row>
    <row r="10" spans="1:20" x14ac:dyDescent="0.3">
      <c r="A10" t="s">
        <v>13</v>
      </c>
      <c r="B10" t="s">
        <v>14</v>
      </c>
      <c r="C10">
        <f>M10*10</f>
        <v>539</v>
      </c>
      <c r="D10">
        <f>N10*10</f>
        <v>541.59999999999991</v>
      </c>
      <c r="E10">
        <f>O10*10</f>
        <v>555.20000000000005</v>
      </c>
      <c r="F10">
        <f>P10*10</f>
        <v>569.29999999999995</v>
      </c>
      <c r="G10">
        <f>Q10*10</f>
        <v>569.70000000000005</v>
      </c>
      <c r="H10">
        <f>R10*10</f>
        <v>595.70000000000005</v>
      </c>
      <c r="I10">
        <f>S10*10</f>
        <v>614.5</v>
      </c>
      <c r="J10">
        <f>T10*10</f>
        <v>635.79999999999995</v>
      </c>
      <c r="L10" t="s">
        <v>14</v>
      </c>
      <c r="M10">
        <v>53.9</v>
      </c>
      <c r="N10">
        <v>54.16</v>
      </c>
      <c r="O10">
        <v>55.52</v>
      </c>
      <c r="P10">
        <v>56.93</v>
      </c>
      <c r="Q10">
        <v>56.97</v>
      </c>
      <c r="R10">
        <v>59.57</v>
      </c>
      <c r="S10">
        <v>61.45</v>
      </c>
      <c r="T10">
        <v>63.58</v>
      </c>
    </row>
    <row r="11" spans="1:20" x14ac:dyDescent="0.3">
      <c r="A11" t="s">
        <v>15</v>
      </c>
      <c r="B11" t="s">
        <v>16</v>
      </c>
      <c r="C11">
        <f>M11</f>
        <v>70.25</v>
      </c>
      <c r="D11">
        <f>N11</f>
        <v>70.25</v>
      </c>
      <c r="E11">
        <f>O11</f>
        <v>70.5</v>
      </c>
      <c r="F11">
        <f>P11</f>
        <v>71.25</v>
      </c>
      <c r="G11">
        <f>Q11</f>
        <v>71</v>
      </c>
      <c r="H11">
        <f>R11</f>
        <v>71.25</v>
      </c>
      <c r="I11">
        <f>S11</f>
        <v>71.75</v>
      </c>
      <c r="J11">
        <f>T11</f>
        <v>71.75</v>
      </c>
      <c r="L11" t="s">
        <v>16</v>
      </c>
      <c r="M11">
        <v>70.25</v>
      </c>
      <c r="N11">
        <v>70.25</v>
      </c>
      <c r="O11">
        <v>70.5</v>
      </c>
      <c r="P11">
        <v>71.25</v>
      </c>
      <c r="Q11">
        <v>71</v>
      </c>
      <c r="R11">
        <v>71.25</v>
      </c>
      <c r="S11">
        <v>71.75</v>
      </c>
      <c r="T11">
        <v>71.75</v>
      </c>
    </row>
    <row r="12" spans="1:20" x14ac:dyDescent="0.3">
      <c r="A12" t="s">
        <v>17</v>
      </c>
      <c r="B12" t="s">
        <v>18</v>
      </c>
      <c r="C12">
        <f>M12</f>
        <v>72.75</v>
      </c>
      <c r="D12">
        <f>N12</f>
        <v>73.5</v>
      </c>
      <c r="E12">
        <f>O12</f>
        <v>73</v>
      </c>
      <c r="F12">
        <f>P12</f>
        <v>72.5</v>
      </c>
      <c r="G12">
        <f>Q12</f>
        <v>73.25</v>
      </c>
      <c r="H12">
        <f>R12</f>
        <v>72</v>
      </c>
      <c r="I12">
        <f>S12</f>
        <v>71.5</v>
      </c>
      <c r="J12">
        <f>T12</f>
        <v>71</v>
      </c>
      <c r="L12" t="s">
        <v>18</v>
      </c>
      <c r="M12">
        <v>72.75</v>
      </c>
      <c r="N12">
        <v>73.5</v>
      </c>
      <c r="O12">
        <v>73</v>
      </c>
      <c r="P12">
        <v>72.5</v>
      </c>
      <c r="Q12">
        <v>73.25</v>
      </c>
      <c r="R12">
        <v>72</v>
      </c>
      <c r="S12">
        <v>71.5</v>
      </c>
      <c r="T12">
        <v>71</v>
      </c>
    </row>
    <row r="13" spans="1:20" x14ac:dyDescent="0.3">
      <c r="A13" t="s">
        <v>19</v>
      </c>
      <c r="B13" t="s">
        <v>125</v>
      </c>
      <c r="C13">
        <f>M13</f>
        <v>76.17</v>
      </c>
      <c r="D13">
        <f>N13</f>
        <v>76.87</v>
      </c>
      <c r="E13">
        <f>O13</f>
        <v>76.25</v>
      </c>
      <c r="F13">
        <f>P13</f>
        <v>75.78</v>
      </c>
      <c r="G13">
        <f>Q13</f>
        <v>76.48</v>
      </c>
      <c r="H13">
        <f>R13</f>
        <v>75.19</v>
      </c>
      <c r="I13">
        <f>S13</f>
        <v>74.59</v>
      </c>
      <c r="J13">
        <f>T13</f>
        <v>74.12</v>
      </c>
      <c r="L13" t="s">
        <v>125</v>
      </c>
      <c r="M13">
        <v>76.17</v>
      </c>
      <c r="N13">
        <v>76.87</v>
      </c>
      <c r="O13">
        <v>76.25</v>
      </c>
      <c r="P13">
        <v>75.78</v>
      </c>
      <c r="Q13">
        <v>76.48</v>
      </c>
      <c r="R13">
        <v>75.19</v>
      </c>
      <c r="S13">
        <v>74.59</v>
      </c>
      <c r="T13">
        <v>74.12</v>
      </c>
    </row>
    <row r="14" spans="1:20" x14ac:dyDescent="0.3">
      <c r="A14" t="s">
        <v>20</v>
      </c>
      <c r="B14" t="s">
        <v>21</v>
      </c>
      <c r="C14">
        <f>M14*10</f>
        <v>755</v>
      </c>
      <c r="D14">
        <f>N14*10</f>
        <v>770.40000000000009</v>
      </c>
      <c r="E14">
        <f>O14*10</f>
        <v>796.5</v>
      </c>
      <c r="F14">
        <f>P14*10</f>
        <v>813.6</v>
      </c>
      <c r="G14">
        <f>Q14*10</f>
        <v>827.4</v>
      </c>
      <c r="H14">
        <f>R14*10</f>
        <v>844.30000000000007</v>
      </c>
      <c r="I14">
        <f>S14*10</f>
        <v>861.5</v>
      </c>
      <c r="J14">
        <f>T14*10</f>
        <v>877.5</v>
      </c>
      <c r="L14" t="s">
        <v>21</v>
      </c>
      <c r="M14">
        <v>75.5</v>
      </c>
      <c r="N14">
        <v>77.040000000000006</v>
      </c>
      <c r="O14">
        <v>79.650000000000006</v>
      </c>
      <c r="P14">
        <v>81.36</v>
      </c>
      <c r="Q14">
        <v>82.74</v>
      </c>
      <c r="R14">
        <v>84.43</v>
      </c>
      <c r="S14">
        <v>86.15</v>
      </c>
      <c r="T14">
        <v>87.75</v>
      </c>
    </row>
    <row r="15" spans="1:20" x14ac:dyDescent="0.3">
      <c r="A15" t="s">
        <v>22</v>
      </c>
      <c r="B15" t="s">
        <v>23</v>
      </c>
      <c r="C15">
        <f>M15*10</f>
        <v>105</v>
      </c>
      <c r="D15">
        <f>N15*10</f>
        <v>115</v>
      </c>
      <c r="E15">
        <f>O15*10</f>
        <v>135</v>
      </c>
      <c r="F15">
        <f>P15*10</f>
        <v>150</v>
      </c>
      <c r="G15">
        <f>Q15*10</f>
        <v>165</v>
      </c>
      <c r="H15">
        <f>R15*10</f>
        <v>180</v>
      </c>
      <c r="I15">
        <f>S15*10</f>
        <v>195</v>
      </c>
      <c r="J15">
        <f>T15*10</f>
        <v>215</v>
      </c>
      <c r="L15" t="s">
        <v>23</v>
      </c>
      <c r="M15">
        <v>10.5</v>
      </c>
      <c r="N15">
        <v>11.5</v>
      </c>
      <c r="O15">
        <v>13.5</v>
      </c>
      <c r="P15">
        <v>15</v>
      </c>
      <c r="Q15">
        <v>16.5</v>
      </c>
      <c r="R15">
        <v>18</v>
      </c>
      <c r="S15">
        <v>19.5</v>
      </c>
      <c r="T15">
        <v>21.5</v>
      </c>
    </row>
    <row r="16" spans="1:20" x14ac:dyDescent="0.3">
      <c r="A16" t="s">
        <v>24</v>
      </c>
      <c r="B16" t="s">
        <v>25</v>
      </c>
      <c r="C16">
        <f>M16*10</f>
        <v>1036</v>
      </c>
      <c r="D16">
        <f>N16*10</f>
        <v>1046.8000000000002</v>
      </c>
      <c r="E16">
        <f>O16*10</f>
        <v>1054.0999999999999</v>
      </c>
      <c r="F16">
        <f>P16*10</f>
        <v>1059.2</v>
      </c>
      <c r="G16">
        <f>Q16*10</f>
        <v>1070.6999999999998</v>
      </c>
      <c r="H16">
        <f>R16*10</f>
        <v>1081.7</v>
      </c>
      <c r="I16">
        <f>S16*10</f>
        <v>1091.7</v>
      </c>
      <c r="J16">
        <f>T16*10</f>
        <v>1107</v>
      </c>
      <c r="L16" t="s">
        <v>25</v>
      </c>
      <c r="M16">
        <v>103.6</v>
      </c>
      <c r="N16">
        <v>104.68</v>
      </c>
      <c r="O16">
        <v>105.41</v>
      </c>
      <c r="P16">
        <v>105.92</v>
      </c>
      <c r="Q16">
        <v>107.07</v>
      </c>
      <c r="R16">
        <v>108.17</v>
      </c>
      <c r="S16">
        <v>109.17</v>
      </c>
      <c r="T16">
        <v>110.7</v>
      </c>
    </row>
    <row r="17" spans="1:20" x14ac:dyDescent="0.3">
      <c r="A17" t="s">
        <v>26</v>
      </c>
      <c r="B17" t="s">
        <v>27</v>
      </c>
      <c r="C17">
        <f>M17*10</f>
        <v>622.70000000000005</v>
      </c>
      <c r="D17">
        <f>N17*10</f>
        <v>633.20000000000005</v>
      </c>
      <c r="E17">
        <f>O17*10</f>
        <v>400.5</v>
      </c>
      <c r="F17">
        <f>P17*10</f>
        <v>643.1</v>
      </c>
      <c r="G17">
        <f>Q17*10</f>
        <v>654.4</v>
      </c>
      <c r="H17">
        <f>R17*10</f>
        <v>665</v>
      </c>
      <c r="I17">
        <f>S17*10</f>
        <v>673</v>
      </c>
      <c r="J17">
        <f>T17*10</f>
        <v>688</v>
      </c>
      <c r="L17" t="s">
        <v>27</v>
      </c>
      <c r="M17">
        <v>62.27</v>
      </c>
      <c r="N17">
        <v>63.32</v>
      </c>
      <c r="O17">
        <v>40.049999999999997</v>
      </c>
      <c r="P17">
        <v>64.31</v>
      </c>
      <c r="Q17">
        <v>65.44</v>
      </c>
      <c r="R17">
        <v>66.5</v>
      </c>
      <c r="S17">
        <v>67.3</v>
      </c>
      <c r="T17">
        <v>68.8</v>
      </c>
    </row>
    <row r="18" spans="1:20" x14ac:dyDescent="0.3">
      <c r="A18" t="s">
        <v>28</v>
      </c>
      <c r="B18" t="s">
        <v>29</v>
      </c>
      <c r="C18">
        <f>M18*10</f>
        <v>423</v>
      </c>
      <c r="D18">
        <f>N18*10</f>
        <v>423</v>
      </c>
      <c r="E18">
        <f>O18*10</f>
        <v>423</v>
      </c>
      <c r="F18">
        <f>P18*10</f>
        <v>425</v>
      </c>
      <c r="G18">
        <f>Q18*10</f>
        <v>425</v>
      </c>
      <c r="H18">
        <f>R18*10</f>
        <v>425</v>
      </c>
      <c r="I18">
        <f>S18*10</f>
        <v>427</v>
      </c>
      <c r="J18">
        <f>T18*10</f>
        <v>427</v>
      </c>
      <c r="L18" t="s">
        <v>29</v>
      </c>
      <c r="M18">
        <v>42.3</v>
      </c>
      <c r="N18">
        <v>42.3</v>
      </c>
      <c r="O18">
        <v>42.3</v>
      </c>
      <c r="P18">
        <v>42.5</v>
      </c>
      <c r="Q18">
        <v>42.5</v>
      </c>
      <c r="R18">
        <v>42.5</v>
      </c>
      <c r="S18">
        <v>42.7</v>
      </c>
      <c r="T18">
        <v>42.7</v>
      </c>
    </row>
    <row r="19" spans="1:20" x14ac:dyDescent="0.3">
      <c r="A19" t="s">
        <v>30</v>
      </c>
      <c r="B19" t="s">
        <v>31</v>
      </c>
      <c r="C19">
        <f>M19</f>
        <v>70</v>
      </c>
      <c r="D19">
        <f>N19</f>
        <v>69</v>
      </c>
      <c r="E19">
        <f>O19</f>
        <v>69</v>
      </c>
      <c r="F19">
        <f>P19</f>
        <v>67</v>
      </c>
      <c r="G19">
        <f>Q19</f>
        <v>67</v>
      </c>
      <c r="H19">
        <f>R19</f>
        <v>65</v>
      </c>
      <c r="I19">
        <f>S19</f>
        <v>65</v>
      </c>
      <c r="J19">
        <f>T19</f>
        <v>65</v>
      </c>
      <c r="L19" t="s">
        <v>31</v>
      </c>
      <c r="M19">
        <v>70</v>
      </c>
      <c r="N19">
        <v>69</v>
      </c>
      <c r="O19">
        <v>69</v>
      </c>
      <c r="P19">
        <v>67</v>
      </c>
      <c r="Q19">
        <v>67</v>
      </c>
      <c r="R19">
        <v>65</v>
      </c>
      <c r="S19">
        <v>65</v>
      </c>
      <c r="T19">
        <v>65</v>
      </c>
    </row>
    <row r="20" spans="1:20" x14ac:dyDescent="0.3">
      <c r="A20" t="s">
        <v>32</v>
      </c>
      <c r="B20" t="s">
        <v>33</v>
      </c>
      <c r="C20">
        <f>M20</f>
        <v>69.569999999999993</v>
      </c>
      <c r="D20">
        <f>N20</f>
        <v>69.569999999999993</v>
      </c>
      <c r="E20">
        <f>O20</f>
        <v>70.38</v>
      </c>
      <c r="F20">
        <f>P20</f>
        <v>65.290000000000006</v>
      </c>
      <c r="G20">
        <f>Q20</f>
        <v>66.98</v>
      </c>
      <c r="H20">
        <f>R20</f>
        <v>65.290000000000006</v>
      </c>
      <c r="I20">
        <f>S20</f>
        <v>61.92</v>
      </c>
      <c r="J20">
        <f>T20</f>
        <v>61.92</v>
      </c>
      <c r="L20" t="s">
        <v>33</v>
      </c>
      <c r="M20">
        <v>69.569999999999993</v>
      </c>
      <c r="N20">
        <v>69.569999999999993</v>
      </c>
      <c r="O20">
        <v>70.38</v>
      </c>
      <c r="P20">
        <v>65.290000000000006</v>
      </c>
      <c r="Q20">
        <v>66.98</v>
      </c>
      <c r="R20">
        <v>65.290000000000006</v>
      </c>
      <c r="S20">
        <v>61.92</v>
      </c>
      <c r="T20">
        <v>61.92</v>
      </c>
    </row>
    <row r="21" spans="1:20" x14ac:dyDescent="0.3">
      <c r="A21" t="s">
        <v>34</v>
      </c>
      <c r="B21" t="s">
        <v>35</v>
      </c>
      <c r="C21">
        <f>M21*10</f>
        <v>541.79999999999995</v>
      </c>
      <c r="D21">
        <f>N21*10</f>
        <v>550.20000000000005</v>
      </c>
      <c r="E21">
        <f>O21*10</f>
        <v>570</v>
      </c>
      <c r="F21">
        <f>P21*10</f>
        <v>585.29999999999995</v>
      </c>
      <c r="G21">
        <f>Q21*10</f>
        <v>598.5</v>
      </c>
      <c r="H21">
        <f>R21*10</f>
        <v>611.70000000000005</v>
      </c>
      <c r="I21">
        <f>S21*10</f>
        <v>628.1</v>
      </c>
      <c r="J21">
        <f>T21*10</f>
        <v>647.09999999999991</v>
      </c>
      <c r="L21" t="s">
        <v>35</v>
      </c>
      <c r="M21">
        <v>54.18</v>
      </c>
      <c r="N21">
        <v>55.02</v>
      </c>
      <c r="O21">
        <v>57</v>
      </c>
      <c r="P21">
        <v>58.53</v>
      </c>
      <c r="Q21">
        <v>59.85</v>
      </c>
      <c r="R21">
        <v>61.17</v>
      </c>
      <c r="S21">
        <v>62.81</v>
      </c>
      <c r="T21">
        <v>64.709999999999994</v>
      </c>
    </row>
    <row r="22" spans="1:20" x14ac:dyDescent="0.3">
      <c r="A22" t="s">
        <v>36</v>
      </c>
      <c r="B22" t="s">
        <v>37</v>
      </c>
      <c r="C22">
        <f>M22*10</f>
        <v>390.4</v>
      </c>
      <c r="D22">
        <f>N22*10</f>
        <v>398</v>
      </c>
      <c r="E22">
        <f>O22*10</f>
        <v>400.5</v>
      </c>
      <c r="F22">
        <f>P22*10</f>
        <v>405</v>
      </c>
      <c r="G22">
        <f>Q22*10</f>
        <v>409.3</v>
      </c>
      <c r="H22">
        <f>R22*10</f>
        <v>417.5</v>
      </c>
      <c r="I22">
        <f>S22*10</f>
        <v>425.5</v>
      </c>
      <c r="J22">
        <f>T22*10</f>
        <v>434.6</v>
      </c>
      <c r="L22" t="s">
        <v>37</v>
      </c>
      <c r="M22">
        <v>39.04</v>
      </c>
      <c r="N22">
        <v>39.799999999999997</v>
      </c>
      <c r="O22">
        <v>40.049999999999997</v>
      </c>
      <c r="P22">
        <v>40.5</v>
      </c>
      <c r="Q22">
        <v>40.93</v>
      </c>
      <c r="R22">
        <v>41.75</v>
      </c>
      <c r="S22">
        <v>42.55</v>
      </c>
      <c r="T22">
        <v>43.46</v>
      </c>
    </row>
    <row r="23" spans="1:20" x14ac:dyDescent="0.3">
      <c r="A23" t="s">
        <v>38</v>
      </c>
      <c r="B23" t="s">
        <v>39</v>
      </c>
      <c r="C23">
        <f>M23*10</f>
        <v>406</v>
      </c>
      <c r="D23">
        <f>N23*10</f>
        <v>406</v>
      </c>
      <c r="E23">
        <f>O23*10</f>
        <v>406</v>
      </c>
      <c r="F23">
        <f>P23*10</f>
        <v>406</v>
      </c>
      <c r="G23">
        <f>Q23*10</f>
        <v>406</v>
      </c>
      <c r="H23">
        <f>R23*10</f>
        <v>406</v>
      </c>
      <c r="I23">
        <f>S23*10</f>
        <v>406</v>
      </c>
      <c r="J23">
        <f>T23*10</f>
        <v>406</v>
      </c>
      <c r="L23" t="s">
        <v>39</v>
      </c>
      <c r="M23">
        <v>40.6</v>
      </c>
      <c r="N23">
        <v>40.6</v>
      </c>
      <c r="O23">
        <v>40.6</v>
      </c>
      <c r="P23">
        <v>40.6</v>
      </c>
      <c r="Q23">
        <v>40.6</v>
      </c>
      <c r="R23">
        <v>40.6</v>
      </c>
      <c r="S23">
        <v>40.6</v>
      </c>
      <c r="T23">
        <v>40.6</v>
      </c>
    </row>
    <row r="24" spans="1:20" x14ac:dyDescent="0.3">
      <c r="A24" t="s">
        <v>40</v>
      </c>
      <c r="B24" t="s">
        <v>41</v>
      </c>
      <c r="C24">
        <f>M24</f>
        <v>55.5</v>
      </c>
      <c r="D24">
        <f>N24</f>
        <v>55.5</v>
      </c>
      <c r="E24">
        <f>O24</f>
        <v>55.5</v>
      </c>
      <c r="F24">
        <f>P24</f>
        <v>55.5</v>
      </c>
      <c r="G24">
        <f>Q24</f>
        <v>55.5</v>
      </c>
      <c r="H24">
        <f>R24</f>
        <v>55.5</v>
      </c>
      <c r="I24">
        <f>S24</f>
        <v>55.5</v>
      </c>
      <c r="J24">
        <f>T24</f>
        <v>55.5</v>
      </c>
      <c r="L24" t="s">
        <v>41</v>
      </c>
      <c r="M24">
        <v>55.5</v>
      </c>
      <c r="N24">
        <v>55.5</v>
      </c>
      <c r="O24">
        <v>55.5</v>
      </c>
      <c r="P24">
        <v>55.5</v>
      </c>
      <c r="Q24">
        <v>55.5</v>
      </c>
      <c r="R24">
        <v>55.5</v>
      </c>
      <c r="S24">
        <v>55.5</v>
      </c>
      <c r="T24">
        <v>55.5</v>
      </c>
    </row>
    <row r="25" spans="1:20" x14ac:dyDescent="0.3">
      <c r="A25" t="s">
        <v>42</v>
      </c>
    </row>
    <row r="26" spans="1:20" x14ac:dyDescent="0.3">
      <c r="A26" t="s">
        <v>43</v>
      </c>
    </row>
    <row r="27" spans="1:20" x14ac:dyDescent="0.3">
      <c r="A27" t="s">
        <v>44</v>
      </c>
    </row>
    <row r="28" spans="1:20" x14ac:dyDescent="0.3">
      <c r="A28" t="s">
        <v>45</v>
      </c>
    </row>
    <row r="29" spans="1:20" x14ac:dyDescent="0.3">
      <c r="A29" t="s">
        <v>46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  <c r="J29">
        <v>700</v>
      </c>
    </row>
    <row r="30" spans="1:20" x14ac:dyDescent="0.3">
      <c r="A30" t="s">
        <v>47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  <c r="I30">
        <v>40</v>
      </c>
      <c r="J30">
        <v>40</v>
      </c>
    </row>
    <row r="31" spans="1:20" x14ac:dyDescent="0.3">
      <c r="A31" t="s">
        <v>48</v>
      </c>
      <c r="C31">
        <v>57</v>
      </c>
      <c r="D31">
        <v>57</v>
      </c>
      <c r="E31">
        <v>57</v>
      </c>
      <c r="F31">
        <v>57</v>
      </c>
      <c r="G31">
        <v>57</v>
      </c>
      <c r="H31">
        <v>57</v>
      </c>
      <c r="I31">
        <v>57</v>
      </c>
      <c r="J31">
        <v>57</v>
      </c>
    </row>
    <row r="32" spans="1:20" x14ac:dyDescent="0.3">
      <c r="A32" t="s">
        <v>49</v>
      </c>
    </row>
    <row r="33" spans="1:2" x14ac:dyDescent="0.3">
      <c r="A33" t="s">
        <v>50</v>
      </c>
    </row>
    <row r="35" spans="1:2" x14ac:dyDescent="0.3">
      <c r="A35" t="s">
        <v>51</v>
      </c>
      <c r="B35" t="s">
        <v>52</v>
      </c>
    </row>
    <row r="36" spans="1:2" x14ac:dyDescent="0.3">
      <c r="A36" t="s">
        <v>102</v>
      </c>
      <c r="B36" t="s">
        <v>103</v>
      </c>
    </row>
    <row r="37" spans="1:2" x14ac:dyDescent="0.3">
      <c r="A37" t="s">
        <v>104</v>
      </c>
      <c r="B37" t="s">
        <v>105</v>
      </c>
    </row>
    <row r="38" spans="1:2" x14ac:dyDescent="0.3">
      <c r="A38" t="s">
        <v>106</v>
      </c>
      <c r="B38" s="1" t="s">
        <v>128</v>
      </c>
    </row>
    <row r="39" spans="1:2" x14ac:dyDescent="0.3">
      <c r="A39" t="s">
        <v>53</v>
      </c>
      <c r="B39" t="s">
        <v>54</v>
      </c>
    </row>
    <row r="40" spans="1:2" x14ac:dyDescent="0.3">
      <c r="A40" t="s">
        <v>55</v>
      </c>
      <c r="B40" t="s">
        <v>56</v>
      </c>
    </row>
    <row r="41" spans="1:2" x14ac:dyDescent="0.3">
      <c r="A41" t="s">
        <v>57</v>
      </c>
      <c r="B41" t="s">
        <v>58</v>
      </c>
    </row>
    <row r="42" spans="1:2" x14ac:dyDescent="0.3">
      <c r="A42" t="s">
        <v>59</v>
      </c>
      <c r="B42" t="s">
        <v>60</v>
      </c>
    </row>
    <row r="43" spans="1:2" x14ac:dyDescent="0.3">
      <c r="A43" t="s">
        <v>61</v>
      </c>
    </row>
    <row r="44" spans="1:2" x14ac:dyDescent="0.3">
      <c r="A44" t="s">
        <v>62</v>
      </c>
      <c r="B44" t="s">
        <v>63</v>
      </c>
    </row>
    <row r="45" spans="1:2" x14ac:dyDescent="0.3">
      <c r="A45" t="s">
        <v>64</v>
      </c>
      <c r="B45">
        <v>40</v>
      </c>
    </row>
    <row r="46" spans="1:2" x14ac:dyDescent="0.3">
      <c r="A46" t="s">
        <v>65</v>
      </c>
    </row>
    <row r="47" spans="1:2" x14ac:dyDescent="0.3">
      <c r="A47" t="s">
        <v>67</v>
      </c>
    </row>
    <row r="48" spans="1:2" x14ac:dyDescent="0.3">
      <c r="A48" t="s">
        <v>68</v>
      </c>
      <c r="B48" t="s">
        <v>69</v>
      </c>
    </row>
    <row r="49" spans="1:2" x14ac:dyDescent="0.3">
      <c r="A49" t="s">
        <v>70</v>
      </c>
      <c r="B49" t="s">
        <v>71</v>
      </c>
    </row>
    <row r="50" spans="1:2" x14ac:dyDescent="0.3">
      <c r="A50" t="s">
        <v>110</v>
      </c>
      <c r="B50">
        <v>44</v>
      </c>
    </row>
    <row r="51" spans="1:2" x14ac:dyDescent="0.3">
      <c r="A51" t="s">
        <v>111</v>
      </c>
    </row>
    <row r="52" spans="1:2" x14ac:dyDescent="0.3">
      <c r="A52" t="s">
        <v>112</v>
      </c>
    </row>
    <row r="53" spans="1:2" x14ac:dyDescent="0.3">
      <c r="A53" t="s">
        <v>113</v>
      </c>
    </row>
    <row r="54" spans="1:2" x14ac:dyDescent="0.3">
      <c r="A54" t="s">
        <v>114</v>
      </c>
    </row>
    <row r="55" spans="1:2" x14ac:dyDescent="0.3">
      <c r="A55" t="s">
        <v>115</v>
      </c>
    </row>
    <row r="56" spans="1:2" x14ac:dyDescent="0.3">
      <c r="A56" t="s">
        <v>72</v>
      </c>
      <c r="B56" t="s">
        <v>73</v>
      </c>
    </row>
    <row r="57" spans="1:2" x14ac:dyDescent="0.3">
      <c r="A57" t="s">
        <v>74</v>
      </c>
    </row>
    <row r="58" spans="1:2" x14ac:dyDescent="0.3">
      <c r="A58" t="s">
        <v>75</v>
      </c>
      <c r="B58" t="s">
        <v>76</v>
      </c>
    </row>
    <row r="59" spans="1:2" x14ac:dyDescent="0.3">
      <c r="A59" t="s">
        <v>77</v>
      </c>
      <c r="B59" t="s">
        <v>56</v>
      </c>
    </row>
    <row r="60" spans="1:2" x14ac:dyDescent="0.3">
      <c r="A60" t="s">
        <v>78</v>
      </c>
      <c r="B60" t="s">
        <v>79</v>
      </c>
    </row>
    <row r="61" spans="1:2" x14ac:dyDescent="0.3">
      <c r="A61" t="s">
        <v>80</v>
      </c>
      <c r="B61">
        <v>48</v>
      </c>
    </row>
    <row r="62" spans="1:2" x14ac:dyDescent="0.3">
      <c r="A62" t="s">
        <v>81</v>
      </c>
    </row>
    <row r="63" spans="1:2" x14ac:dyDescent="0.3">
      <c r="A63" t="s">
        <v>82</v>
      </c>
    </row>
    <row r="64" spans="1:2" x14ac:dyDescent="0.3">
      <c r="A64" t="s">
        <v>83</v>
      </c>
    </row>
    <row r="65" spans="1:2" x14ac:dyDescent="0.3">
      <c r="A65" t="s">
        <v>84</v>
      </c>
      <c r="B65" t="s">
        <v>85</v>
      </c>
    </row>
    <row r="66" spans="1:2" x14ac:dyDescent="0.3">
      <c r="A66" t="s">
        <v>86</v>
      </c>
      <c r="B66" t="s">
        <v>85</v>
      </c>
    </row>
    <row r="67" spans="1:2" x14ac:dyDescent="0.3">
      <c r="A67" t="s">
        <v>87</v>
      </c>
    </row>
    <row r="68" spans="1:2" x14ac:dyDescent="0.3">
      <c r="A68" t="s">
        <v>88</v>
      </c>
      <c r="B68" t="s">
        <v>66</v>
      </c>
    </row>
    <row r="69" spans="1:2" x14ac:dyDescent="0.3">
      <c r="A69" t="s">
        <v>89</v>
      </c>
      <c r="B69" t="s">
        <v>90</v>
      </c>
    </row>
    <row r="70" spans="1:2" x14ac:dyDescent="0.3">
      <c r="A70" t="s">
        <v>91</v>
      </c>
      <c r="B70" t="s">
        <v>92</v>
      </c>
    </row>
    <row r="71" spans="1:2" x14ac:dyDescent="0.3">
      <c r="A71" t="s">
        <v>93</v>
      </c>
      <c r="B71" t="s">
        <v>92</v>
      </c>
    </row>
    <row r="72" spans="1:2" x14ac:dyDescent="0.3">
      <c r="A72" t="s">
        <v>94</v>
      </c>
    </row>
    <row r="73" spans="1:2" x14ac:dyDescent="0.3">
      <c r="A73" t="s">
        <v>95</v>
      </c>
      <c r="B73" s="1" t="s">
        <v>56</v>
      </c>
    </row>
    <row r="74" spans="1:2" x14ac:dyDescent="0.3">
      <c r="A74" t="s">
        <v>96</v>
      </c>
    </row>
    <row r="75" spans="1:2" x14ac:dyDescent="0.3">
      <c r="A75" t="s">
        <v>97</v>
      </c>
    </row>
    <row r="76" spans="1:2" x14ac:dyDescent="0.3">
      <c r="A76" t="s">
        <v>98</v>
      </c>
      <c r="B76">
        <v>6000</v>
      </c>
    </row>
    <row r="77" spans="1:2" x14ac:dyDescent="0.3">
      <c r="A77" t="s">
        <v>99</v>
      </c>
    </row>
    <row r="78" spans="1:2" x14ac:dyDescent="0.3">
      <c r="A78" t="s">
        <v>100</v>
      </c>
    </row>
    <row r="79" spans="1:2" x14ac:dyDescent="0.3">
      <c r="A79" t="s">
        <v>101</v>
      </c>
      <c r="B79" s="1" t="s">
        <v>109</v>
      </c>
    </row>
    <row r="80" spans="1:2" x14ac:dyDescent="0.3">
      <c r="A80" t="s">
        <v>107</v>
      </c>
      <c r="B80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2025-11-18T11:52:07Z</dcterms:modified>
</cp:coreProperties>
</file>