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8FB45FCE-8551-E240-9A32-491BC9B4E7A1}" xr6:coauthVersionLast="47" xr6:coauthVersionMax="47" xr10:uidLastSave="{00000000-0000-0000-0000-000000000000}"/>
  <bookViews>
    <workbookView xWindow="11160" yWindow="64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" i="1" l="1"/>
  <c r="E13" i="1"/>
  <c r="F13" i="1"/>
  <c r="G13" i="1"/>
  <c r="H13" i="1"/>
  <c r="I13" i="1"/>
  <c r="J13" i="1"/>
  <c r="C13" i="1"/>
  <c r="D9" i="1"/>
  <c r="E9" i="1"/>
  <c r="F9" i="1"/>
  <c r="G9" i="1"/>
  <c r="H9" i="1"/>
  <c r="I9" i="1"/>
  <c r="J9" i="1"/>
  <c r="D10" i="1"/>
  <c r="E10" i="1"/>
  <c r="F10" i="1"/>
  <c r="G10" i="1"/>
  <c r="H10" i="1"/>
  <c r="I10" i="1"/>
  <c r="J10" i="1"/>
  <c r="D11" i="1"/>
  <c r="E11" i="1"/>
  <c r="F11" i="1"/>
  <c r="G11" i="1"/>
  <c r="H11" i="1"/>
  <c r="I11" i="1"/>
  <c r="J11" i="1"/>
  <c r="D12" i="1"/>
  <c r="E12" i="1"/>
  <c r="F12" i="1"/>
  <c r="G12" i="1"/>
  <c r="H12" i="1"/>
  <c r="I12" i="1"/>
  <c r="J12" i="1"/>
  <c r="D14" i="1"/>
  <c r="E14" i="1"/>
  <c r="F14" i="1"/>
  <c r="G14" i="1"/>
  <c r="H14" i="1"/>
  <c r="I14" i="1"/>
  <c r="J14" i="1"/>
  <c r="D15" i="1"/>
  <c r="E15" i="1"/>
  <c r="F15" i="1"/>
  <c r="G15" i="1"/>
  <c r="H15" i="1"/>
  <c r="I15" i="1"/>
  <c r="J15" i="1"/>
  <c r="D16" i="1"/>
  <c r="E16" i="1"/>
  <c r="F16" i="1"/>
  <c r="G16" i="1"/>
  <c r="H16" i="1"/>
  <c r="I16" i="1"/>
  <c r="J16" i="1"/>
  <c r="D17" i="1"/>
  <c r="E17" i="1"/>
  <c r="F17" i="1"/>
  <c r="G17" i="1"/>
  <c r="H17" i="1"/>
  <c r="I17" i="1"/>
  <c r="J17" i="1"/>
  <c r="D18" i="1"/>
  <c r="E18" i="1"/>
  <c r="F18" i="1"/>
  <c r="G18" i="1"/>
  <c r="H18" i="1"/>
  <c r="I18" i="1"/>
  <c r="J18" i="1"/>
  <c r="D19" i="1"/>
  <c r="E19" i="1"/>
  <c r="F19" i="1"/>
  <c r="G19" i="1"/>
  <c r="H19" i="1"/>
  <c r="I19" i="1"/>
  <c r="J19" i="1"/>
  <c r="D20" i="1"/>
  <c r="E20" i="1"/>
  <c r="F20" i="1"/>
  <c r="G20" i="1"/>
  <c r="H20" i="1"/>
  <c r="I20" i="1"/>
  <c r="J20" i="1"/>
  <c r="D21" i="1"/>
  <c r="E21" i="1"/>
  <c r="F21" i="1"/>
  <c r="G21" i="1"/>
  <c r="H21" i="1"/>
  <c r="I21" i="1"/>
  <c r="J21" i="1"/>
  <c r="D22" i="1"/>
  <c r="E22" i="1"/>
  <c r="F22" i="1"/>
  <c r="G22" i="1"/>
  <c r="H22" i="1"/>
  <c r="I22" i="1"/>
  <c r="J22" i="1"/>
  <c r="D23" i="1"/>
  <c r="E23" i="1"/>
  <c r="F23" i="1"/>
  <c r="G23" i="1"/>
  <c r="H23" i="1"/>
  <c r="I23" i="1"/>
  <c r="J23" i="1"/>
  <c r="D24" i="1"/>
  <c r="E24" i="1"/>
  <c r="F24" i="1"/>
  <c r="G24" i="1"/>
  <c r="H24" i="1"/>
  <c r="I24" i="1"/>
  <c r="J24" i="1"/>
  <c r="C24" i="1"/>
  <c r="C20" i="1"/>
  <c r="C19" i="1"/>
  <c r="C12" i="1"/>
  <c r="C11" i="1"/>
  <c r="C10" i="1"/>
  <c r="C14" i="1"/>
  <c r="C15" i="1"/>
  <c r="C16" i="1"/>
  <c r="C17" i="1"/>
  <c r="C18" i="1"/>
  <c r="C21" i="1"/>
  <c r="C22" i="1"/>
  <c r="C23" i="1"/>
  <c r="C9" i="1"/>
</calcChain>
</file>

<file path=xl/sharedStrings.xml><?xml version="1.0" encoding="utf-8"?>
<sst xmlns="http://schemas.openxmlformats.org/spreadsheetml/2006/main" count="158" uniqueCount="129">
  <si>
    <t>brand</t>
  </si>
  <si>
    <t>Sage</t>
  </si>
  <si>
    <t>model</t>
  </si>
  <si>
    <t>model year</t>
  </si>
  <si>
    <t>2025</t>
  </si>
  <si>
    <t>input date</t>
  </si>
  <si>
    <t>URL</t>
  </si>
  <si>
    <t>11-Jul-2025</t>
  </si>
  <si>
    <t>data_range</t>
  </si>
  <si>
    <t>a8:j33</t>
  </si>
  <si>
    <t>frame_size</t>
  </si>
  <si>
    <t>seat_tube_length</t>
  </si>
  <si>
    <t>[A] Seat Tube - Center to Top</t>
  </si>
  <si>
    <t>top_tube_effective_length</t>
  </si>
  <si>
    <t>[B] Top Tube Effective</t>
  </si>
  <si>
    <t>head_tube_angle</t>
  </si>
  <si>
    <t>[C] Head Tube Angle</t>
  </si>
  <si>
    <t>seat_tube_angle_actual</t>
  </si>
  <si>
    <t>[D] Seat Tube Angle</t>
  </si>
  <si>
    <t>seat_tube_angle</t>
  </si>
  <si>
    <t>standover</t>
  </si>
  <si>
    <t>[E] Stand Over</t>
  </si>
  <si>
    <t>head_tube_length</t>
  </si>
  <si>
    <t>[F] Head Tube Length</t>
  </si>
  <si>
    <t>wheelbase</t>
  </si>
  <si>
    <t>[G] Wheelbase</t>
  </si>
  <si>
    <t>front_center</t>
  </si>
  <si>
    <t>[H] Front Center</t>
  </si>
  <si>
    <t>chainstay_length</t>
  </si>
  <si>
    <t>[I] Chainstay Length</t>
  </si>
  <si>
    <t>bottom_bracket_drop</t>
  </si>
  <si>
    <t>[J] Bottom Bracket Drop</t>
  </si>
  <si>
    <t>trail</t>
  </si>
  <si>
    <t>[K] Trail</t>
  </si>
  <si>
    <t>stack</t>
  </si>
  <si>
    <t>[M] Stack</t>
  </si>
  <si>
    <t>reach</t>
  </si>
  <si>
    <t>[N] Reach</t>
  </si>
  <si>
    <t>axle_crown</t>
  </si>
  <si>
    <t>[O] Axle to Crown- Fork</t>
  </si>
  <si>
    <t>fork_offset_rake</t>
  </si>
  <si>
    <t>[P] Offset- Fork</t>
  </si>
  <si>
    <t>frame_weight</t>
  </si>
  <si>
    <t>handlebar_width</t>
  </si>
  <si>
    <t>stem_length</t>
  </si>
  <si>
    <t>crank_length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</si>
  <si>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</si>
  <si>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</si>
  <si>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</si>
  <si>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</si>
  <si>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</si>
  <si>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</si>
  <si>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</si>
  <si>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</si>
  <si>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titanium</t>
  </si>
  <si>
    <t>udh</t>
  </si>
  <si>
    <t>yes</t>
  </si>
  <si>
    <t>dropout</t>
  </si>
  <si>
    <t>0</t>
  </si>
  <si>
    <t>tire_width_max_700c</t>
  </si>
  <si>
    <t>57</t>
  </si>
  <si>
    <t>tire_width_max_650b</t>
  </si>
  <si>
    <t>suspension_corrected</t>
  </si>
  <si>
    <t>fork_suspension</t>
  </si>
  <si>
    <t>stem_suspension</t>
  </si>
  <si>
    <t>no</t>
  </si>
  <si>
    <t>rear_suspension</t>
  </si>
  <si>
    <t>rear_axle</t>
  </si>
  <si>
    <t>142</t>
  </si>
  <si>
    <t>front_axle</t>
  </si>
  <si>
    <t>100</t>
  </si>
  <si>
    <t>bottom_bracket</t>
  </si>
  <si>
    <t>threaded</t>
  </si>
  <si>
    <t>q_factor</t>
  </si>
  <si>
    <t>seatpost_diameter</t>
  </si>
  <si>
    <t>31.6</t>
  </si>
  <si>
    <t>front_derailleur</t>
  </si>
  <si>
    <t>max_chainring_1x</t>
  </si>
  <si>
    <t>44</t>
  </si>
  <si>
    <t>max_chainring_2x</t>
  </si>
  <si>
    <t>rotor_max_front</t>
  </si>
  <si>
    <t>rotor_max_rear</t>
  </si>
  <si>
    <t>iso_astm</t>
  </si>
  <si>
    <t>routing_shifter</t>
  </si>
  <si>
    <t>internal</t>
  </si>
  <si>
    <t>routing_dropper</t>
  </si>
  <si>
    <t>routing_dynamo</t>
  </si>
  <si>
    <t>internal_storage</t>
  </si>
  <si>
    <t>mounts_inner</t>
  </si>
  <si>
    <t>2</t>
  </si>
  <si>
    <t>mounts_under</t>
  </si>
  <si>
    <t>1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</si>
  <si>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</si>
  <si>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</si>
  <si>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</si>
  <si>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</si>
  <si>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</si>
  <si>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</si>
  <si>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</si>
  <si>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</si>
  <si>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</si>
  <si>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</si>
  <si>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</si>
  <si>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</si>
  <si>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</si>
  <si>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</si>
  <si>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location</t>
  </si>
  <si>
    <t>Beaverton, Oregon, USA</t>
  </si>
  <si>
    <t>USD</t>
  </si>
  <si>
    <t>head_tube_d</t>
  </si>
  <si>
    <t>headset_upper</t>
  </si>
  <si>
    <t>headset_lower</t>
  </si>
  <si>
    <t>fork_steerer</t>
  </si>
  <si>
    <t>fork_steerer_d</t>
  </si>
  <si>
    <t>fork_material</t>
  </si>
  <si>
    <t>Storm King</t>
  </si>
  <si>
    <t>48CM</t>
  </si>
  <si>
    <t>50CM</t>
  </si>
  <si>
    <t>52CM</t>
  </si>
  <si>
    <t>54CM</t>
  </si>
  <si>
    <t>56CM</t>
  </si>
  <si>
    <t>58CM</t>
  </si>
  <si>
    <t>60CM</t>
  </si>
  <si>
    <t>62CM</t>
  </si>
  <si>
    <t>Effective Seat Tube Angle</t>
  </si>
  <si>
    <t>SIZE</t>
  </si>
  <si>
    <t>https://sagetitanium.com/product/storm-king-monster-gravel-bike/</t>
  </si>
  <si>
    <t>rigid</t>
  </si>
  <si>
    <t>https://sagetitanium.wpenginepowered.com/wp-content/uploads/2025/04/2025-Storm-King-PRO-Website-Edit.jpg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</si>
</sst>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80"/>
  <sheetViews>
    <sheetView tabSelected="1" topLeftCell="A20" workbookViewId="0">
      <selection activeCell="B44" sqref="B44"/>
    </sheetView>
  </sheetViews>
  <sheetFormatPr baseColWidth="10" defaultRowHeight="20" x14ac:dyDescent="0.3"/>
  <cols>
    <col min="1" max="2" width="19.6640625" customWidth="1"/>
  </cols>
  <sheetData>
    <row r="1" spans="1:20" x14ac:dyDescent="0.3">
      <c r="A1" t="s">
        <v>0</v>
      </c>
      <c r="B1" t="s">
        <v>1</v>
      </c>
    </row>
    <row r="2" spans="1:20" x14ac:dyDescent="0.3">
      <c r="A2" t="s">
        <v>2</v>
      </c>
      <c r="B2" s="1" t="s">
        <v>115</v>
      </c>
    </row>
    <row r="3" spans="1:20" x14ac:dyDescent="0.3">
      <c r="A3" t="s">
        <v>3</v>
      </c>
      <c r="B3" t="s">
        <v>4</v>
      </c>
    </row>
    <row r="4" spans="1:20" x14ac:dyDescent="0.3">
      <c r="A4" t="s">
        <v>5</v>
      </c>
      <c r="B4" t="s">
        <v>7</v>
      </c>
    </row>
    <row r="5" spans="1:20" x14ac:dyDescent="0.3">
      <c r="A5" t="s">
        <v>6</v>
      </c>
      <c r="B5" t="s">
        <v>126</v>
      </c>
    </row>
    <row r="6" spans="1:20" x14ac:dyDescent="0.3">
      <c r="B6" t="s">
        <v>128</v>
      </c>
    </row>
    <row r="7" spans="1:20" x14ac:dyDescent="0.3">
      <c r="A7" t="s">
        <v>8</v>
      </c>
      <c r="B7" t="s">
        <v>9</v>
      </c>
    </row>
    <row r="8" spans="1:20" x14ac:dyDescent="0.3">
      <c r="A8" t="s">
        <v>10</v>
      </c>
      <c r="B8" s="1" t="s">
        <v>125</v>
      </c>
      <c r="C8" t="s">
        <v>116</v>
      </c>
      <c r="D8" t="s">
        <v>117</v>
      </c>
      <c r="E8" t="s">
        <v>118</v>
      </c>
      <c r="F8" t="s">
        <v>119</v>
      </c>
      <c r="G8" t="s">
        <v>120</v>
      </c>
      <c r="H8" t="s">
        <v>121</v>
      </c>
      <c r="I8" t="s">
        <v>122</v>
      </c>
      <c r="J8" t="s">
        <v>123</v>
      </c>
      <c r="L8" s="1" t="s">
        <v>125</v>
      </c>
      <c r="M8" t="s">
        <v>116</v>
      </c>
      <c r="N8" t="s">
        <v>117</v>
      </c>
      <c r="O8" t="s">
        <v>118</v>
      </c>
      <c r="P8" t="s">
        <v>119</v>
      </c>
      <c r="Q8" t="s">
        <v>120</v>
      </c>
      <c r="R8" t="s">
        <v>121</v>
      </c>
      <c r="S8" t="s">
        <v>122</v>
      </c>
      <c r="T8" t="s">
        <v>123</v>
      </c>
    </row>
    <row r="9" spans="1:20" x14ac:dyDescent="0.3">
      <c r="A9" t="s">
        <v>11</v>
      </c>
      <c r="B9" t="s">
        <v>12</v>
      </c>
      <c r="C9">
        <f t="shared" ref="C9:J10" si="0">M9*10</f>
        <v>450</v>
      </c>
      <c r="D9">
        <f t="shared" si="0"/>
        <v>470</v>
      </c>
      <c r="E9">
        <f t="shared" si="0"/>
        <v>490</v>
      </c>
      <c r="F9">
        <f t="shared" si="0"/>
        <v>510</v>
      </c>
      <c r="G9">
        <f t="shared" si="0"/>
        <v>520</v>
      </c>
      <c r="H9">
        <f t="shared" si="0"/>
        <v>540</v>
      </c>
      <c r="I9">
        <f t="shared" si="0"/>
        <v>560</v>
      </c>
      <c r="J9">
        <f t="shared" si="0"/>
        <v>575</v>
      </c>
      <c r="L9" t="s">
        <v>12</v>
      </c>
      <c r="M9">
        <v>45</v>
      </c>
      <c r="N9">
        <v>47</v>
      </c>
      <c r="O9">
        <v>49</v>
      </c>
      <c r="P9">
        <v>51</v>
      </c>
      <c r="Q9">
        <v>52</v>
      </c>
      <c r="R9">
        <v>54</v>
      </c>
      <c r="S9">
        <v>56</v>
      </c>
      <c r="T9">
        <v>57.5</v>
      </c>
    </row>
    <row r="10" spans="1:20" x14ac:dyDescent="0.3">
      <c r="A10" t="s">
        <v>13</v>
      </c>
      <c r="B10" t="s">
        <v>14</v>
      </c>
      <c r="C10">
        <f t="shared" si="0"/>
        <v>539</v>
      </c>
      <c r="D10">
        <f t="shared" si="0"/>
        <v>541.59999999999991</v>
      </c>
      <c r="E10">
        <f t="shared" si="0"/>
        <v>555.20000000000005</v>
      </c>
      <c r="F10">
        <f t="shared" si="0"/>
        <v>569.29999999999995</v>
      </c>
      <c r="G10">
        <f t="shared" si="0"/>
        <v>569.70000000000005</v>
      </c>
      <c r="H10">
        <f t="shared" si="0"/>
        <v>595.70000000000005</v>
      </c>
      <c r="I10">
        <f t="shared" si="0"/>
        <v>614.5</v>
      </c>
      <c r="J10">
        <f t="shared" si="0"/>
        <v>635.79999999999995</v>
      </c>
      <c r="L10" t="s">
        <v>14</v>
      </c>
      <c r="M10">
        <v>53.9</v>
      </c>
      <c r="N10">
        <v>54.16</v>
      </c>
      <c r="O10">
        <v>55.52</v>
      </c>
      <c r="P10">
        <v>56.93</v>
      </c>
      <c r="Q10">
        <v>56.97</v>
      </c>
      <c r="R10">
        <v>59.57</v>
      </c>
      <c r="S10">
        <v>61.45</v>
      </c>
      <c r="T10">
        <v>63.58</v>
      </c>
    </row>
    <row r="11" spans="1:20" x14ac:dyDescent="0.3">
      <c r="A11" t="s">
        <v>15</v>
      </c>
      <c r="B11" t="s">
        <v>16</v>
      </c>
      <c r="C11">
        <f t="shared" ref="C11:J13" si="1">M11</f>
        <v>70.25</v>
      </c>
      <c r="D11">
        <f t="shared" si="1"/>
        <v>70.25</v>
      </c>
      <c r="E11">
        <f t="shared" si="1"/>
        <v>70.5</v>
      </c>
      <c r="F11">
        <f t="shared" si="1"/>
        <v>71.25</v>
      </c>
      <c r="G11">
        <f t="shared" si="1"/>
        <v>71</v>
      </c>
      <c r="H11">
        <f t="shared" si="1"/>
        <v>71.25</v>
      </c>
      <c r="I11">
        <f t="shared" si="1"/>
        <v>71.75</v>
      </c>
      <c r="J11">
        <f t="shared" si="1"/>
        <v>71.75</v>
      </c>
      <c r="L11" t="s">
        <v>16</v>
      </c>
      <c r="M11">
        <v>70.25</v>
      </c>
      <c r="N11">
        <v>70.25</v>
      </c>
      <c r="O11">
        <v>70.5</v>
      </c>
      <c r="P11">
        <v>71.25</v>
      </c>
      <c r="Q11">
        <v>71</v>
      </c>
      <c r="R11">
        <v>71.25</v>
      </c>
      <c r="S11">
        <v>71.75</v>
      </c>
      <c r="T11">
        <v>71.75</v>
      </c>
    </row>
    <row r="12" spans="1:20" x14ac:dyDescent="0.3">
      <c r="A12" t="s">
        <v>17</v>
      </c>
      <c r="B12" t="s">
        <v>18</v>
      </c>
      <c r="C12">
        <f t="shared" si="1"/>
        <v>72.75</v>
      </c>
      <c r="D12">
        <f t="shared" si="1"/>
        <v>73.5</v>
      </c>
      <c r="E12">
        <f t="shared" si="1"/>
        <v>73</v>
      </c>
      <c r="F12">
        <f t="shared" si="1"/>
        <v>72.5</v>
      </c>
      <c r="G12">
        <f t="shared" si="1"/>
        <v>73.25</v>
      </c>
      <c r="H12">
        <f t="shared" si="1"/>
        <v>72</v>
      </c>
      <c r="I12">
        <f t="shared" si="1"/>
        <v>71.5</v>
      </c>
      <c r="J12">
        <f t="shared" si="1"/>
        <v>71</v>
      </c>
      <c r="L12" t="s">
        <v>18</v>
      </c>
      <c r="M12">
        <v>72.75</v>
      </c>
      <c r="N12">
        <v>73.5</v>
      </c>
      <c r="O12">
        <v>73</v>
      </c>
      <c r="P12">
        <v>72.5</v>
      </c>
      <c r="Q12">
        <v>73.25</v>
      </c>
      <c r="R12">
        <v>72</v>
      </c>
      <c r="S12">
        <v>71.5</v>
      </c>
      <c r="T12">
        <v>71</v>
      </c>
    </row>
    <row r="13" spans="1:20" x14ac:dyDescent="0.3">
      <c r="A13" t="s">
        <v>19</v>
      </c>
      <c r="B13" t="s">
        <v>124</v>
      </c>
      <c r="C13">
        <f t="shared" si="1"/>
        <v>76.17</v>
      </c>
      <c r="D13">
        <f t="shared" si="1"/>
        <v>76.87</v>
      </c>
      <c r="E13">
        <f t="shared" si="1"/>
        <v>76.25</v>
      </c>
      <c r="F13">
        <f t="shared" si="1"/>
        <v>75.78</v>
      </c>
      <c r="G13">
        <f t="shared" si="1"/>
        <v>76.48</v>
      </c>
      <c r="H13">
        <f t="shared" si="1"/>
        <v>75.19</v>
      </c>
      <c r="I13">
        <f t="shared" si="1"/>
        <v>74.59</v>
      </c>
      <c r="J13">
        <f t="shared" si="1"/>
        <v>74.12</v>
      </c>
      <c r="L13" t="s">
        <v>124</v>
      </c>
      <c r="M13">
        <v>76.17</v>
      </c>
      <c r="N13">
        <v>76.87</v>
      </c>
      <c r="O13">
        <v>76.25</v>
      </c>
      <c r="P13">
        <v>75.78</v>
      </c>
      <c r="Q13">
        <v>76.48</v>
      </c>
      <c r="R13">
        <v>75.19</v>
      </c>
      <c r="S13">
        <v>74.59</v>
      </c>
      <c r="T13">
        <v>74.12</v>
      </c>
    </row>
    <row r="14" spans="1:20" x14ac:dyDescent="0.3">
      <c r="A14" t="s">
        <v>20</v>
      </c>
      <c r="B14" t="s">
        <v>21</v>
      </c>
      <c r="C14">
        <f t="shared" ref="C14:J18" si="2">M14*10</f>
        <v>755</v>
      </c>
      <c r="D14">
        <f t="shared" si="2"/>
        <v>770.40000000000009</v>
      </c>
      <c r="E14">
        <f t="shared" si="2"/>
        <v>796.5</v>
      </c>
      <c r="F14">
        <f t="shared" si="2"/>
        <v>813.6</v>
      </c>
      <c r="G14">
        <f t="shared" si="2"/>
        <v>827.4</v>
      </c>
      <c r="H14">
        <f t="shared" si="2"/>
        <v>844.30000000000007</v>
      </c>
      <c r="I14">
        <f t="shared" si="2"/>
        <v>861.5</v>
      </c>
      <c r="J14">
        <f t="shared" si="2"/>
        <v>877.5</v>
      </c>
      <c r="L14" t="s">
        <v>21</v>
      </c>
      <c r="M14">
        <v>75.5</v>
      </c>
      <c r="N14">
        <v>77.040000000000006</v>
      </c>
      <c r="O14">
        <v>79.650000000000006</v>
      </c>
      <c r="P14">
        <v>81.36</v>
      </c>
      <c r="Q14">
        <v>82.74</v>
      </c>
      <c r="R14">
        <v>84.43</v>
      </c>
      <c r="S14">
        <v>86.15</v>
      </c>
      <c r="T14">
        <v>87.75</v>
      </c>
    </row>
    <row r="15" spans="1:20" x14ac:dyDescent="0.3">
      <c r="A15" t="s">
        <v>22</v>
      </c>
      <c r="B15" t="s">
        <v>23</v>
      </c>
      <c r="C15">
        <f t="shared" si="2"/>
        <v>105</v>
      </c>
      <c r="D15">
        <f t="shared" si="2"/>
        <v>115</v>
      </c>
      <c r="E15">
        <f t="shared" si="2"/>
        <v>135</v>
      </c>
      <c r="F15">
        <f t="shared" si="2"/>
        <v>150</v>
      </c>
      <c r="G15">
        <f t="shared" si="2"/>
        <v>165</v>
      </c>
      <c r="H15">
        <f t="shared" si="2"/>
        <v>180</v>
      </c>
      <c r="I15">
        <f t="shared" si="2"/>
        <v>195</v>
      </c>
      <c r="J15">
        <f t="shared" si="2"/>
        <v>215</v>
      </c>
      <c r="L15" t="s">
        <v>23</v>
      </c>
      <c r="M15">
        <v>10.5</v>
      </c>
      <c r="N15">
        <v>11.5</v>
      </c>
      <c r="O15">
        <v>13.5</v>
      </c>
      <c r="P15">
        <v>15</v>
      </c>
      <c r="Q15">
        <v>16.5</v>
      </c>
      <c r="R15">
        <v>18</v>
      </c>
      <c r="S15">
        <v>19.5</v>
      </c>
      <c r="T15">
        <v>21.5</v>
      </c>
    </row>
    <row r="16" spans="1:20" x14ac:dyDescent="0.3">
      <c r="A16" t="s">
        <v>24</v>
      </c>
      <c r="B16" t="s">
        <v>25</v>
      </c>
      <c r="C16">
        <f t="shared" si="2"/>
        <v>1036</v>
      </c>
      <c r="D16">
        <f t="shared" si="2"/>
        <v>1046.8000000000002</v>
      </c>
      <c r="E16">
        <f t="shared" si="2"/>
        <v>1054.0999999999999</v>
      </c>
      <c r="F16">
        <f t="shared" si="2"/>
        <v>1059.2</v>
      </c>
      <c r="G16">
        <f t="shared" si="2"/>
        <v>1070.6999999999998</v>
      </c>
      <c r="H16">
        <f t="shared" si="2"/>
        <v>1081.7</v>
      </c>
      <c r="I16">
        <f t="shared" si="2"/>
        <v>1091.7</v>
      </c>
      <c r="J16">
        <f t="shared" si="2"/>
        <v>1107</v>
      </c>
      <c r="L16" t="s">
        <v>25</v>
      </c>
      <c r="M16">
        <v>103.6</v>
      </c>
      <c r="N16">
        <v>104.68</v>
      </c>
      <c r="O16">
        <v>105.41</v>
      </c>
      <c r="P16">
        <v>105.92</v>
      </c>
      <c r="Q16">
        <v>107.07</v>
      </c>
      <c r="R16">
        <v>108.17</v>
      </c>
      <c r="S16">
        <v>109.17</v>
      </c>
      <c r="T16">
        <v>110.7</v>
      </c>
    </row>
    <row r="17" spans="1:20" x14ac:dyDescent="0.3">
      <c r="A17" t="s">
        <v>26</v>
      </c>
      <c r="B17" t="s">
        <v>27</v>
      </c>
      <c r="C17">
        <f t="shared" si="2"/>
        <v>622.70000000000005</v>
      </c>
      <c r="D17">
        <f t="shared" si="2"/>
        <v>633.20000000000005</v>
      </c>
      <c r="E17">
        <f t="shared" si="2"/>
        <v>400.5</v>
      </c>
      <c r="F17">
        <f t="shared" si="2"/>
        <v>643.1</v>
      </c>
      <c r="G17">
        <f t="shared" si="2"/>
        <v>654.4</v>
      </c>
      <c r="H17">
        <f t="shared" si="2"/>
        <v>665</v>
      </c>
      <c r="I17">
        <f t="shared" si="2"/>
        <v>673</v>
      </c>
      <c r="J17">
        <f t="shared" si="2"/>
        <v>688</v>
      </c>
      <c r="L17" t="s">
        <v>27</v>
      </c>
      <c r="M17">
        <v>62.27</v>
      </c>
      <c r="N17">
        <v>63.32</v>
      </c>
      <c r="O17">
        <v>40.049999999999997</v>
      </c>
      <c r="P17">
        <v>64.31</v>
      </c>
      <c r="Q17">
        <v>65.44</v>
      </c>
      <c r="R17">
        <v>66.5</v>
      </c>
      <c r="S17">
        <v>67.3</v>
      </c>
      <c r="T17">
        <v>68.8</v>
      </c>
    </row>
    <row r="18" spans="1:20" x14ac:dyDescent="0.3">
      <c r="A18" t="s">
        <v>28</v>
      </c>
      <c r="B18" t="s">
        <v>29</v>
      </c>
      <c r="C18">
        <f t="shared" si="2"/>
        <v>423</v>
      </c>
      <c r="D18">
        <f t="shared" si="2"/>
        <v>423</v>
      </c>
      <c r="E18">
        <f t="shared" si="2"/>
        <v>423</v>
      </c>
      <c r="F18">
        <f t="shared" si="2"/>
        <v>425</v>
      </c>
      <c r="G18">
        <f t="shared" si="2"/>
        <v>425</v>
      </c>
      <c r="H18">
        <f t="shared" si="2"/>
        <v>425</v>
      </c>
      <c r="I18">
        <f t="shared" si="2"/>
        <v>427</v>
      </c>
      <c r="J18">
        <f t="shared" si="2"/>
        <v>427</v>
      </c>
      <c r="L18" t="s">
        <v>29</v>
      </c>
      <c r="M18">
        <v>42.3</v>
      </c>
      <c r="N18">
        <v>42.3</v>
      </c>
      <c r="O18">
        <v>42.3</v>
      </c>
      <c r="P18">
        <v>42.5</v>
      </c>
      <c r="Q18">
        <v>42.5</v>
      </c>
      <c r="R18">
        <v>42.5</v>
      </c>
      <c r="S18">
        <v>42.7</v>
      </c>
      <c r="T18">
        <v>42.7</v>
      </c>
    </row>
    <row r="19" spans="1:20" x14ac:dyDescent="0.3">
      <c r="A19" t="s">
        <v>30</v>
      </c>
      <c r="B19" t="s">
        <v>31</v>
      </c>
      <c r="C19">
        <f t="shared" ref="C19:J20" si="3">M19</f>
        <v>70</v>
      </c>
      <c r="D19">
        <f t="shared" si="3"/>
        <v>69</v>
      </c>
      <c r="E19">
        <f t="shared" si="3"/>
        <v>69</v>
      </c>
      <c r="F19">
        <f t="shared" si="3"/>
        <v>67</v>
      </c>
      <c r="G19">
        <f t="shared" si="3"/>
        <v>67</v>
      </c>
      <c r="H19">
        <f t="shared" si="3"/>
        <v>65</v>
      </c>
      <c r="I19">
        <f t="shared" si="3"/>
        <v>65</v>
      </c>
      <c r="J19">
        <f t="shared" si="3"/>
        <v>65</v>
      </c>
      <c r="L19" t="s">
        <v>31</v>
      </c>
      <c r="M19">
        <v>70</v>
      </c>
      <c r="N19">
        <v>69</v>
      </c>
      <c r="O19">
        <v>69</v>
      </c>
      <c r="P19">
        <v>67</v>
      </c>
      <c r="Q19">
        <v>67</v>
      </c>
      <c r="R19">
        <v>65</v>
      </c>
      <c r="S19">
        <v>65</v>
      </c>
      <c r="T19">
        <v>65</v>
      </c>
    </row>
    <row r="20" spans="1:20" x14ac:dyDescent="0.3">
      <c r="A20" t="s">
        <v>32</v>
      </c>
      <c r="B20" t="s">
        <v>33</v>
      </c>
      <c r="C20">
        <f t="shared" si="3"/>
        <v>69.569999999999993</v>
      </c>
      <c r="D20">
        <f t="shared" si="3"/>
        <v>69.569999999999993</v>
      </c>
      <c r="E20">
        <f t="shared" si="3"/>
        <v>70.38</v>
      </c>
      <c r="F20">
        <f t="shared" si="3"/>
        <v>65.290000000000006</v>
      </c>
      <c r="G20">
        <f t="shared" si="3"/>
        <v>66.98</v>
      </c>
      <c r="H20">
        <f t="shared" si="3"/>
        <v>65.290000000000006</v>
      </c>
      <c r="I20">
        <f t="shared" si="3"/>
        <v>61.92</v>
      </c>
      <c r="J20">
        <f t="shared" si="3"/>
        <v>61.92</v>
      </c>
      <c r="L20" t="s">
        <v>33</v>
      </c>
      <c r="M20">
        <v>69.569999999999993</v>
      </c>
      <c r="N20">
        <v>69.569999999999993</v>
      </c>
      <c r="O20">
        <v>70.38</v>
      </c>
      <c r="P20">
        <v>65.290000000000006</v>
      </c>
      <c r="Q20">
        <v>66.98</v>
      </c>
      <c r="R20">
        <v>65.290000000000006</v>
      </c>
      <c r="S20">
        <v>61.92</v>
      </c>
      <c r="T20">
        <v>61.92</v>
      </c>
    </row>
    <row r="21" spans="1:20" x14ac:dyDescent="0.3">
      <c r="A21" t="s">
        <v>34</v>
      </c>
      <c r="B21" t="s">
        <v>35</v>
      </c>
      <c r="C21">
        <f t="shared" ref="C21:J23" si="4">M21*10</f>
        <v>541.79999999999995</v>
      </c>
      <c r="D21">
        <f t="shared" si="4"/>
        <v>550.20000000000005</v>
      </c>
      <c r="E21">
        <f t="shared" si="4"/>
        <v>570</v>
      </c>
      <c r="F21">
        <f t="shared" si="4"/>
        <v>585.29999999999995</v>
      </c>
      <c r="G21">
        <f t="shared" si="4"/>
        <v>598.5</v>
      </c>
      <c r="H21">
        <f t="shared" si="4"/>
        <v>611.70000000000005</v>
      </c>
      <c r="I21">
        <f t="shared" si="4"/>
        <v>628.1</v>
      </c>
      <c r="J21">
        <f t="shared" si="4"/>
        <v>647.09999999999991</v>
      </c>
      <c r="L21" t="s">
        <v>35</v>
      </c>
      <c r="M21">
        <v>54.18</v>
      </c>
      <c r="N21">
        <v>55.02</v>
      </c>
      <c r="O21">
        <v>57</v>
      </c>
      <c r="P21">
        <v>58.53</v>
      </c>
      <c r="Q21">
        <v>59.85</v>
      </c>
      <c r="R21">
        <v>61.17</v>
      </c>
      <c r="S21">
        <v>62.81</v>
      </c>
      <c r="T21">
        <v>64.709999999999994</v>
      </c>
    </row>
    <row r="22" spans="1:20" x14ac:dyDescent="0.3">
      <c r="A22" t="s">
        <v>36</v>
      </c>
      <c r="B22" t="s">
        <v>37</v>
      </c>
      <c r="C22">
        <f t="shared" si="4"/>
        <v>390.4</v>
      </c>
      <c r="D22">
        <f t="shared" si="4"/>
        <v>398</v>
      </c>
      <c r="E22">
        <f t="shared" si="4"/>
        <v>400.5</v>
      </c>
      <c r="F22">
        <f t="shared" si="4"/>
        <v>405</v>
      </c>
      <c r="G22">
        <f t="shared" si="4"/>
        <v>409.3</v>
      </c>
      <c r="H22">
        <f t="shared" si="4"/>
        <v>417.5</v>
      </c>
      <c r="I22">
        <f t="shared" si="4"/>
        <v>425.5</v>
      </c>
      <c r="J22">
        <f t="shared" si="4"/>
        <v>434.6</v>
      </c>
      <c r="L22" t="s">
        <v>37</v>
      </c>
      <c r="M22">
        <v>39.04</v>
      </c>
      <c r="N22">
        <v>39.799999999999997</v>
      </c>
      <c r="O22">
        <v>40.049999999999997</v>
      </c>
      <c r="P22">
        <v>40.5</v>
      </c>
      <c r="Q22">
        <v>40.93</v>
      </c>
      <c r="R22">
        <v>41.75</v>
      </c>
      <c r="S22">
        <v>42.55</v>
      </c>
      <c r="T22">
        <v>43.46</v>
      </c>
    </row>
    <row r="23" spans="1:20" x14ac:dyDescent="0.3">
      <c r="A23" t="s">
        <v>38</v>
      </c>
      <c r="B23" t="s">
        <v>39</v>
      </c>
      <c r="C23">
        <f t="shared" si="4"/>
        <v>406</v>
      </c>
      <c r="D23">
        <f t="shared" si="4"/>
        <v>406</v>
      </c>
      <c r="E23">
        <f t="shared" si="4"/>
        <v>406</v>
      </c>
      <c r="F23">
        <f t="shared" si="4"/>
        <v>406</v>
      </c>
      <c r="G23">
        <f t="shared" si="4"/>
        <v>406</v>
      </c>
      <c r="H23">
        <f t="shared" si="4"/>
        <v>406</v>
      </c>
      <c r="I23">
        <f t="shared" si="4"/>
        <v>406</v>
      </c>
      <c r="J23">
        <f t="shared" si="4"/>
        <v>406</v>
      </c>
      <c r="L23" t="s">
        <v>39</v>
      </c>
      <c r="M23">
        <v>40.6</v>
      </c>
      <c r="N23">
        <v>40.6</v>
      </c>
      <c r="O23">
        <v>40.6</v>
      </c>
      <c r="P23">
        <v>40.6</v>
      </c>
      <c r="Q23">
        <v>40.6</v>
      </c>
      <c r="R23">
        <v>40.6</v>
      </c>
      <c r="S23">
        <v>40.6</v>
      </c>
      <c r="T23">
        <v>40.6</v>
      </c>
    </row>
    <row r="24" spans="1:20" x14ac:dyDescent="0.3">
      <c r="A24" t="s">
        <v>40</v>
      </c>
      <c r="B24" t="s">
        <v>41</v>
      </c>
      <c r="C24">
        <f t="shared" ref="C24:J24" si="5">M24</f>
        <v>55.5</v>
      </c>
      <c r="D24">
        <f t="shared" si="5"/>
        <v>55.5</v>
      </c>
      <c r="E24">
        <f t="shared" si="5"/>
        <v>55.5</v>
      </c>
      <c r="F24">
        <f t="shared" si="5"/>
        <v>55.5</v>
      </c>
      <c r="G24">
        <f t="shared" si="5"/>
        <v>55.5</v>
      </c>
      <c r="H24">
        <f t="shared" si="5"/>
        <v>55.5</v>
      </c>
      <c r="I24">
        <f t="shared" si="5"/>
        <v>55.5</v>
      </c>
      <c r="J24">
        <f t="shared" si="5"/>
        <v>55.5</v>
      </c>
      <c r="L24" t="s">
        <v>41</v>
      </c>
      <c r="M24">
        <v>55.5</v>
      </c>
      <c r="N24">
        <v>55.5</v>
      </c>
      <c r="O24">
        <v>55.5</v>
      </c>
      <c r="P24">
        <v>55.5</v>
      </c>
      <c r="Q24">
        <v>55.5</v>
      </c>
      <c r="R24">
        <v>55.5</v>
      </c>
      <c r="S24">
        <v>55.5</v>
      </c>
      <c r="T24">
        <v>55.5</v>
      </c>
    </row>
    <row r="25" spans="1:20" x14ac:dyDescent="0.3">
      <c r="A25" t="s">
        <v>42</v>
      </c>
    </row>
    <row r="26" spans="1:20" x14ac:dyDescent="0.3">
      <c r="A26" t="s">
        <v>43</v>
      </c>
    </row>
    <row r="27" spans="1:20" x14ac:dyDescent="0.3">
      <c r="A27" t="s">
        <v>44</v>
      </c>
    </row>
    <row r="28" spans="1:20" x14ac:dyDescent="0.3">
      <c r="A28" t="s">
        <v>45</v>
      </c>
    </row>
    <row r="29" spans="1:20" x14ac:dyDescent="0.3">
      <c r="A29" t="s">
        <v>46</v>
      </c>
      <c r="C29">
        <v>700</v>
      </c>
      <c r="D29">
        <v>700</v>
      </c>
      <c r="E29">
        <v>700</v>
      </c>
      <c r="F29">
        <v>700</v>
      </c>
      <c r="G29">
        <v>700</v>
      </c>
      <c r="H29">
        <v>700</v>
      </c>
      <c r="I29">
        <v>700</v>
      </c>
      <c r="J29">
        <v>700</v>
      </c>
    </row>
    <row r="30" spans="1:20" x14ac:dyDescent="0.3">
      <c r="A30" t="s">
        <v>47</v>
      </c>
      <c r="C30">
        <v>40</v>
      </c>
      <c r="D30">
        <v>40</v>
      </c>
      <c r="E30">
        <v>40</v>
      </c>
      <c r="F30">
        <v>40</v>
      </c>
      <c r="G30">
        <v>40</v>
      </c>
      <c r="H30">
        <v>40</v>
      </c>
      <c r="I30">
        <v>40</v>
      </c>
      <c r="J30">
        <v>40</v>
      </c>
    </row>
    <row r="31" spans="1:20" x14ac:dyDescent="0.3">
      <c r="A31" t="s">
        <v>48</v>
      </c>
      <c r="C31">
        <v>57</v>
      </c>
      <c r="D31">
        <v>57</v>
      </c>
      <c r="E31">
        <v>57</v>
      </c>
      <c r="F31">
        <v>57</v>
      </c>
      <c r="G31">
        <v>57</v>
      </c>
      <c r="H31">
        <v>57</v>
      </c>
      <c r="I31">
        <v>57</v>
      </c>
      <c r="J31">
        <v>57</v>
      </c>
    </row>
    <row r="32" spans="1:20" x14ac:dyDescent="0.3">
      <c r="A32" t="s">
        <v>49</v>
      </c>
    </row>
    <row r="33" spans="1:2" x14ac:dyDescent="0.3">
      <c r="A33" t="s">
        <v>50</v>
      </c>
    </row>
    <row r="35" spans="1:2" x14ac:dyDescent="0.3">
      <c r="A35" t="s">
        <v>51</v>
      </c>
      <c r="B35" t="s">
        <v>52</v>
      </c>
    </row>
    <row r="36" spans="1:2" x14ac:dyDescent="0.3">
      <c r="A36" t="s">
        <v>101</v>
      </c>
      <c r="B36" t="s">
        <v>102</v>
      </c>
    </row>
    <row r="37" spans="1:2" x14ac:dyDescent="0.3">
      <c r="A37" t="s">
        <v>103</v>
      </c>
      <c r="B37" t="s">
        <v>104</v>
      </c>
    </row>
    <row r="38" spans="1:2" x14ac:dyDescent="0.3">
      <c r="A38" t="s">
        <v>105</v>
      </c>
      <c r="B38" s="1" t="s">
        <v>127</v>
      </c>
    </row>
    <row r="39" spans="1:2" x14ac:dyDescent="0.3">
      <c r="A39" t="s">
        <v>53</v>
      </c>
      <c r="B39" t="s">
        <v>54</v>
      </c>
    </row>
    <row r="40" spans="1:2" x14ac:dyDescent="0.3">
      <c r="A40" t="s">
        <v>55</v>
      </c>
      <c r="B40" t="s">
        <v>56</v>
      </c>
    </row>
    <row r="41" spans="1:2" x14ac:dyDescent="0.3">
      <c r="A41" t="s">
        <v>57</v>
      </c>
      <c r="B41" t="s">
        <v>58</v>
      </c>
    </row>
    <row r="42" spans="1:2" x14ac:dyDescent="0.3">
      <c r="A42" t="s">
        <v>59</v>
      </c>
      <c r="B42" t="s">
        <v>60</v>
      </c>
    </row>
    <row r="43" spans="1:2" x14ac:dyDescent="0.3">
      <c r="A43" t="s">
        <v>61</v>
      </c>
    </row>
    <row r="44" spans="1:2" x14ac:dyDescent="0.3">
      <c r="A44" t="s">
        <v>62</v>
      </c>
    </row>
    <row r="45" spans="1:2" x14ac:dyDescent="0.3">
      <c r="A45" t="s">
        <v>63</v>
      </c>
    </row>
    <row r="46" spans="1:2" x14ac:dyDescent="0.3">
      <c r="A46" t="s">
        <v>64</v>
      </c>
    </row>
    <row r="47" spans="1:2" x14ac:dyDescent="0.3">
      <c r="A47" t="s">
        <v>66</v>
      </c>
    </row>
    <row r="48" spans="1:2" x14ac:dyDescent="0.3">
      <c r="A48" t="s">
        <v>67</v>
      </c>
      <c r="B48" t="s">
        <v>68</v>
      </c>
    </row>
    <row r="49" spans="1:2" x14ac:dyDescent="0.3">
      <c r="A49" t="s">
        <v>69</v>
      </c>
      <c r="B49" t="s">
        <v>70</v>
      </c>
    </row>
    <row r="50" spans="1:2" x14ac:dyDescent="0.3">
      <c r="A50" t="s">
        <v>109</v>
      </c>
      <c r="B50">
        <v>44</v>
      </c>
    </row>
    <row r="51" spans="1:2" x14ac:dyDescent="0.3">
      <c r="A51" t="s">
        <v>110</v>
      </c>
    </row>
    <row r="52" spans="1:2" x14ac:dyDescent="0.3">
      <c r="A52" t="s">
        <v>111</v>
      </c>
    </row>
    <row r="53" spans="1:2" x14ac:dyDescent="0.3">
      <c r="A53" t="s">
        <v>112</v>
      </c>
    </row>
    <row r="54" spans="1:2" x14ac:dyDescent="0.3">
      <c r="A54" t="s">
        <v>113</v>
      </c>
    </row>
    <row r="55" spans="1:2" x14ac:dyDescent="0.3">
      <c r="A55" t="s">
        <v>114</v>
      </c>
    </row>
    <row r="56" spans="1:2" x14ac:dyDescent="0.3">
      <c r="A56" t="s">
        <v>71</v>
      </c>
      <c r="B56" t="s">
        <v>72</v>
      </c>
    </row>
    <row r="57" spans="1:2" x14ac:dyDescent="0.3">
      <c r="A57" t="s">
        <v>73</v>
      </c>
    </row>
    <row r="58" spans="1:2" x14ac:dyDescent="0.3">
      <c r="A58" t="s">
        <v>74</v>
      </c>
      <c r="B58" t="s">
        <v>75</v>
      </c>
    </row>
    <row r="59" spans="1:2" x14ac:dyDescent="0.3">
      <c r="A59" t="s">
        <v>76</v>
      </c>
      <c r="B59" t="s">
        <v>56</v>
      </c>
    </row>
    <row r="60" spans="1:2" x14ac:dyDescent="0.3">
      <c r="A60" t="s">
        <v>77</v>
      </c>
      <c r="B60" t="s">
        <v>78</v>
      </c>
    </row>
    <row r="61" spans="1:2" x14ac:dyDescent="0.3">
      <c r="A61" t="s">
        <v>79</v>
      </c>
      <c r="B61">
        <v>48</v>
      </c>
    </row>
    <row r="62" spans="1:2" x14ac:dyDescent="0.3">
      <c r="A62" t="s">
        <v>80</v>
      </c>
    </row>
    <row r="63" spans="1:2" x14ac:dyDescent="0.3">
      <c r="A63" t="s">
        <v>81</v>
      </c>
    </row>
    <row r="64" spans="1:2" x14ac:dyDescent="0.3">
      <c r="A64" t="s">
        <v>82</v>
      </c>
    </row>
    <row r="65" spans="1:2" x14ac:dyDescent="0.3">
      <c r="A65" t="s">
        <v>83</v>
      </c>
      <c r="B65" t="s">
        <v>84</v>
      </c>
    </row>
    <row r="66" spans="1:2" x14ac:dyDescent="0.3">
      <c r="A66" t="s">
        <v>85</v>
      </c>
      <c r="B66" t="s">
        <v>84</v>
      </c>
    </row>
    <row r="67" spans="1:2" x14ac:dyDescent="0.3">
      <c r="A67" t="s">
        <v>86</v>
      </c>
    </row>
    <row r="68" spans="1:2" x14ac:dyDescent="0.3">
      <c r="A68" t="s">
        <v>87</v>
      </c>
      <c r="B68" t="s">
        <v>65</v>
      </c>
    </row>
    <row r="69" spans="1:2" x14ac:dyDescent="0.3">
      <c r="A69" t="s">
        <v>88</v>
      </c>
      <c r="B69" t="s">
        <v>89</v>
      </c>
    </row>
    <row r="70" spans="1:2" x14ac:dyDescent="0.3">
      <c r="A70" t="s">
        <v>90</v>
      </c>
      <c r="B70" t="s">
        <v>91</v>
      </c>
    </row>
    <row r="71" spans="1:2" x14ac:dyDescent="0.3">
      <c r="A71" t="s">
        <v>92</v>
      </c>
      <c r="B71" t="s">
        <v>91</v>
      </c>
    </row>
    <row r="72" spans="1:2" x14ac:dyDescent="0.3">
      <c r="A72" t="s">
        <v>93</v>
      </c>
    </row>
    <row r="73" spans="1:2" x14ac:dyDescent="0.3">
      <c r="A73" t="s">
        <v>94</v>
      </c>
      <c r="B73" s="1" t="s">
        <v>56</v>
      </c>
    </row>
    <row r="74" spans="1:2" x14ac:dyDescent="0.3">
      <c r="A74" t="s">
        <v>95</v>
      </c>
    </row>
    <row r="75" spans="1:2" x14ac:dyDescent="0.3">
      <c r="A75" t="s">
        <v>96</v>
      </c>
    </row>
    <row r="76" spans="1:2" x14ac:dyDescent="0.3">
      <c r="A76" t="s">
        <v>97</v>
      </c>
      <c r="B76">
        <v>6000</v>
      </c>
    </row>
    <row r="77" spans="1:2" x14ac:dyDescent="0.3">
      <c r="A77" t="s">
        <v>98</v>
      </c>
    </row>
    <row r="78" spans="1:2" x14ac:dyDescent="0.3">
      <c r="A78" t="s">
        <v>99</v>
      </c>
    </row>
    <row r="79" spans="1:2" x14ac:dyDescent="0.3">
      <c r="A79" t="s">
        <v>100</v>
      </c>
      <c r="B79" s="1" t="s">
        <v>108</v>
      </c>
    </row>
    <row r="80" spans="1:2" x14ac:dyDescent="0.3">
      <c r="A80" t="s">
        <v>106</v>
      </c>
      <c r="B80" t="s">
        <v>107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2025-07-26T16:23:51Z</dcterms:created>
  <dcterms:modified xsi:type="dcterms:W3CDTF">2025-12-13T13:20:45Z</dcterms:modified>
</cp:coreProperties>
</file>