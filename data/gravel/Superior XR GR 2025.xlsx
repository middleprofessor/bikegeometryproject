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5E0747A-B389-9E49-A594-18172740B26B}" xr6:coauthVersionLast="47" xr6:coauthVersionMax="47" xr10:uidLastSave="{00000000-0000-0000-0000-000000000000}"/>
  <bookViews>
    <workbookView xWindow="8000" yWindow="2220" windowWidth="255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D22" i="1"/>
  <c r="E22" i="1"/>
  <c r="F22" i="1"/>
  <c r="C22" i="1"/>
  <c r="D21" i="1"/>
  <c r="E21" i="1"/>
  <c r="F21" i="1"/>
  <c r="G21" i="1"/>
  <c r="H21" i="1"/>
  <c r="C21" i="1"/>
  <c r="D20" i="1"/>
  <c r="E20" i="1"/>
  <c r="F20" i="1"/>
  <c r="G20" i="1"/>
  <c r="H20" i="1"/>
  <c r="C20" i="1"/>
  <c r="D19" i="1"/>
  <c r="E19" i="1"/>
  <c r="F19" i="1"/>
  <c r="G19" i="1"/>
  <c r="H19" i="1"/>
  <c r="C19" i="1"/>
</calcChain>
</file>

<file path=xl/sharedStrings.xml><?xml version="1.0" encoding="utf-8"?>
<sst xmlns="http://schemas.openxmlformats.org/spreadsheetml/2006/main" count="124" uniqueCount="115">
  <si>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</si>
  <si>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</si>
  <si>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</si>
  <si>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</si>
  <si>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</si>
  <si>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</si>
  <si>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</si>
  <si>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</si>
  <si>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</si>
  <si>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</si>
  <si>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</si>
  <si>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</si>
  <si>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</si>
  <si>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</si>
  <si>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</si>
  <si>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</si>
  <si>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</si>
  <si>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</si>
  <si>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</si>
  <si>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</si>
  <si>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</si>
  <si>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</si>
  <si>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</si>
  <si>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</si>
  <si>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</si>
  <si>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</si>
  <si>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</si>
  <si>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</si>
  <si>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</si>
  <si>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</si>
  <si>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</si>
  <si>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</si>
  <si>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</si>
  <si>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</si>
  <si>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</si>
  <si>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</si>
  <si>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</si>
  <si>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</si>
  <si>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</si>
  <si>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</si>
  <si>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</si>
  <si>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</si>
  <si>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</si>
  <si>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</si>
  <si>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</si>
  <si>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</si>
  <si>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</si>
  <si>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</si>
  <si>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</si>
  <si>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</si>
  <si>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</si>
  <si>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</si>
  <si>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</si>
  <si>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</si>
  <si>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</si>
  <si>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</si>
  <si>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</si>
  <si>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</si>
  <si>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</si>
  <si>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</si>
  <si>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</si>
  <si>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</si>
  <si>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</si>
  <si>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</si>
  <si>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</si>
  <si>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</si>
  <si>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</si>
  <si>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</si>
  <si>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</si>
  <si>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</si>
  <si>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</si>
  <si>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</si>
  <si>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</si>
  <si>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frame_weight</t>
  </si>
  <si>
    <t>carbon</t>
  </si>
  <si>
    <t>Body size (cm)</t>
  </si>
  <si>
    <t>155-167</t>
  </si>
  <si>
    <t>165-171</t>
  </si>
  <si>
    <t>168-179</t>
  </si>
  <si>
    <t>178-186</t>
  </si>
  <si>
    <t>185-201</t>
  </si>
  <si>
    <t>195-205</t>
  </si>
  <si>
    <t>rigid</t>
  </si>
  <si>
    <t>Superior</t>
  </si>
  <si>
    <t>FRAME SIZE</t>
  </si>
  <si>
    <t>BBD BB DROP (mm)</t>
  </si>
  <si>
    <t>A SEAT TUBE LENGTH (mm)</t>
  </si>
  <si>
    <t>B EFFECTIVE TOP TUBE LENGTH (mm)</t>
  </si>
  <si>
    <t>S STACK HEIGHT (mm)</t>
  </si>
  <si>
    <t>R REACH (mm)</t>
  </si>
  <si>
    <t>C SEAT TUBE ANGLE</t>
  </si>
  <si>
    <t>D HEAD TUBE ANGLE</t>
  </si>
  <si>
    <t>RC REAR CENTER (mm)</t>
  </si>
  <si>
    <t>G HEAD TUBE LENGTH (mm)</t>
  </si>
  <si>
    <t>F WHEELBASE (mm)</t>
  </si>
  <si>
    <t>HANDLEBAR (mm)</t>
  </si>
  <si>
    <t>380/70</t>
  </si>
  <si>
    <t>CRANKSET (mm)</t>
  </si>
  <si>
    <t>Seatpost (mm)</t>
  </si>
  <si>
    <t>400/15mm</t>
  </si>
  <si>
    <t>seatpost_length</t>
  </si>
  <si>
    <t>press fit</t>
  </si>
  <si>
    <t>integrated</t>
  </si>
  <si>
    <t>https://superiorbikes.com/us-en/bikes/category/road-gravel/175?sort=expensiveFirst</t>
  </si>
  <si>
    <t>XR GR</t>
  </si>
  <si>
    <t>420/90</t>
  </si>
  <si>
    <t>440/100</t>
  </si>
  <si>
    <t>stem length</t>
  </si>
  <si>
    <t>a8:h32</t>
  </si>
  <si>
    <t>490 (XS)</t>
  </si>
  <si>
    <t>520 (S)</t>
  </si>
  <si>
    <t>540 (M)</t>
  </si>
  <si>
    <t>560 (L)</t>
  </si>
  <si>
    <t>580 (XL)</t>
  </si>
  <si>
    <t>610 (XXL)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</si>
</sst>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zoomScaleNormal="100" workbookViewId="0">
      <selection activeCell="C8" sqref="C8:H8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83</v>
      </c>
    </row>
    <row r="2" spans="1:22" x14ac:dyDescent="0.3">
      <c r="A2" t="s">
        <v>1</v>
      </c>
      <c r="B2" s="1" t="s">
        <v>104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45925</v>
      </c>
    </row>
    <row r="5" spans="1:22" x14ac:dyDescent="0.3">
      <c r="A5" t="s">
        <v>5</v>
      </c>
      <c r="B5" s="5" t="s">
        <v>103</v>
      </c>
    </row>
    <row r="7" spans="1:22" x14ac:dyDescent="0.3">
      <c r="A7" t="s">
        <v>6</v>
      </c>
      <c r="B7" s="1" t="s">
        <v>108</v>
      </c>
    </row>
    <row r="8" spans="1:22" x14ac:dyDescent="0.3">
      <c r="A8" t="s">
        <v>7</v>
      </c>
      <c r="B8" s="1" t="s">
        <v>84</v>
      </c>
      <c r="C8" s="6" t="s">
        <v>109</v>
      </c>
      <c r="D8" s="6" t="s">
        <v>110</v>
      </c>
      <c r="E8" s="7" t="s">
        <v>111</v>
      </c>
      <c r="F8" s="7" t="s">
        <v>112</v>
      </c>
      <c r="G8" s="7" t="s">
        <v>113</v>
      </c>
      <c r="H8" s="7" t="s">
        <v>114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14</v>
      </c>
      <c r="B9" s="7" t="s">
        <v>85</v>
      </c>
      <c r="C9" s="6">
        <v>77</v>
      </c>
      <c r="D9" s="6">
        <v>77</v>
      </c>
      <c r="E9" s="6">
        <v>75</v>
      </c>
      <c r="F9" s="6">
        <v>75</v>
      </c>
      <c r="G9" s="6">
        <v>73</v>
      </c>
      <c r="H9">
        <v>73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7" t="s">
        <v>86</v>
      </c>
      <c r="C10" s="6">
        <v>421</v>
      </c>
      <c r="D10" s="6">
        <v>464</v>
      </c>
      <c r="E10" s="6">
        <v>484</v>
      </c>
      <c r="F10" s="6">
        <v>504</v>
      </c>
      <c r="G10" s="6">
        <v>524</v>
      </c>
      <c r="H10">
        <v>555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13</v>
      </c>
      <c r="B11" s="7" t="s">
        <v>87</v>
      </c>
      <c r="C11" s="6">
        <v>523</v>
      </c>
      <c r="D11" s="6">
        <v>535</v>
      </c>
      <c r="E11" s="6">
        <v>545</v>
      </c>
      <c r="F11" s="6">
        <v>574</v>
      </c>
      <c r="G11" s="6">
        <v>595</v>
      </c>
      <c r="H11">
        <v>616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21</v>
      </c>
      <c r="B12" s="7" t="s">
        <v>88</v>
      </c>
      <c r="C12" s="6">
        <v>524</v>
      </c>
      <c r="D12" s="6">
        <v>545</v>
      </c>
      <c r="E12" s="6">
        <v>563</v>
      </c>
      <c r="F12" s="6">
        <v>582</v>
      </c>
      <c r="G12" s="6">
        <v>601</v>
      </c>
      <c r="H12">
        <v>620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20</v>
      </c>
      <c r="B13" s="7" t="s">
        <v>89</v>
      </c>
      <c r="C13" s="6">
        <v>380</v>
      </c>
      <c r="D13" s="6">
        <v>379</v>
      </c>
      <c r="E13" s="6">
        <v>381</v>
      </c>
      <c r="F13" s="6">
        <v>391</v>
      </c>
      <c r="G13" s="6">
        <v>407</v>
      </c>
      <c r="H13">
        <v>414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10</v>
      </c>
      <c r="B14" s="6" t="s">
        <v>90</v>
      </c>
      <c r="C14" s="6">
        <v>74.7</v>
      </c>
      <c r="D14" s="6">
        <v>74</v>
      </c>
      <c r="E14" s="6">
        <v>73.8</v>
      </c>
      <c r="F14" s="6">
        <v>72.599999999999994</v>
      </c>
      <c r="G14" s="6">
        <v>72.599999999999994</v>
      </c>
      <c r="H14">
        <v>72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12</v>
      </c>
      <c r="B15" s="7" t="s">
        <v>91</v>
      </c>
      <c r="C15" s="6">
        <v>70.5</v>
      </c>
      <c r="D15" s="6">
        <v>71</v>
      </c>
      <c r="E15" s="6">
        <v>71.5</v>
      </c>
      <c r="F15" s="6">
        <v>71.5</v>
      </c>
      <c r="G15" s="6">
        <v>72</v>
      </c>
      <c r="H15">
        <v>72</v>
      </c>
      <c r="I15" s="3"/>
      <c r="J15" s="3"/>
      <c r="K15" s="3"/>
      <c r="L15" s="3"/>
      <c r="M15" s="3"/>
      <c r="N15" s="3"/>
    </row>
    <row r="16" spans="1:22" x14ac:dyDescent="0.3">
      <c r="A16" t="s">
        <v>15</v>
      </c>
      <c r="B16" s="7" t="s">
        <v>92</v>
      </c>
      <c r="C16" s="6">
        <v>415</v>
      </c>
      <c r="D16" s="6">
        <v>415</v>
      </c>
      <c r="E16" s="6">
        <v>415</v>
      </c>
      <c r="F16" s="6">
        <v>415</v>
      </c>
      <c r="G16" s="6">
        <v>415</v>
      </c>
      <c r="H16">
        <v>415</v>
      </c>
    </row>
    <row r="17" spans="1:14" x14ac:dyDescent="0.3">
      <c r="A17" t="s">
        <v>11</v>
      </c>
      <c r="B17" s="7" t="s">
        <v>93</v>
      </c>
      <c r="C17" s="6">
        <v>100</v>
      </c>
      <c r="D17" s="6">
        <v>120</v>
      </c>
      <c r="E17" s="6">
        <v>140</v>
      </c>
      <c r="F17" s="6">
        <v>160</v>
      </c>
      <c r="G17" s="6">
        <v>180</v>
      </c>
      <c r="H17">
        <v>200</v>
      </c>
      <c r="I17" s="2"/>
      <c r="J17" s="3"/>
      <c r="K17" s="3"/>
      <c r="L17" s="3"/>
      <c r="M17" s="3"/>
      <c r="N17" s="3"/>
    </row>
    <row r="18" spans="1:14" x14ac:dyDescent="0.3">
      <c r="A18" t="s">
        <v>18</v>
      </c>
      <c r="B18" s="7" t="s">
        <v>94</v>
      </c>
      <c r="C18" s="6">
        <v>994</v>
      </c>
      <c r="D18" s="6">
        <v>995</v>
      </c>
      <c r="E18" s="6">
        <v>1000</v>
      </c>
      <c r="F18" s="6">
        <v>1016</v>
      </c>
      <c r="G18" s="6">
        <v>1034</v>
      </c>
      <c r="H18">
        <v>1048</v>
      </c>
      <c r="I18" s="2"/>
      <c r="J18" s="3"/>
      <c r="K18" s="3"/>
      <c r="L18" s="3"/>
      <c r="M18" s="3"/>
      <c r="N18" s="3"/>
    </row>
    <row r="19" spans="1:14" x14ac:dyDescent="0.3">
      <c r="A19" t="s">
        <v>23</v>
      </c>
      <c r="B19" s="7" t="s">
        <v>95</v>
      </c>
      <c r="C19">
        <f>VALUE(LEFT(I19,3))</f>
        <v>380</v>
      </c>
      <c r="D19">
        <f t="shared" ref="D19:H19" si="0">VALUE(LEFT(J19,3))</f>
        <v>380</v>
      </c>
      <c r="E19">
        <f t="shared" si="0"/>
        <v>420</v>
      </c>
      <c r="F19">
        <f t="shared" si="0"/>
        <v>420</v>
      </c>
      <c r="G19">
        <f t="shared" si="0"/>
        <v>440</v>
      </c>
      <c r="H19">
        <f t="shared" si="0"/>
        <v>440</v>
      </c>
      <c r="I19" t="s">
        <v>96</v>
      </c>
      <c r="J19" t="s">
        <v>96</v>
      </c>
      <c r="K19" t="s">
        <v>105</v>
      </c>
      <c r="L19" t="s">
        <v>105</v>
      </c>
      <c r="M19" t="s">
        <v>106</v>
      </c>
      <c r="N19" t="s">
        <v>106</v>
      </c>
    </row>
    <row r="20" spans="1:14" x14ac:dyDescent="0.3">
      <c r="A20" t="s">
        <v>25</v>
      </c>
      <c r="B20" s="7" t="s">
        <v>97</v>
      </c>
      <c r="C20">
        <f>I20</f>
        <v>165</v>
      </c>
      <c r="D20">
        <f t="shared" ref="D20:H20" si="1">J20</f>
        <v>165</v>
      </c>
      <c r="E20">
        <f t="shared" si="1"/>
        <v>170</v>
      </c>
      <c r="F20">
        <f t="shared" si="1"/>
        <v>172.5</v>
      </c>
      <c r="G20">
        <f t="shared" si="1"/>
        <v>172.5</v>
      </c>
      <c r="H20">
        <f t="shared" si="1"/>
        <v>175</v>
      </c>
      <c r="I20">
        <v>165</v>
      </c>
      <c r="J20">
        <v>165</v>
      </c>
      <c r="K20">
        <v>170</v>
      </c>
      <c r="L20">
        <v>172.5</v>
      </c>
      <c r="M20">
        <v>172.5</v>
      </c>
      <c r="N20">
        <v>175</v>
      </c>
    </row>
    <row r="21" spans="1:14" x14ac:dyDescent="0.3">
      <c r="A21" s="1" t="s">
        <v>100</v>
      </c>
      <c r="B21" s="7" t="s">
        <v>98</v>
      </c>
      <c r="C21">
        <f>VALUE(LEFT(I21,3))</f>
        <v>400</v>
      </c>
      <c r="D21">
        <f t="shared" ref="D21:H21" si="2">VALUE(LEFT(J21,3))</f>
        <v>400</v>
      </c>
      <c r="E21">
        <f t="shared" si="2"/>
        <v>400</v>
      </c>
      <c r="F21">
        <f t="shared" si="2"/>
        <v>400</v>
      </c>
      <c r="G21">
        <f t="shared" si="2"/>
        <v>400</v>
      </c>
      <c r="H21">
        <f t="shared" si="2"/>
        <v>400</v>
      </c>
      <c r="I21" t="s">
        <v>99</v>
      </c>
      <c r="J21" t="s">
        <v>99</v>
      </c>
      <c r="K21" t="s">
        <v>99</v>
      </c>
      <c r="L21" t="s">
        <v>99</v>
      </c>
      <c r="M21" t="s">
        <v>99</v>
      </c>
      <c r="N21" t="s">
        <v>99</v>
      </c>
    </row>
    <row r="22" spans="1:14" x14ac:dyDescent="0.3">
      <c r="A22" t="s">
        <v>24</v>
      </c>
      <c r="B22" s="1" t="s">
        <v>107</v>
      </c>
      <c r="C22">
        <f>VALUE(RIGHT(I19,2))</f>
        <v>70</v>
      </c>
      <c r="D22">
        <f t="shared" ref="D22:F22" si="3">VALUE(RIGHT(J19,2))</f>
        <v>70</v>
      </c>
      <c r="E22">
        <f t="shared" si="3"/>
        <v>90</v>
      </c>
      <c r="F22">
        <f t="shared" si="3"/>
        <v>90</v>
      </c>
      <c r="G22">
        <f>VALUE(RIGHT(M19,3))</f>
        <v>100</v>
      </c>
      <c r="H22">
        <f>VALUE(RIGHT(N19,3))</f>
        <v>100</v>
      </c>
    </row>
    <row r="23" spans="1:14" x14ac:dyDescent="0.3">
      <c r="A23" t="s">
        <v>19</v>
      </c>
      <c r="I23" s="2"/>
      <c r="J23" s="3"/>
      <c r="K23" s="3"/>
      <c r="L23" s="3"/>
      <c r="M23" s="3"/>
      <c r="N23" s="3"/>
    </row>
    <row r="24" spans="1:14" x14ac:dyDescent="0.3">
      <c r="A24" s="1" t="s">
        <v>73</v>
      </c>
      <c r="E24">
        <v>827</v>
      </c>
      <c r="I24" s="2"/>
      <c r="J24" s="3"/>
      <c r="K24" s="3"/>
      <c r="L24" s="3"/>
      <c r="M24" s="3"/>
      <c r="N24" s="3"/>
    </row>
    <row r="25" spans="1:14" x14ac:dyDescent="0.3">
      <c r="A25" t="s">
        <v>22</v>
      </c>
      <c r="I25" s="2"/>
      <c r="J25" s="3"/>
      <c r="K25" s="3"/>
      <c r="L25" s="3"/>
      <c r="M25" s="3"/>
      <c r="N25" s="3"/>
    </row>
    <row r="26" spans="1:14" x14ac:dyDescent="0.3">
      <c r="A26" t="s">
        <v>16</v>
      </c>
      <c r="I26" s="2"/>
      <c r="J26" s="3"/>
      <c r="K26" s="3"/>
      <c r="L26" s="3"/>
      <c r="M26" s="3"/>
      <c r="N26" s="3"/>
    </row>
    <row r="27" spans="1:14" x14ac:dyDescent="0.3">
      <c r="A27" t="s">
        <v>17</v>
      </c>
      <c r="I27" s="2"/>
      <c r="J27" s="3"/>
      <c r="K27" s="3"/>
      <c r="L27" s="3"/>
      <c r="M27" s="3"/>
      <c r="N27" s="3"/>
    </row>
    <row r="28" spans="1:14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 s="2"/>
      <c r="J28" s="3"/>
      <c r="K28" s="3"/>
      <c r="L28" s="3"/>
      <c r="M28" s="3"/>
      <c r="N28" s="3"/>
    </row>
    <row r="29" spans="1:14" x14ac:dyDescent="0.3">
      <c r="A29" t="s">
        <v>26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 s="2"/>
      <c r="J29" s="3"/>
      <c r="K29" s="3"/>
      <c r="L29" s="3"/>
      <c r="M29" s="3"/>
      <c r="N29" s="3"/>
    </row>
    <row r="30" spans="1:14" x14ac:dyDescent="0.3">
      <c r="A30" t="s">
        <v>27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 s="2"/>
      <c r="J30" s="3"/>
      <c r="K30" s="3"/>
      <c r="L30" s="3"/>
      <c r="M30" s="3"/>
      <c r="N30" s="3"/>
    </row>
    <row r="31" spans="1:14" x14ac:dyDescent="0.3">
      <c r="A31" t="s">
        <v>28</v>
      </c>
      <c r="C31">
        <v>155</v>
      </c>
      <c r="D31">
        <v>165</v>
      </c>
      <c r="E31">
        <v>168</v>
      </c>
      <c r="F31">
        <v>178</v>
      </c>
      <c r="G31">
        <v>185</v>
      </c>
      <c r="H31">
        <v>195</v>
      </c>
      <c r="I31" s="2"/>
      <c r="J31" s="3"/>
      <c r="K31" s="3"/>
      <c r="L31" s="3"/>
      <c r="M31" s="3"/>
      <c r="N31" s="3"/>
    </row>
    <row r="32" spans="1:14" x14ac:dyDescent="0.3">
      <c r="A32" t="s">
        <v>29</v>
      </c>
      <c r="C32">
        <v>167</v>
      </c>
      <c r="D32">
        <v>171</v>
      </c>
      <c r="E32">
        <v>179</v>
      </c>
      <c r="F32">
        <v>186</v>
      </c>
      <c r="G32">
        <v>201</v>
      </c>
      <c r="H32">
        <v>205</v>
      </c>
      <c r="J32" s="3"/>
    </row>
    <row r="33" spans="1:9" x14ac:dyDescent="0.3">
      <c r="C33" s="6" t="s">
        <v>76</v>
      </c>
      <c r="D33" s="6" t="s">
        <v>77</v>
      </c>
      <c r="E33" s="6" t="s">
        <v>78</v>
      </c>
      <c r="F33" s="6" t="s">
        <v>79</v>
      </c>
      <c r="G33" s="6" t="s">
        <v>80</v>
      </c>
      <c r="H33" t="s">
        <v>81</v>
      </c>
      <c r="I33" s="7" t="s">
        <v>75</v>
      </c>
    </row>
    <row r="34" spans="1:9" x14ac:dyDescent="0.3">
      <c r="A34" t="s">
        <v>30</v>
      </c>
      <c r="B34" t="s">
        <v>31</v>
      </c>
      <c r="C34" s="2"/>
      <c r="D34" s="2"/>
      <c r="E34" s="2"/>
    </row>
    <row r="35" spans="1:9" x14ac:dyDescent="0.3">
      <c r="A35" t="s">
        <v>68</v>
      </c>
      <c r="B35" t="s">
        <v>69</v>
      </c>
      <c r="C35" s="2"/>
      <c r="D35" s="2"/>
      <c r="E35" s="2"/>
    </row>
    <row r="36" spans="1:9" x14ac:dyDescent="0.3">
      <c r="A36" t="s">
        <v>70</v>
      </c>
      <c r="B36" t="s">
        <v>71</v>
      </c>
      <c r="C36" s="2"/>
      <c r="D36" s="2"/>
      <c r="E36" s="2"/>
    </row>
    <row r="37" spans="1:9" x14ac:dyDescent="0.3">
      <c r="A37" t="s">
        <v>72</v>
      </c>
      <c r="B37" s="1" t="s">
        <v>82</v>
      </c>
      <c r="C37" s="2"/>
      <c r="D37" s="2"/>
      <c r="E37" s="2"/>
    </row>
    <row r="38" spans="1:9" x14ac:dyDescent="0.3">
      <c r="A38" t="s">
        <v>32</v>
      </c>
      <c r="B38" s="1" t="s">
        <v>74</v>
      </c>
      <c r="C38" s="2"/>
      <c r="D38" s="2"/>
      <c r="E38" s="2"/>
    </row>
    <row r="39" spans="1:9" x14ac:dyDescent="0.3">
      <c r="A39" t="s">
        <v>33</v>
      </c>
      <c r="B39" s="1" t="s">
        <v>34</v>
      </c>
      <c r="C39" s="2"/>
      <c r="D39" s="2"/>
      <c r="E39" s="2"/>
    </row>
    <row r="40" spans="1:9" x14ac:dyDescent="0.3">
      <c r="A40" t="s">
        <v>35</v>
      </c>
      <c r="C40" s="2"/>
      <c r="D40" s="2"/>
      <c r="E40" s="2"/>
    </row>
    <row r="41" spans="1:9" x14ac:dyDescent="0.3">
      <c r="A41" t="s">
        <v>36</v>
      </c>
      <c r="B41">
        <v>45</v>
      </c>
      <c r="C41" s="2"/>
      <c r="D41" s="2"/>
      <c r="E41" s="2"/>
    </row>
    <row r="42" spans="1:9" x14ac:dyDescent="0.3">
      <c r="A42" t="s">
        <v>37</v>
      </c>
      <c r="C42" s="2"/>
      <c r="D42" s="2"/>
      <c r="E42" s="2"/>
    </row>
    <row r="43" spans="1:9" x14ac:dyDescent="0.3">
      <c r="A43" t="s">
        <v>38</v>
      </c>
      <c r="C43" s="2"/>
      <c r="D43" s="2"/>
      <c r="E43" s="2"/>
    </row>
    <row r="44" spans="1:9" x14ac:dyDescent="0.3">
      <c r="A44" t="s">
        <v>39</v>
      </c>
    </row>
    <row r="45" spans="1:9" x14ac:dyDescent="0.3">
      <c r="A45" t="s">
        <v>40</v>
      </c>
    </row>
    <row r="46" spans="1:9" x14ac:dyDescent="0.3">
      <c r="A46" t="s">
        <v>41</v>
      </c>
    </row>
    <row r="47" spans="1:9" x14ac:dyDescent="0.3">
      <c r="A47" t="s">
        <v>42</v>
      </c>
      <c r="B47">
        <v>142</v>
      </c>
    </row>
    <row r="48" spans="1:9" x14ac:dyDescent="0.3">
      <c r="A48" t="s">
        <v>43</v>
      </c>
      <c r="B48">
        <v>100</v>
      </c>
    </row>
    <row r="49" spans="1:2" x14ac:dyDescent="0.3">
      <c r="A49" t="s">
        <v>44</v>
      </c>
      <c r="B49" s="1" t="s">
        <v>101</v>
      </c>
    </row>
    <row r="50" spans="1:2" x14ac:dyDescent="0.3">
      <c r="A50" t="s">
        <v>45</v>
      </c>
    </row>
    <row r="51" spans="1:2" x14ac:dyDescent="0.3">
      <c r="A51" t="s">
        <v>46</v>
      </c>
      <c r="B51">
        <v>27.2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  <c r="B58" s="1" t="s">
        <v>102</v>
      </c>
    </row>
    <row r="59" spans="1:2" x14ac:dyDescent="0.3">
      <c r="A59" t="s">
        <v>53</v>
      </c>
      <c r="B59" s="1"/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</row>
    <row r="65" spans="1:2" x14ac:dyDescent="0.3">
      <c r="A65" t="s">
        <v>60</v>
      </c>
    </row>
    <row r="66" spans="1:2" x14ac:dyDescent="0.3">
      <c r="A66" t="s">
        <v>61</v>
      </c>
    </row>
    <row r="67" spans="1:2" x14ac:dyDescent="0.3">
      <c r="A67" t="s">
        <v>62</v>
      </c>
      <c r="B67" s="1"/>
    </row>
    <row r="68" spans="1:2" x14ac:dyDescent="0.3">
      <c r="A68" t="s">
        <v>63</v>
      </c>
      <c r="B68" s="1"/>
    </row>
    <row r="69" spans="1:2" x14ac:dyDescent="0.3">
      <c r="A69" t="s">
        <v>64</v>
      </c>
    </row>
    <row r="70" spans="1:2" x14ac:dyDescent="0.3">
      <c r="A70" t="s">
        <v>65</v>
      </c>
    </row>
    <row r="71" spans="1:2" x14ac:dyDescent="0.3">
      <c r="A71" t="s">
        <v>66</v>
      </c>
    </row>
    <row r="72" spans="1:2" x14ac:dyDescent="0.3">
      <c r="A72" t="s">
        <v>67</v>
      </c>
      <c r="B7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2025-09-25T20:22:02Z</dcterms:modified>
</cp:coreProperties>
</file>