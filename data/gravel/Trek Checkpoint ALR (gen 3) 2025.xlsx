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copy/"/>
    </mc:Choice>
  </mc:AlternateContent>
  <xr:revisionPtr revIDLastSave="0" documentId="13_ncr:1_{416289C3-A85D-464B-A55A-240D2CE177B4}" xr6:coauthVersionLast="47" xr6:coauthVersionMax="47" xr10:uidLastSave="{00000000-0000-0000-0000-000000000000}"/>
  <bookViews>
    <workbookView xWindow="2200" yWindow="3060" windowWidth="26600" windowHeight="13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C12" i="1"/>
  <c r="C13" i="1"/>
  <c r="C11" i="1"/>
  <c r="C22" i="1"/>
  <c r="C21" i="1"/>
  <c r="C20" i="1"/>
  <c r="C19" i="1"/>
  <c r="C18" i="1"/>
  <c r="C17" i="1"/>
  <c r="C16" i="1"/>
  <c r="C15" i="1"/>
  <c r="C14" i="1"/>
  <c r="C10" i="1"/>
</calcChain>
</file>

<file path=xl/sharedStrings.xml><?xml version="1.0" encoding="utf-8"?>
<sst xmlns="http://schemas.openxmlformats.org/spreadsheetml/2006/main" count="154" uniqueCount="115">
  <si>
    <t>brand</t>
  </si>
  <si>
    <t>Trek</t>
  </si>
  <si>
    <t>model</t>
  </si>
  <si>
    <t>model year</t>
  </si>
  <si>
    <t>2025</t>
  </si>
  <si>
    <t>input date</t>
  </si>
  <si>
    <t>URL</t>
  </si>
  <si>
    <t>https://www.trekbikes.com/us/en_US/bikes/bikepacking-touring-bikes/checkpoint/checkpoint-sl/checkpoint-sl-7-axs-gen-3/p/55097/?colorCode=reddark</t>
  </si>
  <si>
    <t>13-Jul-2025</t>
  </si>
  <si>
    <t>data_range</t>
  </si>
  <si>
    <t>frame_size</t>
  </si>
  <si>
    <t>Frame size letter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</si>
  <si>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</si>
  <si>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</si>
  <si>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</si>
  <si>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</si>
  <si>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</si>
  <si>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</si>
  <si>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</si>
  <si>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</si>
  <si>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</si>
  <si>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</si>
  <si>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B — Seat tube angle</t>
  </si>
  <si>
    <t>seat_tube_angle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</si>
  <si>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</si>
  <si>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</si>
  <si>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</si>
  <si>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</si>
  <si>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</si>
  <si>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</si>
  <si>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</si>
  <si>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</si>
  <si>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</si>
  <si>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</si>
  <si>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</si>
  <si>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</si>
  <si>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</si>
  <si>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</si>
  <si>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</si>
  <si>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</si>
  <si>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</si>
  <si>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</si>
  <si>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</si>
  <si>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</si>
  <si>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</si>
  <si>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</si>
  <si>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</si>
  <si>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</si>
  <si>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</si>
  <si>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100</t>
  </si>
  <si>
    <t>crank_length</t>
  </si>
  <si>
    <t>tire_width_spec</t>
  </si>
  <si>
    <t>tire_width_max</t>
  </si>
  <si>
    <t>50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</si>
  <si>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</si>
  <si>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</si>
  <si>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</si>
  <si>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</si>
  <si>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</si>
  <si>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</si>
  <si>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</si>
  <si>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</si>
  <si>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</si>
  <si>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</si>
  <si>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</si>
  <si>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40</t>
  </si>
  <si>
    <t>fork_suspension</t>
  </si>
  <si>
    <t>no</t>
  </si>
  <si>
    <t>stem_suspension</t>
  </si>
  <si>
    <t>rear_suspension</t>
  </si>
  <si>
    <t>rear_axle</t>
  </si>
  <si>
    <t>142</t>
  </si>
  <si>
    <t>front_axle</t>
  </si>
  <si>
    <t>bottom_bracket</t>
  </si>
  <si>
    <t>threaded</t>
  </si>
  <si>
    <t>q_factor</t>
  </si>
  <si>
    <t>seatpost_diameter</t>
  </si>
  <si>
    <t>27.2</t>
  </si>
  <si>
    <t>max_chainring_1x</t>
  </si>
  <si>
    <t>44</t>
  </si>
  <si>
    <t>max_chainring_2x</t>
  </si>
  <si>
    <t>46/30</t>
  </si>
  <si>
    <t>rotor_max_front</t>
  </si>
  <si>
    <t>180</t>
  </si>
  <si>
    <t>rotor_max_rear</t>
  </si>
  <si>
    <t>iso_astm</t>
  </si>
  <si>
    <t>routing_shifter</t>
  </si>
  <si>
    <t>internal</t>
  </si>
  <si>
    <t>routing_dropper</t>
  </si>
  <si>
    <t>routing_dynamo</t>
  </si>
  <si>
    <t>front_derailleur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</si>
  <si>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</si>
  <si>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</si>
  <si>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</si>
  <si>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</si>
  <si>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</si>
  <si>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</si>
  <si>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</si>
  <si>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</si>
  <si>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</si>
  <si>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</si>
  <si>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</si>
  <si>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</si>
  <si>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</si>
  <si>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</si>
  <si>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us</t>
  </si>
  <si>
    <t>aluminum</t>
  </si>
  <si>
    <t>a8:h30</t>
  </si>
  <si>
    <t>Checkpoint ALR (gen 3)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</si>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</sst>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0"/>
  <sheetViews>
    <sheetView tabSelected="1" workbookViewId="0">
      <selection activeCell="B2" sqref="B2"/>
    </sheetView>
  </sheetViews>
  <sheetFormatPr baseColWidth="10" defaultRowHeight="20" x14ac:dyDescent="0.3"/>
  <cols>
    <col min="1" max="2" width="19.6640625" customWidth="1"/>
  </cols>
  <sheetData>
    <row r="1" spans="1:24" x14ac:dyDescent="0.3">
      <c r="A1" t="s">
        <v>0</v>
      </c>
      <c r="B1" t="s">
        <v>1</v>
      </c>
    </row>
    <row r="2" spans="1:24" x14ac:dyDescent="0.3">
      <c r="A2" t="s">
        <v>2</v>
      </c>
      <c r="B2" s="1" t="s">
        <v>108</v>
      </c>
    </row>
    <row r="3" spans="1:24" x14ac:dyDescent="0.3">
      <c r="A3" t="s">
        <v>3</v>
      </c>
      <c r="B3" t="s">
        <v>4</v>
      </c>
    </row>
    <row r="4" spans="1:24" x14ac:dyDescent="0.3">
      <c r="A4" t="s">
        <v>5</v>
      </c>
      <c r="B4" t="s">
        <v>8</v>
      </c>
    </row>
    <row r="5" spans="1:24" x14ac:dyDescent="0.3">
      <c r="A5" t="s">
        <v>6</v>
      </c>
      <c r="B5" t="s">
        <v>7</v>
      </c>
    </row>
    <row r="7" spans="1:24" x14ac:dyDescent="0.3">
      <c r="A7" t="s">
        <v>9</v>
      </c>
      <c r="B7" s="1" t="s">
        <v>107</v>
      </c>
    </row>
    <row r="8" spans="1:24" x14ac:dyDescent="0.3">
      <c r="A8" t="s">
        <v>10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  <c r="G8" t="s">
        <v>16</v>
      </c>
      <c r="H8" t="s">
        <v>17</v>
      </c>
      <c r="J8" s="2" t="s">
        <v>11</v>
      </c>
      <c r="K8" s="2" t="s">
        <v>12</v>
      </c>
      <c r="L8" s="2" t="s">
        <v>13</v>
      </c>
      <c r="M8" s="2" t="s">
        <v>14</v>
      </c>
      <c r="N8" s="2" t="s">
        <v>15</v>
      </c>
      <c r="O8" s="2" t="s">
        <v>16</v>
      </c>
      <c r="P8" s="2" t="s">
        <v>17</v>
      </c>
      <c r="Q8" s="2"/>
      <c r="R8" s="2"/>
      <c r="S8" s="2"/>
      <c r="T8" s="2"/>
      <c r="U8" s="2"/>
      <c r="V8" s="2"/>
      <c r="W8" s="2"/>
      <c r="X8" s="2"/>
    </row>
    <row r="9" spans="1:24" x14ac:dyDescent="0.3">
      <c r="A9" t="s">
        <v>18</v>
      </c>
      <c r="B9" t="s">
        <v>19</v>
      </c>
      <c r="C9">
        <v>700</v>
      </c>
      <c r="D9">
        <v>700</v>
      </c>
      <c r="E9">
        <v>700</v>
      </c>
      <c r="F9">
        <v>700</v>
      </c>
      <c r="G9">
        <v>700</v>
      </c>
      <c r="H9">
        <v>700</v>
      </c>
      <c r="Q9" s="3"/>
      <c r="R9" s="3"/>
      <c r="S9" s="3"/>
      <c r="T9" s="3"/>
      <c r="U9" s="3"/>
      <c r="V9" s="3"/>
      <c r="W9" s="3"/>
      <c r="X9" s="3"/>
    </row>
    <row r="10" spans="1:24" x14ac:dyDescent="0.3">
      <c r="A10" t="s">
        <v>20</v>
      </c>
      <c r="B10" s="3" t="s">
        <v>21</v>
      </c>
      <c r="C10">
        <f>K10*10</f>
        <v>490</v>
      </c>
      <c r="D10">
        <f t="shared" ref="D10:H10" si="0">L10*10</f>
        <v>520</v>
      </c>
      <c r="E10">
        <f t="shared" si="0"/>
        <v>540</v>
      </c>
      <c r="F10">
        <f t="shared" si="0"/>
        <v>560</v>
      </c>
      <c r="G10">
        <f t="shared" si="0"/>
        <v>580</v>
      </c>
      <c r="H10">
        <f t="shared" si="0"/>
        <v>610</v>
      </c>
      <c r="J10" s="3" t="s">
        <v>21</v>
      </c>
      <c r="K10" s="3">
        <v>49</v>
      </c>
      <c r="L10" s="3">
        <v>52</v>
      </c>
      <c r="M10" s="3">
        <v>54</v>
      </c>
      <c r="N10" s="3">
        <v>56</v>
      </c>
      <c r="O10" s="3">
        <v>58</v>
      </c>
      <c r="P10" s="3">
        <v>61</v>
      </c>
      <c r="Q10" s="3"/>
      <c r="R10" s="3"/>
      <c r="S10" s="3"/>
      <c r="T10" s="3"/>
      <c r="U10" s="3"/>
      <c r="V10" s="3"/>
      <c r="W10" s="3"/>
      <c r="X10" s="3"/>
    </row>
    <row r="11" spans="1:24" x14ac:dyDescent="0.3">
      <c r="A11" t="s">
        <v>23</v>
      </c>
      <c r="B11" s="3" t="s">
        <v>22</v>
      </c>
      <c r="C11">
        <f>K11</f>
        <v>74.099999999999994</v>
      </c>
      <c r="D11">
        <f t="shared" ref="D11:H11" si="1">L11</f>
        <v>73.7</v>
      </c>
      <c r="E11">
        <f t="shared" si="1"/>
        <v>73.2</v>
      </c>
      <c r="F11">
        <f t="shared" si="1"/>
        <v>72.8</v>
      </c>
      <c r="G11">
        <f t="shared" si="1"/>
        <v>72.5</v>
      </c>
      <c r="H11">
        <f t="shared" si="1"/>
        <v>72.099999999999994</v>
      </c>
      <c r="J11" s="3" t="s">
        <v>22</v>
      </c>
      <c r="K11" s="3">
        <v>74.099999999999994</v>
      </c>
      <c r="L11" s="3">
        <v>73.7</v>
      </c>
      <c r="M11" s="3">
        <v>73.2</v>
      </c>
      <c r="N11" s="3">
        <v>72.8</v>
      </c>
      <c r="O11" s="3">
        <v>72.5</v>
      </c>
      <c r="P11" s="3">
        <v>72.099999999999994</v>
      </c>
      <c r="Q11" s="3"/>
      <c r="R11" s="3"/>
      <c r="S11" s="3"/>
      <c r="T11" s="3"/>
      <c r="U11" s="3"/>
      <c r="V11" s="3"/>
      <c r="W11" s="3"/>
      <c r="X11" s="3"/>
    </row>
    <row r="12" spans="1:24" x14ac:dyDescent="0.3">
      <c r="A12" t="s">
        <v>24</v>
      </c>
      <c r="B12" s="3" t="s">
        <v>25</v>
      </c>
      <c r="C12">
        <f>K12*10</f>
        <v>96</v>
      </c>
      <c r="D12">
        <f t="shared" ref="D12:H12" si="2">L12*10</f>
        <v>117</v>
      </c>
      <c r="E12">
        <f t="shared" si="2"/>
        <v>140</v>
      </c>
      <c r="F12">
        <f t="shared" si="2"/>
        <v>162</v>
      </c>
      <c r="G12">
        <f t="shared" si="2"/>
        <v>181</v>
      </c>
      <c r="H12">
        <f t="shared" si="2"/>
        <v>201</v>
      </c>
      <c r="J12" s="3" t="s">
        <v>25</v>
      </c>
      <c r="K12" s="3">
        <v>9.6</v>
      </c>
      <c r="L12" s="3">
        <v>11.7</v>
      </c>
      <c r="M12" s="3">
        <v>14</v>
      </c>
      <c r="N12" s="3">
        <v>16.2</v>
      </c>
      <c r="O12" s="3">
        <v>18.100000000000001</v>
      </c>
      <c r="P12" s="3">
        <v>20.100000000000001</v>
      </c>
      <c r="Q12" s="3"/>
      <c r="R12" s="3"/>
      <c r="S12" s="3"/>
      <c r="T12" s="3"/>
      <c r="U12" s="3"/>
      <c r="V12" s="3"/>
      <c r="W12" s="3"/>
      <c r="X12" s="3"/>
    </row>
    <row r="13" spans="1:24" x14ac:dyDescent="0.3">
      <c r="A13" t="s">
        <v>26</v>
      </c>
      <c r="B13" s="3" t="s">
        <v>27</v>
      </c>
      <c r="C13">
        <f t="shared" ref="C13" si="3">K13</f>
        <v>71.2</v>
      </c>
      <c r="D13">
        <f t="shared" ref="D13" si="4">L13</f>
        <v>71.599999999999994</v>
      </c>
      <c r="E13">
        <f t="shared" ref="E13" si="5">M13</f>
        <v>71.8</v>
      </c>
      <c r="F13">
        <f t="shared" ref="F13" si="6">N13</f>
        <v>72.2</v>
      </c>
      <c r="G13">
        <f t="shared" ref="G13" si="7">O13</f>
        <v>72.3</v>
      </c>
      <c r="H13">
        <f t="shared" ref="H13" si="8">P13</f>
        <v>72.599999999999994</v>
      </c>
      <c r="J13" s="3" t="s">
        <v>27</v>
      </c>
      <c r="K13" s="3">
        <v>71.2</v>
      </c>
      <c r="L13" s="3">
        <v>71.599999999999994</v>
      </c>
      <c r="M13" s="3">
        <v>71.8</v>
      </c>
      <c r="N13" s="3">
        <v>72.2</v>
      </c>
      <c r="O13" s="3">
        <v>72.3</v>
      </c>
      <c r="P13" s="3">
        <v>72.599999999999994</v>
      </c>
      <c r="Q13" s="3"/>
      <c r="R13" s="3"/>
      <c r="S13" s="3"/>
      <c r="T13" s="3"/>
      <c r="U13" s="3"/>
      <c r="V13" s="3"/>
      <c r="W13" s="3"/>
      <c r="X13" s="3"/>
    </row>
    <row r="14" spans="1:24" x14ac:dyDescent="0.3">
      <c r="A14" t="s">
        <v>28</v>
      </c>
      <c r="B14" s="3" t="s">
        <v>29</v>
      </c>
      <c r="C14">
        <f t="shared" ref="C14:C22" si="9">K14*10</f>
        <v>536</v>
      </c>
      <c r="D14">
        <f t="shared" ref="D14:D22" si="10">L14*10</f>
        <v>548</v>
      </c>
      <c r="E14">
        <f t="shared" ref="E14:E22" si="11">M14*10</f>
        <v>568</v>
      </c>
      <c r="F14">
        <f t="shared" ref="F14:F22" si="12">N14*10</f>
        <v>580</v>
      </c>
      <c r="G14">
        <f t="shared" ref="G14:G22" si="13">O14*10</f>
        <v>592</v>
      </c>
      <c r="H14">
        <f t="shared" ref="H14:H22" si="14">P14*10</f>
        <v>604</v>
      </c>
      <c r="J14" s="3" t="s">
        <v>29</v>
      </c>
      <c r="K14" s="3">
        <v>53.6</v>
      </c>
      <c r="L14" s="3">
        <v>54.8</v>
      </c>
      <c r="M14" s="3">
        <v>56.8</v>
      </c>
      <c r="N14" s="3">
        <v>58</v>
      </c>
      <c r="O14" s="3">
        <v>59.2</v>
      </c>
      <c r="P14" s="3">
        <v>60.4</v>
      </c>
      <c r="Q14" s="3"/>
      <c r="R14" s="3"/>
      <c r="S14" s="3"/>
      <c r="T14" s="3"/>
      <c r="U14" s="3"/>
      <c r="V14" s="3"/>
      <c r="W14" s="3"/>
      <c r="X14" s="3"/>
    </row>
    <row r="15" spans="1:24" x14ac:dyDescent="0.3">
      <c r="A15" t="s">
        <v>30</v>
      </c>
      <c r="B15" s="3" t="s">
        <v>31</v>
      </c>
      <c r="C15">
        <f t="shared" si="9"/>
        <v>78</v>
      </c>
      <c r="D15">
        <f t="shared" si="10"/>
        <v>78</v>
      </c>
      <c r="E15">
        <f t="shared" si="11"/>
        <v>76</v>
      </c>
      <c r="F15">
        <f t="shared" si="12"/>
        <v>76</v>
      </c>
      <c r="G15">
        <f t="shared" si="13"/>
        <v>74</v>
      </c>
      <c r="H15">
        <f t="shared" si="14"/>
        <v>74</v>
      </c>
      <c r="J15" s="3" t="s">
        <v>31</v>
      </c>
      <c r="K15" s="3">
        <v>7.8</v>
      </c>
      <c r="L15" s="3">
        <v>7.8</v>
      </c>
      <c r="M15" s="3">
        <v>7.6</v>
      </c>
      <c r="N15" s="3">
        <v>7.6</v>
      </c>
      <c r="O15" s="3">
        <v>7.4</v>
      </c>
      <c r="P15" s="3">
        <v>7.4</v>
      </c>
    </row>
    <row r="16" spans="1:24" x14ac:dyDescent="0.3">
      <c r="A16" t="s">
        <v>32</v>
      </c>
      <c r="B16" t="s">
        <v>33</v>
      </c>
      <c r="C16">
        <f t="shared" si="9"/>
        <v>435</v>
      </c>
      <c r="D16">
        <f t="shared" si="10"/>
        <v>435</v>
      </c>
      <c r="E16">
        <f t="shared" si="11"/>
        <v>435</v>
      </c>
      <c r="F16">
        <f t="shared" si="12"/>
        <v>435</v>
      </c>
      <c r="G16">
        <f t="shared" si="13"/>
        <v>435</v>
      </c>
      <c r="H16">
        <f t="shared" si="14"/>
        <v>435</v>
      </c>
      <c r="J16" t="s">
        <v>33</v>
      </c>
      <c r="K16">
        <v>43.5</v>
      </c>
      <c r="L16">
        <v>43.5</v>
      </c>
      <c r="M16">
        <v>43.5</v>
      </c>
      <c r="N16">
        <v>43.5</v>
      </c>
      <c r="O16">
        <v>43.5</v>
      </c>
      <c r="P16">
        <v>43.5</v>
      </c>
    </row>
    <row r="17" spans="1:16" x14ac:dyDescent="0.3">
      <c r="A17" t="s">
        <v>34</v>
      </c>
      <c r="B17" s="2" t="s">
        <v>35</v>
      </c>
      <c r="C17">
        <f t="shared" si="9"/>
        <v>49</v>
      </c>
      <c r="D17">
        <f t="shared" si="10"/>
        <v>49</v>
      </c>
      <c r="E17">
        <f t="shared" si="11"/>
        <v>49</v>
      </c>
      <c r="F17">
        <f t="shared" si="12"/>
        <v>49</v>
      </c>
      <c r="G17">
        <f t="shared" si="13"/>
        <v>49</v>
      </c>
      <c r="H17">
        <f t="shared" si="14"/>
        <v>49</v>
      </c>
      <c r="J17" s="2" t="s">
        <v>35</v>
      </c>
      <c r="K17" s="3">
        <v>4.9000000000000004</v>
      </c>
      <c r="L17" s="3">
        <v>4.9000000000000004</v>
      </c>
      <c r="M17" s="3">
        <v>4.9000000000000004</v>
      </c>
      <c r="N17" s="3">
        <v>4.9000000000000004</v>
      </c>
      <c r="O17" s="3">
        <v>4.9000000000000004</v>
      </c>
      <c r="P17" s="3">
        <v>4.9000000000000004</v>
      </c>
    </row>
    <row r="18" spans="1:16" x14ac:dyDescent="0.3">
      <c r="A18" t="s">
        <v>36</v>
      </c>
      <c r="B18" s="2" t="s">
        <v>37</v>
      </c>
      <c r="C18">
        <f t="shared" si="9"/>
        <v>74</v>
      </c>
      <c r="D18">
        <f t="shared" si="10"/>
        <v>71</v>
      </c>
      <c r="E18">
        <f t="shared" si="11"/>
        <v>70</v>
      </c>
      <c r="F18">
        <f t="shared" si="12"/>
        <v>67</v>
      </c>
      <c r="G18">
        <f t="shared" si="13"/>
        <v>66</v>
      </c>
      <c r="H18">
        <f t="shared" si="14"/>
        <v>65</v>
      </c>
      <c r="J18" s="2" t="s">
        <v>37</v>
      </c>
      <c r="K18" s="3">
        <v>7.4</v>
      </c>
      <c r="L18" s="3">
        <v>7.1</v>
      </c>
      <c r="M18" s="3">
        <v>7</v>
      </c>
      <c r="N18" s="3">
        <v>6.7</v>
      </c>
      <c r="O18" s="3">
        <v>6.6</v>
      </c>
      <c r="P18" s="3">
        <v>6.5</v>
      </c>
    </row>
    <row r="19" spans="1:16" x14ac:dyDescent="0.3">
      <c r="A19" t="s">
        <v>38</v>
      </c>
      <c r="B19" s="2" t="s">
        <v>39</v>
      </c>
      <c r="C19">
        <f t="shared" si="9"/>
        <v>1025</v>
      </c>
      <c r="D19">
        <f t="shared" si="10"/>
        <v>1033</v>
      </c>
      <c r="E19">
        <f t="shared" si="11"/>
        <v>1041</v>
      </c>
      <c r="F19">
        <f t="shared" si="12"/>
        <v>1048</v>
      </c>
      <c r="G19">
        <f t="shared" si="13"/>
        <v>1058</v>
      </c>
      <c r="H19">
        <f t="shared" si="14"/>
        <v>1070</v>
      </c>
      <c r="J19" s="2" t="s">
        <v>39</v>
      </c>
      <c r="K19" s="3">
        <v>102.5</v>
      </c>
      <c r="L19" s="3">
        <v>103.3</v>
      </c>
      <c r="M19" s="3">
        <v>104.1</v>
      </c>
      <c r="N19" s="3">
        <v>104.8</v>
      </c>
      <c r="O19" s="3">
        <v>105.8</v>
      </c>
      <c r="P19" s="3">
        <v>107</v>
      </c>
    </row>
    <row r="20" spans="1:16" x14ac:dyDescent="0.3">
      <c r="A20" t="s">
        <v>40</v>
      </c>
      <c r="B20" s="2" t="s">
        <v>41</v>
      </c>
      <c r="C20">
        <f t="shared" si="9"/>
        <v>735</v>
      </c>
      <c r="D20">
        <f t="shared" si="10"/>
        <v>765</v>
      </c>
      <c r="E20">
        <f t="shared" si="11"/>
        <v>789</v>
      </c>
      <c r="F20">
        <f t="shared" si="12"/>
        <v>809</v>
      </c>
      <c r="G20">
        <f t="shared" si="13"/>
        <v>829</v>
      </c>
      <c r="H20">
        <f t="shared" si="14"/>
        <v>859</v>
      </c>
      <c r="J20" s="2" t="s">
        <v>41</v>
      </c>
      <c r="K20" s="3">
        <v>73.5</v>
      </c>
      <c r="L20" s="3">
        <v>76.5</v>
      </c>
      <c r="M20" s="3">
        <v>78.900000000000006</v>
      </c>
      <c r="N20" s="3">
        <v>80.900000000000006</v>
      </c>
      <c r="O20" s="3">
        <v>82.9</v>
      </c>
      <c r="P20" s="3">
        <v>85.9</v>
      </c>
    </row>
    <row r="21" spans="1:16" x14ac:dyDescent="0.3">
      <c r="A21" t="s">
        <v>42</v>
      </c>
      <c r="B21" s="2" t="s">
        <v>43</v>
      </c>
      <c r="C21">
        <f t="shared" si="9"/>
        <v>380</v>
      </c>
      <c r="D21">
        <f t="shared" si="10"/>
        <v>385</v>
      </c>
      <c r="E21">
        <f t="shared" si="11"/>
        <v>391</v>
      </c>
      <c r="F21">
        <f t="shared" si="12"/>
        <v>397</v>
      </c>
      <c r="G21">
        <f t="shared" si="13"/>
        <v>402</v>
      </c>
      <c r="H21">
        <f t="shared" si="14"/>
        <v>408</v>
      </c>
      <c r="J21" s="2" t="s">
        <v>43</v>
      </c>
      <c r="K21" s="3">
        <v>38</v>
      </c>
      <c r="L21" s="3">
        <v>38.5</v>
      </c>
      <c r="M21" s="3">
        <v>39.1</v>
      </c>
      <c r="N21" s="3">
        <v>39.700000000000003</v>
      </c>
      <c r="O21" s="3">
        <v>40.200000000000003</v>
      </c>
      <c r="P21" s="3">
        <v>40.799999999999997</v>
      </c>
    </row>
    <row r="22" spans="1:16" x14ac:dyDescent="0.3">
      <c r="A22" t="s">
        <v>44</v>
      </c>
      <c r="B22" s="2" t="s">
        <v>45</v>
      </c>
      <c r="C22">
        <f t="shared" si="9"/>
        <v>545</v>
      </c>
      <c r="D22">
        <f t="shared" si="10"/>
        <v>566</v>
      </c>
      <c r="E22">
        <f t="shared" si="11"/>
        <v>589</v>
      </c>
      <c r="F22">
        <f t="shared" si="12"/>
        <v>611</v>
      </c>
      <c r="G22">
        <f t="shared" si="13"/>
        <v>630</v>
      </c>
      <c r="H22">
        <f t="shared" si="14"/>
        <v>650</v>
      </c>
      <c r="J22" s="2" t="s">
        <v>45</v>
      </c>
      <c r="K22" s="3">
        <v>54.5</v>
      </c>
      <c r="L22" s="3">
        <v>56.6</v>
      </c>
      <c r="M22" s="3">
        <v>58.9</v>
      </c>
      <c r="N22" s="3">
        <v>61.1</v>
      </c>
      <c r="O22" s="3">
        <v>63</v>
      </c>
      <c r="P22" s="3">
        <v>65</v>
      </c>
    </row>
    <row r="23" spans="1:16" x14ac:dyDescent="0.3">
      <c r="A23" t="s">
        <v>46</v>
      </c>
      <c r="B23" t="s">
        <v>46</v>
      </c>
      <c r="C23">
        <v>415</v>
      </c>
      <c r="D23">
        <v>415</v>
      </c>
      <c r="E23">
        <v>415</v>
      </c>
      <c r="F23">
        <v>415</v>
      </c>
      <c r="G23">
        <v>415</v>
      </c>
      <c r="H23">
        <v>415</v>
      </c>
      <c r="J23" s="2"/>
      <c r="K23" s="3"/>
      <c r="L23" s="3"/>
      <c r="M23" s="3"/>
      <c r="N23" s="3"/>
      <c r="O23" s="3"/>
      <c r="P23" s="3"/>
    </row>
    <row r="24" spans="1:16" x14ac:dyDescent="0.3">
      <c r="A24" t="s">
        <v>47</v>
      </c>
      <c r="B24" t="s">
        <v>47</v>
      </c>
      <c r="J24" s="2"/>
      <c r="K24" s="3"/>
      <c r="L24" s="3"/>
      <c r="M24" s="3"/>
      <c r="N24" s="3"/>
      <c r="O24" s="3"/>
      <c r="P24" s="3"/>
    </row>
    <row r="25" spans="1:16" x14ac:dyDescent="0.3">
      <c r="A25" t="s">
        <v>48</v>
      </c>
      <c r="B25" t="s">
        <v>48</v>
      </c>
      <c r="C25">
        <v>70</v>
      </c>
      <c r="D25">
        <v>80</v>
      </c>
      <c r="E25">
        <v>80</v>
      </c>
      <c r="F25">
        <v>90</v>
      </c>
      <c r="G25">
        <v>90</v>
      </c>
      <c r="H25">
        <v>100</v>
      </c>
      <c r="J25" s="2"/>
      <c r="K25" s="3"/>
      <c r="L25" s="3"/>
      <c r="M25" s="3"/>
      <c r="N25" s="3"/>
      <c r="O25" s="3"/>
      <c r="P25" s="3"/>
    </row>
    <row r="26" spans="1:16" x14ac:dyDescent="0.3">
      <c r="A26" t="s">
        <v>50</v>
      </c>
      <c r="B26" t="s">
        <v>50</v>
      </c>
      <c r="J26" s="2"/>
      <c r="K26" s="3"/>
      <c r="L26" s="3"/>
      <c r="M26" s="3"/>
      <c r="N26" s="3"/>
      <c r="O26" s="3"/>
      <c r="P26" s="3"/>
    </row>
    <row r="27" spans="1:16" x14ac:dyDescent="0.3">
      <c r="A27" t="s">
        <v>51</v>
      </c>
      <c r="B27" t="s">
        <v>51</v>
      </c>
      <c r="C27">
        <v>42</v>
      </c>
      <c r="D27">
        <v>42</v>
      </c>
      <c r="E27">
        <v>42</v>
      </c>
      <c r="F27">
        <v>42</v>
      </c>
      <c r="G27">
        <v>42</v>
      </c>
      <c r="H27">
        <v>42</v>
      </c>
      <c r="J27" s="2"/>
      <c r="K27" s="3"/>
      <c r="L27" s="3"/>
      <c r="M27" s="3"/>
      <c r="N27" s="3"/>
      <c r="O27" s="3"/>
      <c r="P27" s="3"/>
    </row>
    <row r="28" spans="1:16" x14ac:dyDescent="0.3">
      <c r="A28" t="s">
        <v>52</v>
      </c>
      <c r="B28" t="s">
        <v>52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J28" s="2"/>
      <c r="K28" s="3"/>
      <c r="L28" s="3"/>
      <c r="M28" s="3"/>
      <c r="N28" s="3"/>
      <c r="O28" s="3"/>
      <c r="P28" s="3"/>
    </row>
    <row r="29" spans="1:16" x14ac:dyDescent="0.3">
      <c r="A29" t="s">
        <v>54</v>
      </c>
      <c r="B29" t="s">
        <v>54</v>
      </c>
      <c r="C29">
        <v>143</v>
      </c>
      <c r="D29">
        <v>158</v>
      </c>
      <c r="E29">
        <v>164</v>
      </c>
      <c r="F29">
        <v>177</v>
      </c>
      <c r="G29">
        <v>188</v>
      </c>
      <c r="H29">
        <v>194</v>
      </c>
      <c r="J29" s="2"/>
      <c r="K29" s="3"/>
      <c r="L29" s="3"/>
      <c r="M29" s="3"/>
      <c r="N29" s="3"/>
      <c r="O29" s="3"/>
      <c r="P29" s="3"/>
    </row>
    <row r="30" spans="1:16" x14ac:dyDescent="0.3">
      <c r="A30" t="s">
        <v>55</v>
      </c>
      <c r="B30" t="s">
        <v>55</v>
      </c>
      <c r="C30">
        <v>158</v>
      </c>
      <c r="D30">
        <v>164</v>
      </c>
      <c r="E30">
        <v>177</v>
      </c>
      <c r="F30">
        <v>188</v>
      </c>
      <c r="G30">
        <v>194</v>
      </c>
      <c r="H30">
        <v>203</v>
      </c>
    </row>
    <row r="32" spans="1:16" x14ac:dyDescent="0.3">
      <c r="A32" t="s">
        <v>56</v>
      </c>
      <c r="B32" t="s">
        <v>57</v>
      </c>
    </row>
    <row r="33" spans="1:2" x14ac:dyDescent="0.3">
      <c r="A33" t="s">
        <v>109</v>
      </c>
      <c r="B33" t="s">
        <v>110</v>
      </c>
    </row>
    <row r="34" spans="1:2" x14ac:dyDescent="0.3">
      <c r="A34" t="s">
        <v>111</v>
      </c>
      <c r="B34" t="s">
        <v>112</v>
      </c>
    </row>
    <row r="35" spans="1:2" x14ac:dyDescent="0.3">
      <c r="A35" t="s">
        <v>113</v>
      </c>
      <c r="B35" t="s">
        <v>114</v>
      </c>
    </row>
    <row r="36" spans="1:2" x14ac:dyDescent="0.3">
      <c r="A36" t="s">
        <v>58</v>
      </c>
      <c r="B36" s="1" t="s">
        <v>106</v>
      </c>
    </row>
    <row r="37" spans="1:2" x14ac:dyDescent="0.3">
      <c r="A37" t="s">
        <v>59</v>
      </c>
      <c r="B37" t="s">
        <v>60</v>
      </c>
    </row>
    <row r="38" spans="1:2" x14ac:dyDescent="0.3">
      <c r="A38" t="s">
        <v>61</v>
      </c>
    </row>
    <row r="39" spans="1:2" x14ac:dyDescent="0.3">
      <c r="A39" t="s">
        <v>62</v>
      </c>
      <c r="B39" t="s">
        <v>53</v>
      </c>
    </row>
    <row r="40" spans="1:2" x14ac:dyDescent="0.3">
      <c r="A40" t="s">
        <v>63</v>
      </c>
    </row>
    <row r="41" spans="1:2" x14ac:dyDescent="0.3">
      <c r="A41" t="s">
        <v>64</v>
      </c>
      <c r="B41" t="s">
        <v>65</v>
      </c>
    </row>
    <row r="42" spans="1:2" x14ac:dyDescent="0.3">
      <c r="A42" t="s">
        <v>66</v>
      </c>
      <c r="B42" t="s">
        <v>67</v>
      </c>
    </row>
    <row r="43" spans="1:2" x14ac:dyDescent="0.3">
      <c r="A43" t="s">
        <v>68</v>
      </c>
      <c r="B43" t="s">
        <v>67</v>
      </c>
    </row>
    <row r="44" spans="1:2" x14ac:dyDescent="0.3">
      <c r="A44" t="s">
        <v>69</v>
      </c>
      <c r="B44" t="s">
        <v>60</v>
      </c>
    </row>
    <row r="45" spans="1:2" x14ac:dyDescent="0.3">
      <c r="A45" t="s">
        <v>70</v>
      </c>
      <c r="B45" t="s">
        <v>71</v>
      </c>
    </row>
    <row r="46" spans="1:2" x14ac:dyDescent="0.3">
      <c r="A46" t="s">
        <v>72</v>
      </c>
      <c r="B46" t="s">
        <v>49</v>
      </c>
    </row>
    <row r="47" spans="1:2" x14ac:dyDescent="0.3">
      <c r="A47" t="s">
        <v>73</v>
      </c>
      <c r="B47" t="s">
        <v>74</v>
      </c>
    </row>
    <row r="48" spans="1:2" x14ac:dyDescent="0.3">
      <c r="A48" t="s">
        <v>75</v>
      </c>
    </row>
    <row r="49" spans="1:2" x14ac:dyDescent="0.3">
      <c r="A49" t="s">
        <v>76</v>
      </c>
      <c r="B49" t="s">
        <v>77</v>
      </c>
    </row>
    <row r="50" spans="1:2" x14ac:dyDescent="0.3">
      <c r="A50" t="s">
        <v>78</v>
      </c>
      <c r="B50" t="s">
        <v>79</v>
      </c>
    </row>
    <row r="51" spans="1:2" x14ac:dyDescent="0.3">
      <c r="A51" t="s">
        <v>80</v>
      </c>
      <c r="B51" t="s">
        <v>81</v>
      </c>
    </row>
    <row r="52" spans="1:2" x14ac:dyDescent="0.3">
      <c r="A52" t="s">
        <v>82</v>
      </c>
      <c r="B52" t="s">
        <v>83</v>
      </c>
    </row>
    <row r="53" spans="1:2" x14ac:dyDescent="0.3">
      <c r="A53" t="s">
        <v>84</v>
      </c>
      <c r="B53" t="s">
        <v>83</v>
      </c>
    </row>
    <row r="54" spans="1:2" x14ac:dyDescent="0.3">
      <c r="A54" t="s">
        <v>85</v>
      </c>
    </row>
    <row r="55" spans="1:2" x14ac:dyDescent="0.3">
      <c r="A55" t="s">
        <v>86</v>
      </c>
      <c r="B55" t="s">
        <v>87</v>
      </c>
    </row>
    <row r="56" spans="1:2" x14ac:dyDescent="0.3">
      <c r="A56" t="s">
        <v>88</v>
      </c>
      <c r="B56" t="s">
        <v>60</v>
      </c>
    </row>
    <row r="57" spans="1:2" x14ac:dyDescent="0.3">
      <c r="A57" t="s">
        <v>89</v>
      </c>
    </row>
    <row r="58" spans="1:2" x14ac:dyDescent="0.3">
      <c r="A58" t="s">
        <v>90</v>
      </c>
      <c r="B58" t="s">
        <v>60</v>
      </c>
    </row>
    <row r="59" spans="1:2" x14ac:dyDescent="0.3">
      <c r="A59" t="s">
        <v>91</v>
      </c>
      <c r="B59" t="s">
        <v>60</v>
      </c>
    </row>
    <row r="60" spans="1:2" x14ac:dyDescent="0.3">
      <c r="A60" t="s">
        <v>92</v>
      </c>
      <c r="B60" t="s">
        <v>93</v>
      </c>
    </row>
    <row r="61" spans="1:2" x14ac:dyDescent="0.3">
      <c r="A61" t="s">
        <v>94</v>
      </c>
      <c r="B61" t="s">
        <v>95</v>
      </c>
    </row>
    <row r="62" spans="1:2" x14ac:dyDescent="0.3">
      <c r="A62" t="s">
        <v>96</v>
      </c>
      <c r="B62" t="s">
        <v>95</v>
      </c>
    </row>
    <row r="63" spans="1:2" x14ac:dyDescent="0.3">
      <c r="A63" t="s">
        <v>97</v>
      </c>
      <c r="B63" t="s">
        <v>60</v>
      </c>
    </row>
    <row r="64" spans="1:2" x14ac:dyDescent="0.3">
      <c r="A64" t="s">
        <v>98</v>
      </c>
      <c r="B64" t="s">
        <v>60</v>
      </c>
    </row>
    <row r="65" spans="1:2" x14ac:dyDescent="0.3">
      <c r="A65" t="s">
        <v>99</v>
      </c>
      <c r="B65" s="1" t="s">
        <v>60</v>
      </c>
    </row>
    <row r="66" spans="1:2" x14ac:dyDescent="0.3">
      <c r="A66" t="s">
        <v>100</v>
      </c>
      <c r="B66" s="1" t="s">
        <v>60</v>
      </c>
    </row>
    <row r="67" spans="1:2" x14ac:dyDescent="0.3">
      <c r="A67" t="s">
        <v>101</v>
      </c>
      <c r="B67">
        <v>1049.99</v>
      </c>
    </row>
    <row r="68" spans="1:2" x14ac:dyDescent="0.3">
      <c r="A68" t="s">
        <v>102</v>
      </c>
      <c r="B68">
        <v>1499.99</v>
      </c>
    </row>
    <row r="69" spans="1:2" x14ac:dyDescent="0.3">
      <c r="A69" t="s">
        <v>103</v>
      </c>
    </row>
    <row r="70" spans="1:2" x14ac:dyDescent="0.3">
      <c r="A70" t="s">
        <v>104</v>
      </c>
      <c r="B70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2025-08-13T01:13:34Z</dcterms:modified>
</cp:coreProperties>
</file>