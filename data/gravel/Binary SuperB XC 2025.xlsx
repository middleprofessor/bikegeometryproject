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921F462-8F24-EF4F-A0A1-A9E733A3D443}" xr6:coauthVersionLast="47" xr6:coauthVersionMax="47" xr10:uidLastSave="{00000000-0000-0000-0000-000000000000}"/>
  <bookViews>
    <workbookView xWindow="3540" yWindow="1020" windowWidth="25260" windowHeight="16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E15" i="1"/>
  <c r="F15" i="1"/>
  <c r="C15" i="1"/>
</calcChain>
</file>

<file path=xl/sharedStrings.xml><?xml version="1.0" encoding="utf-8"?>
<sst xmlns="http://schemas.openxmlformats.org/spreadsheetml/2006/main" count="110" uniqueCount="108">
  <si>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</si>
  <si>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</si>
  <si>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</si>
  <si>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</si>
  <si>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</si>
  <si>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</si>
  <si>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</si>
  <si>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</si>
  <si>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wheel_size</t>
  </si>
  <si>
    <t>seat_tube_length</t>
  </si>
  <si>
    <t>seat_tube_angle</t>
  </si>
  <si>
    <t>head_tube_length</t>
  </si>
  <si>
    <t>head_tube_angle</t>
  </si>
  <si>
    <t>top_tube_effective_length</t>
  </si>
  <si>
    <t>bottom_bracket_drop</t>
  </si>
  <si>
    <t>chainstay_length</t>
  </si>
  <si>
    <t>fork_offset_rake</t>
  </si>
  <si>
    <t>trail</t>
  </si>
  <si>
    <t>wheelbase</t>
  </si>
  <si>
    <t>standover</t>
  </si>
  <si>
    <t>reach</t>
  </si>
  <si>
    <t>stack</t>
  </si>
  <si>
    <t>axle_crown</t>
  </si>
  <si>
    <t>handlebar_width</t>
  </si>
  <si>
    <t>stem_length</t>
  </si>
  <si>
    <t>crank_length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</si>
  <si>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</si>
  <si>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</si>
  <si>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</si>
  <si>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</si>
  <si>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</si>
  <si>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</si>
  <si>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</si>
  <si>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</si>
  <si>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</si>
  <si>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</si>
  <si>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</si>
  <si>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</si>
  <si>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</si>
  <si>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</si>
  <si>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</si>
  <si>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</si>
  <si>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</si>
  <si>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</si>
  <si>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</si>
  <si>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</si>
  <si>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</si>
  <si>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</si>
  <si>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</si>
  <si>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</si>
  <si>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</si>
  <si>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</si>
  <si>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</si>
  <si>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</si>
  <si>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</si>
  <si>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front_derailleur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</si>
  <si>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</si>
  <si>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</si>
  <si>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</si>
  <si>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</si>
  <si>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</si>
  <si>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</si>
  <si>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</si>
  <si>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</si>
  <si>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</si>
  <si>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</si>
  <si>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</si>
  <si>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</si>
  <si>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</si>
  <si>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</si>
  <si>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</si>
  <si>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</si>
  <si>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frame_weight</t>
  </si>
  <si>
    <t>rigid</t>
  </si>
  <si>
    <t>Size</t>
  </si>
  <si>
    <t>Reach</t>
  </si>
  <si>
    <t>Stack</t>
  </si>
  <si>
    <t>Head Tube Angle</t>
  </si>
  <si>
    <t>BB Drop</t>
  </si>
  <si>
    <t>Chainstay Length</t>
  </si>
  <si>
    <t>Wheelbase</t>
  </si>
  <si>
    <t>Head Tube Length</t>
  </si>
  <si>
    <t>Seat Tube Length</t>
  </si>
  <si>
    <t>front_center</t>
  </si>
  <si>
    <t>USD</t>
  </si>
  <si>
    <t>Binary</t>
  </si>
  <si>
    <t>Effective Top Tube Length</t>
  </si>
  <si>
    <t>Seat Tube Angle</t>
  </si>
  <si>
    <t>Fork Length</t>
  </si>
  <si>
    <t>Fork Offset</t>
  </si>
  <si>
    <t>Standover</t>
  </si>
  <si>
    <t>titanium</t>
  </si>
  <si>
    <t>frame only</t>
  </si>
  <si>
    <t>threaded 73</t>
  </si>
  <si>
    <t>internal</t>
  </si>
  <si>
    <t>external</t>
  </si>
  <si>
    <t>Front Center</t>
  </si>
  <si>
    <t>flat bar</t>
  </si>
  <si>
    <t>S</t>
  </si>
  <si>
    <t>M</t>
  </si>
  <si>
    <t>L</t>
  </si>
  <si>
    <t>XL</t>
  </si>
  <si>
    <t>430-445</t>
  </si>
  <si>
    <t>https://binarybicycles.com/product/superb-xc-titanium-mtb-frame/</t>
  </si>
  <si>
    <t>425-440</t>
  </si>
  <si>
    <t>435-450</t>
  </si>
  <si>
    <t>a8:f32</t>
  </si>
  <si>
    <t>SuperB 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</si>
</sst>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313131"/>
      <name val="Arial"/>
      <family val="2"/>
    </font>
    <font>
      <sz val="14"/>
      <color rgb="FF313131"/>
      <name val="Arial"/>
      <family val="2"/>
    </font>
    <font>
      <u/>
      <sz val="14"/>
      <color theme="10"/>
      <name val="Futura"/>
      <family val="2"/>
    </font>
    <font>
      <sz val="14"/>
      <color rgb="FF000000"/>
      <name val="Futura Medium"/>
    </font>
    <font>
      <sz val="14"/>
      <color rgb="FF313131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1"/>
    <xf numFmtId="0" fontId="5" fillId="0" borderId="0" xfId="0" applyFont="1"/>
    <xf numFmtId="0" fontId="6" fillId="0" borderId="0" xfId="0" applyFont="1"/>
    <xf numFmtId="1" fontId="0" fillId="0" borderId="0" xfId="0" applyNumberFormat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2"/>
  <sheetViews>
    <sheetView tabSelected="1" zoomScaleNormal="100" workbookViewId="0">
      <selection activeCell="B2" sqref="B2"/>
    </sheetView>
  </sheetViews>
  <sheetFormatPr baseColWidth="10" defaultRowHeight="20" x14ac:dyDescent="0.3"/>
  <cols>
    <col min="1" max="2" width="19.6640625" customWidth="1"/>
  </cols>
  <sheetData>
    <row r="1" spans="1:22" x14ac:dyDescent="0.3">
      <c r="A1" t="s">
        <v>0</v>
      </c>
      <c r="B1" s="1" t="s">
        <v>85</v>
      </c>
    </row>
    <row r="2" spans="1:22" x14ac:dyDescent="0.3">
      <c r="A2" t="s">
        <v>1</v>
      </c>
      <c r="B2" s="1" t="s">
        <v>107</v>
      </c>
    </row>
    <row r="3" spans="1:22" x14ac:dyDescent="0.3">
      <c r="A3" t="s">
        <v>2</v>
      </c>
      <c r="B3" t="s">
        <v>3</v>
      </c>
    </row>
    <row r="4" spans="1:22" x14ac:dyDescent="0.3">
      <c r="A4" t="s">
        <v>4</v>
      </c>
      <c r="B4" s="4">
        <v>45929</v>
      </c>
    </row>
    <row r="5" spans="1:22" x14ac:dyDescent="0.3">
      <c r="A5" t="s">
        <v>5</v>
      </c>
      <c r="B5" s="5" t="s">
        <v>103</v>
      </c>
    </row>
    <row r="7" spans="1:22" x14ac:dyDescent="0.3">
      <c r="A7" t="s">
        <v>6</v>
      </c>
      <c r="B7" s="1" t="s">
        <v>106</v>
      </c>
    </row>
    <row r="8" spans="1:22" x14ac:dyDescent="0.3">
      <c r="A8" t="s">
        <v>7</v>
      </c>
      <c r="B8" s="1" t="s">
        <v>74</v>
      </c>
      <c r="C8" s="6" t="s">
        <v>98</v>
      </c>
      <c r="D8" s="6" t="s">
        <v>99</v>
      </c>
      <c r="E8" s="7" t="s">
        <v>100</v>
      </c>
      <c r="F8" s="7" t="s">
        <v>101</v>
      </c>
      <c r="G8" s="7"/>
      <c r="H8" s="7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x14ac:dyDescent="0.3">
      <c r="A9" t="s">
        <v>13</v>
      </c>
      <c r="B9" s="7" t="s">
        <v>86</v>
      </c>
      <c r="C9" s="6">
        <v>586</v>
      </c>
      <c r="D9" s="6">
        <v>624</v>
      </c>
      <c r="E9" s="6">
        <v>638</v>
      </c>
      <c r="F9" s="6">
        <v>652</v>
      </c>
      <c r="G9" s="6"/>
      <c r="I9" s="3"/>
      <c r="O9" s="3"/>
      <c r="P9" s="3"/>
      <c r="Q9" s="3"/>
      <c r="R9" s="3"/>
      <c r="S9" s="3"/>
      <c r="T9" s="3"/>
      <c r="U9" s="3"/>
      <c r="V9" s="3"/>
    </row>
    <row r="10" spans="1:22" x14ac:dyDescent="0.3">
      <c r="A10" t="s">
        <v>9</v>
      </c>
      <c r="B10" s="7" t="s">
        <v>82</v>
      </c>
      <c r="C10" s="6">
        <v>395</v>
      </c>
      <c r="D10" s="6">
        <v>460</v>
      </c>
      <c r="E10" s="6">
        <v>508</v>
      </c>
      <c r="F10" s="6">
        <v>538</v>
      </c>
      <c r="G10" s="6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x14ac:dyDescent="0.3">
      <c r="A11" s="1" t="s">
        <v>10</v>
      </c>
      <c r="B11" s="7" t="s">
        <v>87</v>
      </c>
      <c r="C11" s="6">
        <v>74.5</v>
      </c>
      <c r="D11" s="6">
        <v>74.5</v>
      </c>
      <c r="E11" s="6">
        <v>74.5</v>
      </c>
      <c r="F11" s="6">
        <v>74.5</v>
      </c>
      <c r="G11" s="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3">
      <c r="A12" t="s">
        <v>11</v>
      </c>
      <c r="B12" s="7" t="s">
        <v>81</v>
      </c>
      <c r="C12" s="6">
        <v>100</v>
      </c>
      <c r="D12" s="6">
        <v>115</v>
      </c>
      <c r="E12" s="6">
        <v>120</v>
      </c>
      <c r="F12" s="6">
        <v>130</v>
      </c>
      <c r="G12" s="6"/>
      <c r="H12" s="6"/>
      <c r="I12" s="6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3">
      <c r="A13" t="s">
        <v>12</v>
      </c>
      <c r="B13" s="6" t="s">
        <v>77</v>
      </c>
      <c r="C13" s="6">
        <v>69</v>
      </c>
      <c r="D13" s="6">
        <v>69</v>
      </c>
      <c r="E13" s="6">
        <v>69</v>
      </c>
      <c r="F13" s="6">
        <v>69</v>
      </c>
      <c r="G13" s="6"/>
      <c r="I13" s="3"/>
      <c r="J13" s="6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x14ac:dyDescent="0.3">
      <c r="A14" t="s">
        <v>14</v>
      </c>
      <c r="B14" s="7" t="s">
        <v>78</v>
      </c>
      <c r="C14">
        <v>60</v>
      </c>
      <c r="D14">
        <v>60</v>
      </c>
      <c r="E14">
        <v>60</v>
      </c>
      <c r="F14">
        <v>60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x14ac:dyDescent="0.3">
      <c r="A15" t="s">
        <v>15</v>
      </c>
      <c r="B15" s="7" t="s">
        <v>79</v>
      </c>
      <c r="C15">
        <f>VALUE(LEFT(H15,3))</f>
        <v>425</v>
      </c>
      <c r="D15">
        <f t="shared" ref="D15:F15" si="0">VALUE(LEFT(I15,3))</f>
        <v>435</v>
      </c>
      <c r="E15">
        <f t="shared" si="0"/>
        <v>435</v>
      </c>
      <c r="F15">
        <f t="shared" si="0"/>
        <v>435</v>
      </c>
      <c r="H15" t="s">
        <v>104</v>
      </c>
      <c r="I15" t="s">
        <v>105</v>
      </c>
      <c r="J15" t="s">
        <v>105</v>
      </c>
      <c r="K15" t="s">
        <v>105</v>
      </c>
      <c r="L15" t="s">
        <v>102</v>
      </c>
      <c r="N15" s="6"/>
      <c r="O15" s="6"/>
      <c r="P15" s="6"/>
    </row>
    <row r="16" spans="1:22" x14ac:dyDescent="0.3">
      <c r="A16" t="s">
        <v>22</v>
      </c>
      <c r="B16" s="7" t="s">
        <v>88</v>
      </c>
      <c r="C16">
        <v>505</v>
      </c>
      <c r="D16">
        <v>505</v>
      </c>
      <c r="E16">
        <v>505</v>
      </c>
      <c r="F16">
        <v>505</v>
      </c>
      <c r="G16" s="6"/>
      <c r="H16" s="6"/>
      <c r="I16" s="6"/>
      <c r="J16" s="6"/>
    </row>
    <row r="17" spans="1:16" x14ac:dyDescent="0.3">
      <c r="A17" t="s">
        <v>16</v>
      </c>
      <c r="B17" s="7" t="s">
        <v>89</v>
      </c>
      <c r="C17">
        <v>51</v>
      </c>
      <c r="D17">
        <v>51</v>
      </c>
      <c r="E17">
        <v>51</v>
      </c>
      <c r="F17">
        <v>51</v>
      </c>
      <c r="J17" s="6"/>
      <c r="K17" s="6"/>
      <c r="L17" s="6"/>
      <c r="M17" s="6"/>
      <c r="N17" s="6"/>
      <c r="P17" s="2"/>
    </row>
    <row r="18" spans="1:16" x14ac:dyDescent="0.3">
      <c r="A18" t="s">
        <v>18</v>
      </c>
      <c r="B18" s="7" t="s">
        <v>80</v>
      </c>
      <c r="C18">
        <v>1100</v>
      </c>
      <c r="D18">
        <v>1150</v>
      </c>
      <c r="E18">
        <v>1173</v>
      </c>
      <c r="F18">
        <v>1189</v>
      </c>
      <c r="J18" s="3"/>
      <c r="K18" s="3"/>
      <c r="L18" s="3"/>
      <c r="M18" s="3"/>
      <c r="N18" s="3"/>
    </row>
    <row r="19" spans="1:16" x14ac:dyDescent="0.3">
      <c r="A19" t="s">
        <v>21</v>
      </c>
      <c r="B19" s="7" t="s">
        <v>76</v>
      </c>
      <c r="C19">
        <v>599</v>
      </c>
      <c r="D19">
        <v>633</v>
      </c>
      <c r="E19">
        <v>637</v>
      </c>
      <c r="F19">
        <v>647</v>
      </c>
    </row>
    <row r="20" spans="1:16" x14ac:dyDescent="0.3">
      <c r="A20" t="s">
        <v>20</v>
      </c>
      <c r="B20" s="7" t="s">
        <v>75</v>
      </c>
      <c r="C20">
        <v>417</v>
      </c>
      <c r="D20">
        <v>444</v>
      </c>
      <c r="E20">
        <v>465</v>
      </c>
      <c r="F20">
        <v>478</v>
      </c>
    </row>
    <row r="21" spans="1:16" x14ac:dyDescent="0.3">
      <c r="A21" s="1" t="s">
        <v>83</v>
      </c>
      <c r="B21" s="1" t="s">
        <v>96</v>
      </c>
      <c r="C21">
        <v>682</v>
      </c>
      <c r="D21" s="8">
        <v>721</v>
      </c>
      <c r="E21">
        <v>744</v>
      </c>
      <c r="F21">
        <v>760</v>
      </c>
    </row>
    <row r="22" spans="1:16" x14ac:dyDescent="0.3">
      <c r="A22" t="s">
        <v>19</v>
      </c>
      <c r="B22" t="s">
        <v>90</v>
      </c>
      <c r="C22">
        <v>776</v>
      </c>
      <c r="D22">
        <v>825</v>
      </c>
      <c r="E22">
        <v>852</v>
      </c>
      <c r="F22">
        <v>872</v>
      </c>
      <c r="I22" s="2"/>
    </row>
    <row r="23" spans="1:16" x14ac:dyDescent="0.3">
      <c r="A23" t="s">
        <v>17</v>
      </c>
      <c r="J23" s="3"/>
      <c r="K23" s="3"/>
      <c r="L23" s="3"/>
      <c r="M23" s="3"/>
      <c r="N23" s="3"/>
    </row>
    <row r="24" spans="1:16" x14ac:dyDescent="0.3">
      <c r="A24" s="1" t="s">
        <v>72</v>
      </c>
      <c r="I24" s="2"/>
      <c r="J24" s="3"/>
      <c r="K24" s="3"/>
      <c r="L24" s="3"/>
      <c r="M24" s="3"/>
      <c r="N24" s="3"/>
    </row>
    <row r="25" spans="1:16" x14ac:dyDescent="0.3">
      <c r="A25" t="s">
        <v>24</v>
      </c>
      <c r="I25" s="2"/>
      <c r="J25" s="3"/>
      <c r="K25" s="3"/>
      <c r="L25" s="3"/>
      <c r="M25" s="3"/>
      <c r="N25" s="3"/>
    </row>
    <row r="26" spans="1:16" x14ac:dyDescent="0.3">
      <c r="A26" t="s">
        <v>23</v>
      </c>
      <c r="I26" s="2"/>
      <c r="J26" s="3"/>
      <c r="K26" s="3"/>
      <c r="L26" s="3"/>
      <c r="M26" s="3"/>
      <c r="N26" s="3"/>
    </row>
    <row r="27" spans="1:16" x14ac:dyDescent="0.3">
      <c r="A27" t="s">
        <v>25</v>
      </c>
      <c r="I27" s="2"/>
      <c r="J27" s="3"/>
      <c r="K27" s="3"/>
      <c r="L27" s="3"/>
      <c r="M27" s="3"/>
      <c r="N27" s="3"/>
    </row>
    <row r="28" spans="1:16" x14ac:dyDescent="0.3">
      <c r="A28" t="s">
        <v>8</v>
      </c>
      <c r="C28">
        <v>700</v>
      </c>
      <c r="D28">
        <v>700</v>
      </c>
      <c r="E28">
        <v>700</v>
      </c>
      <c r="F28">
        <v>700</v>
      </c>
      <c r="J28" s="3"/>
      <c r="K28" s="3"/>
      <c r="L28" s="3"/>
      <c r="M28" s="3"/>
      <c r="N28" s="3"/>
    </row>
    <row r="29" spans="1:16" x14ac:dyDescent="0.3">
      <c r="A29" t="s">
        <v>26</v>
      </c>
      <c r="C29">
        <v>2.6</v>
      </c>
      <c r="D29">
        <v>2.6</v>
      </c>
      <c r="E29">
        <v>2.6</v>
      </c>
      <c r="F29">
        <v>2.6</v>
      </c>
      <c r="J29" s="3"/>
      <c r="K29" s="3"/>
      <c r="L29" s="3"/>
      <c r="M29" s="3"/>
      <c r="N29" s="3"/>
    </row>
    <row r="30" spans="1:16" x14ac:dyDescent="0.3">
      <c r="A30" t="s">
        <v>27</v>
      </c>
      <c r="C30">
        <v>2.6</v>
      </c>
      <c r="D30">
        <v>2.6</v>
      </c>
      <c r="E30">
        <v>2.6</v>
      </c>
      <c r="F30">
        <v>2.6</v>
      </c>
      <c r="J30" s="3"/>
      <c r="K30" s="3"/>
      <c r="L30" s="3"/>
      <c r="M30" s="3"/>
      <c r="N30" s="3"/>
    </row>
    <row r="31" spans="1:16" x14ac:dyDescent="0.3">
      <c r="A31" t="s">
        <v>28</v>
      </c>
      <c r="C31" s="9"/>
      <c r="D31" s="9"/>
      <c r="E31" s="9"/>
      <c r="F31" s="9"/>
      <c r="G31" s="9"/>
      <c r="H31" s="9"/>
      <c r="I31" s="9"/>
      <c r="J31" s="3"/>
      <c r="K31" s="3"/>
      <c r="L31" s="3"/>
      <c r="M31" s="3"/>
      <c r="N31" s="3"/>
    </row>
    <row r="32" spans="1:16" x14ac:dyDescent="0.3">
      <c r="A32" t="s">
        <v>29</v>
      </c>
      <c r="C32" s="9"/>
      <c r="D32" s="9"/>
      <c r="E32" s="9"/>
      <c r="F32" s="9"/>
      <c r="G32" s="9"/>
      <c r="H32" s="9"/>
      <c r="I32" s="9"/>
      <c r="J32" s="3"/>
    </row>
    <row r="33" spans="1:10" x14ac:dyDescent="0.3">
      <c r="C33" s="6"/>
      <c r="D33" s="6"/>
      <c r="E33" s="6"/>
      <c r="F33" s="6"/>
      <c r="G33" s="6"/>
      <c r="J33" s="7"/>
    </row>
    <row r="34" spans="1:10" x14ac:dyDescent="0.3">
      <c r="A34" t="s">
        <v>30</v>
      </c>
      <c r="B34" t="s">
        <v>31</v>
      </c>
      <c r="C34" s="2"/>
      <c r="D34" s="2"/>
      <c r="E34" s="2"/>
      <c r="F34" s="1"/>
      <c r="G34" s="2"/>
      <c r="H34" s="2"/>
      <c r="I34" s="2"/>
    </row>
    <row r="35" spans="1:10" x14ac:dyDescent="0.3">
      <c r="A35" t="s">
        <v>68</v>
      </c>
      <c r="B35" t="s">
        <v>69</v>
      </c>
      <c r="C35" s="2"/>
      <c r="D35" s="2"/>
      <c r="E35" s="2"/>
      <c r="F35" s="2"/>
      <c r="G35" s="2"/>
      <c r="H35" s="2"/>
      <c r="I35" s="2"/>
    </row>
    <row r="36" spans="1:10" x14ac:dyDescent="0.3">
      <c r="A36" t="s">
        <v>70</v>
      </c>
      <c r="B36" s="1" t="s">
        <v>97</v>
      </c>
      <c r="C36" s="2"/>
      <c r="D36" s="2"/>
      <c r="E36" s="2"/>
      <c r="F36" s="2"/>
      <c r="G36" s="2"/>
      <c r="H36" s="2"/>
      <c r="I36" s="2"/>
    </row>
    <row r="37" spans="1:10" x14ac:dyDescent="0.3">
      <c r="A37" t="s">
        <v>71</v>
      </c>
      <c r="B37" s="1" t="s">
        <v>73</v>
      </c>
      <c r="C37" s="2"/>
      <c r="D37" s="2"/>
      <c r="E37" s="2"/>
      <c r="F37" s="2"/>
      <c r="G37" s="2"/>
      <c r="H37" s="2"/>
      <c r="I37" s="2"/>
    </row>
    <row r="38" spans="1:10" x14ac:dyDescent="0.3">
      <c r="A38" t="s">
        <v>32</v>
      </c>
      <c r="B38" s="1" t="s">
        <v>91</v>
      </c>
      <c r="C38" s="2"/>
      <c r="D38" s="2"/>
      <c r="E38" s="2"/>
      <c r="F38" s="2"/>
      <c r="G38" s="2"/>
      <c r="H38" s="2"/>
      <c r="I38" s="2"/>
    </row>
    <row r="39" spans="1:10" x14ac:dyDescent="0.3">
      <c r="A39" t="s">
        <v>33</v>
      </c>
      <c r="B39" s="1"/>
      <c r="C39" s="2"/>
      <c r="D39" s="2"/>
      <c r="E39" s="2"/>
      <c r="F39" s="2"/>
      <c r="G39" s="2"/>
      <c r="H39" s="2"/>
      <c r="I39" s="2"/>
    </row>
    <row r="40" spans="1:10" x14ac:dyDescent="0.3">
      <c r="A40" t="s">
        <v>35</v>
      </c>
      <c r="B40" s="1">
        <v>15</v>
      </c>
      <c r="C40" s="2"/>
      <c r="D40" s="2"/>
      <c r="E40" s="2"/>
    </row>
    <row r="41" spans="1:10" x14ac:dyDescent="0.3">
      <c r="A41" t="s">
        <v>36</v>
      </c>
      <c r="B41">
        <v>2.6</v>
      </c>
      <c r="C41" s="2"/>
      <c r="D41" s="2"/>
      <c r="E41" s="2"/>
    </row>
    <row r="42" spans="1:10" x14ac:dyDescent="0.3">
      <c r="A42" t="s">
        <v>37</v>
      </c>
      <c r="C42" s="2"/>
      <c r="D42" s="2"/>
      <c r="E42" s="2"/>
    </row>
    <row r="43" spans="1:10" x14ac:dyDescent="0.3">
      <c r="A43" t="s">
        <v>38</v>
      </c>
      <c r="B43">
        <v>120</v>
      </c>
      <c r="C43" s="2"/>
      <c r="D43" s="2"/>
      <c r="E43" s="2"/>
    </row>
    <row r="44" spans="1:10" x14ac:dyDescent="0.3">
      <c r="A44" t="s">
        <v>39</v>
      </c>
    </row>
    <row r="45" spans="1:10" x14ac:dyDescent="0.3">
      <c r="A45" t="s">
        <v>40</v>
      </c>
    </row>
    <row r="46" spans="1:10" x14ac:dyDescent="0.3">
      <c r="A46" t="s">
        <v>41</v>
      </c>
    </row>
    <row r="47" spans="1:10" x14ac:dyDescent="0.3">
      <c r="A47" t="s">
        <v>42</v>
      </c>
      <c r="B47">
        <v>148</v>
      </c>
    </row>
    <row r="48" spans="1:10" x14ac:dyDescent="0.3">
      <c r="A48" t="s">
        <v>43</v>
      </c>
      <c r="B48">
        <v>110</v>
      </c>
    </row>
    <row r="49" spans="1:2" x14ac:dyDescent="0.3">
      <c r="A49" t="s">
        <v>44</v>
      </c>
      <c r="B49" s="1" t="s">
        <v>93</v>
      </c>
    </row>
    <row r="50" spans="1:2" x14ac:dyDescent="0.3">
      <c r="A50" t="s">
        <v>45</v>
      </c>
    </row>
    <row r="51" spans="1:2" x14ac:dyDescent="0.3">
      <c r="A51" t="s">
        <v>46</v>
      </c>
      <c r="B51">
        <v>31.6</v>
      </c>
    </row>
    <row r="52" spans="1:2" x14ac:dyDescent="0.3">
      <c r="A52" t="s">
        <v>55</v>
      </c>
      <c r="B52" s="1" t="s">
        <v>34</v>
      </c>
    </row>
    <row r="53" spans="1:2" x14ac:dyDescent="0.3">
      <c r="A53" t="s">
        <v>47</v>
      </c>
    </row>
    <row r="54" spans="1:2" x14ac:dyDescent="0.3">
      <c r="A54" t="s">
        <v>48</v>
      </c>
    </row>
    <row r="55" spans="1:2" x14ac:dyDescent="0.3">
      <c r="A55" t="s">
        <v>49</v>
      </c>
    </row>
    <row r="56" spans="1:2" x14ac:dyDescent="0.3">
      <c r="A56" t="s">
        <v>50</v>
      </c>
    </row>
    <row r="57" spans="1:2" x14ac:dyDescent="0.3">
      <c r="A57" t="s">
        <v>51</v>
      </c>
      <c r="B57" s="1"/>
    </row>
    <row r="58" spans="1:2" x14ac:dyDescent="0.3">
      <c r="A58" t="s">
        <v>52</v>
      </c>
      <c r="B58" s="1" t="s">
        <v>95</v>
      </c>
    </row>
    <row r="59" spans="1:2" x14ac:dyDescent="0.3">
      <c r="A59" t="s">
        <v>53</v>
      </c>
      <c r="B59" s="1" t="s">
        <v>94</v>
      </c>
    </row>
    <row r="60" spans="1:2" x14ac:dyDescent="0.3">
      <c r="A60" t="s">
        <v>54</v>
      </c>
    </row>
    <row r="61" spans="1:2" x14ac:dyDescent="0.3">
      <c r="A61" t="s">
        <v>56</v>
      </c>
      <c r="B61" s="1"/>
    </row>
    <row r="62" spans="1:2" x14ac:dyDescent="0.3">
      <c r="A62" t="s">
        <v>57</v>
      </c>
      <c r="B62">
        <v>2</v>
      </c>
    </row>
    <row r="63" spans="1:2" x14ac:dyDescent="0.3">
      <c r="A63" t="s">
        <v>58</v>
      </c>
      <c r="B63">
        <v>1</v>
      </c>
    </row>
    <row r="64" spans="1:2" x14ac:dyDescent="0.3">
      <c r="A64" t="s">
        <v>59</v>
      </c>
    </row>
    <row r="65" spans="1:3" x14ac:dyDescent="0.3">
      <c r="A65" t="s">
        <v>60</v>
      </c>
    </row>
    <row r="66" spans="1:3" x14ac:dyDescent="0.3">
      <c r="A66" t="s">
        <v>61</v>
      </c>
      <c r="B66" s="1"/>
    </row>
    <row r="67" spans="1:3" x14ac:dyDescent="0.3">
      <c r="A67" t="s">
        <v>62</v>
      </c>
      <c r="B67" s="1"/>
    </row>
    <row r="68" spans="1:3" x14ac:dyDescent="0.3">
      <c r="A68" t="s">
        <v>63</v>
      </c>
      <c r="B68" s="1"/>
    </row>
    <row r="69" spans="1:3" x14ac:dyDescent="0.3">
      <c r="A69" t="s">
        <v>64</v>
      </c>
      <c r="B69">
        <v>2099</v>
      </c>
      <c r="C69" s="1" t="s">
        <v>92</v>
      </c>
    </row>
    <row r="70" spans="1:3" x14ac:dyDescent="0.3">
      <c r="A70" t="s">
        <v>65</v>
      </c>
    </row>
    <row r="71" spans="1:3" x14ac:dyDescent="0.3">
      <c r="A71" t="s">
        <v>66</v>
      </c>
    </row>
    <row r="72" spans="1:3" x14ac:dyDescent="0.3">
      <c r="A72" t="s">
        <v>67</v>
      </c>
      <c r="B72" s="1" t="s">
        <v>84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2025-07-25T13:16:29Z</dcterms:created>
  <dcterms:modified xsi:type="dcterms:W3CDTF">2025-09-30T00:43:08Z</dcterms:modified>
</cp:coreProperties>
</file>