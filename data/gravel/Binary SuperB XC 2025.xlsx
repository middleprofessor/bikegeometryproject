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626B383-F7C5-CB44-B58A-B38746683553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</calcChain>
</file>

<file path=xl/sharedStrings.xml><?xml version="1.0" encoding="utf-8"?>
<sst xmlns="http://schemas.openxmlformats.org/spreadsheetml/2006/main" count="111" uniqueCount="109">
  <si>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</si>
  <si>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</si>
  <si>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</si>
  <si>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</si>
  <si>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</si>
  <si>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</si>
  <si>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</si>
  <si>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</si>
  <si>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</si>
  <si>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</si>
  <si>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</si>
  <si>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</si>
  <si>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</si>
  <si>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</si>
  <si>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</si>
  <si>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</si>
  <si>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</si>
  <si>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</si>
  <si>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</si>
  <si>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</si>
  <si>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</si>
  <si>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</si>
  <si>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</si>
  <si>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</si>
  <si>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</si>
  <si>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</si>
  <si>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</si>
  <si>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</si>
  <si>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</si>
  <si>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</si>
  <si>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</si>
  <si>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</si>
  <si>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</si>
  <si>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</si>
  <si>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</si>
  <si>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</si>
  <si>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</si>
  <si>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</si>
  <si>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</si>
  <si>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</si>
  <si>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</si>
  <si>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</si>
  <si>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</si>
  <si>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</si>
  <si>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</si>
  <si>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</si>
  <si>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</si>
  <si>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</si>
  <si>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</si>
  <si>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</si>
  <si>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</si>
  <si>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</si>
  <si>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</si>
  <si>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</si>
  <si>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</si>
  <si>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</si>
  <si>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</si>
  <si>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</si>
  <si>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</si>
  <si>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</si>
  <si>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</si>
  <si>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</si>
  <si>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</si>
  <si>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</si>
  <si>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</si>
  <si>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</si>
  <si>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</si>
  <si>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</si>
  <si>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</si>
  <si>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</si>
  <si>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</si>
  <si>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</si>
  <si>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</si>
  <si>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</si>
  <si>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</si>
  <si>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</si>
  <si>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</si>
  <si>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</si>
  <si>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</si>
  <si>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</si>
  <si>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</si>
  <si>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</si>
  <si>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</si>
  <si>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</si>
  <si>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</si>
  <si>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</si>
  <si>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</si>
  <si>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</si>
  <si>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</si>
  <si>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</si>
  <si>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</si>
  <si>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</si>
  <si>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</si>
  <si>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</si>
  <si>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</si>
  <si>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</si>
  <si>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</si>
  <si>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</si>
  <si>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</t>
  </si>
  <si>
    <t>M</t>
  </si>
  <si>
    <t>L</t>
  </si>
  <si>
    <t>XL</t>
  </si>
  <si>
    <t>430-445</t>
  </si>
  <si>
    <t>https://binarybicycles.com/product/superb-xc-titanium-mtb-frame/</t>
  </si>
  <si>
    <t>425-440</t>
  </si>
  <si>
    <t>435-450</t>
  </si>
  <si>
    <t>a8:f32</t>
  </si>
  <si>
    <t>SuperB XC</t>
  </si>
  <si>
    <t>https://binarybicycles.com/wp-content/uploads/2022/01/binary-superb-xc-mtb-frame.jpg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</si>
</sst>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binary-superb-xc-mtb-fram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103</v>
      </c>
    </row>
    <row r="6" spans="1:22" x14ac:dyDescent="0.3">
      <c r="B6" s="5" t="s">
        <v>108</v>
      </c>
    </row>
    <row r="7" spans="1:22" x14ac:dyDescent="0.3">
      <c r="A7" t="s">
        <v>6</v>
      </c>
      <c r="B7" s="1" t="s">
        <v>106</v>
      </c>
    </row>
    <row r="8" spans="1:22" x14ac:dyDescent="0.3">
      <c r="A8" t="s">
        <v>7</v>
      </c>
      <c r="B8" s="1" t="s">
        <v>74</v>
      </c>
      <c r="C8" s="6" t="s">
        <v>98</v>
      </c>
      <c r="D8" s="6" t="s">
        <v>99</v>
      </c>
      <c r="E8" s="7" t="s">
        <v>100</v>
      </c>
      <c r="F8" s="7" t="s">
        <v>101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586</v>
      </c>
      <c r="D9" s="6">
        <v>624</v>
      </c>
      <c r="E9" s="6">
        <v>638</v>
      </c>
      <c r="F9" s="6">
        <v>652</v>
      </c>
      <c r="G9" s="6"/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395</v>
      </c>
      <c r="D10" s="6">
        <v>460</v>
      </c>
      <c r="E10" s="6">
        <v>508</v>
      </c>
      <c r="F10" s="6">
        <v>538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74.5</v>
      </c>
      <c r="D11" s="6">
        <v>74.5</v>
      </c>
      <c r="E11" s="6">
        <v>74.5</v>
      </c>
      <c r="F11" s="6">
        <v>74.5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115</v>
      </c>
      <c r="E12" s="6">
        <v>120</v>
      </c>
      <c r="F12" s="6">
        <v>130</v>
      </c>
      <c r="G12" s="6"/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69</v>
      </c>
      <c r="D13" s="6">
        <v>69</v>
      </c>
      <c r="E13" s="6">
        <v>69</v>
      </c>
      <c r="F13" s="6">
        <v>69</v>
      </c>
      <c r="G13" s="6"/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60</v>
      </c>
      <c r="D14">
        <v>60</v>
      </c>
      <c r="E14">
        <v>60</v>
      </c>
      <c r="F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425</v>
      </c>
      <c r="D15">
        <f t="shared" ref="D15:F15" si="0">VALUE(LEFT(I15,3))</f>
        <v>435</v>
      </c>
      <c r="E15">
        <f t="shared" si="0"/>
        <v>435</v>
      </c>
      <c r="F15">
        <f t="shared" si="0"/>
        <v>435</v>
      </c>
      <c r="H15" t="s">
        <v>104</v>
      </c>
      <c r="I15" t="s">
        <v>105</v>
      </c>
      <c r="J15" t="s">
        <v>105</v>
      </c>
      <c r="K15" t="s">
        <v>105</v>
      </c>
      <c r="L15" t="s">
        <v>102</v>
      </c>
      <c r="N15" s="6"/>
      <c r="O15" s="6"/>
      <c r="P15" s="6"/>
    </row>
    <row r="16" spans="1:22" x14ac:dyDescent="0.3">
      <c r="A16" t="s">
        <v>22</v>
      </c>
      <c r="B16" s="7" t="s">
        <v>88</v>
      </c>
      <c r="C16">
        <v>505</v>
      </c>
      <c r="D16">
        <v>505</v>
      </c>
      <c r="E16">
        <v>505</v>
      </c>
      <c r="F16">
        <v>505</v>
      </c>
      <c r="G16" s="6"/>
      <c r="H16" s="6"/>
      <c r="I16" s="6"/>
      <c r="J16" s="6"/>
    </row>
    <row r="17" spans="1:16" x14ac:dyDescent="0.3">
      <c r="A17" t="s">
        <v>16</v>
      </c>
      <c r="B17" s="7" t="s">
        <v>89</v>
      </c>
      <c r="C17">
        <v>51</v>
      </c>
      <c r="D17">
        <v>51</v>
      </c>
      <c r="E17">
        <v>51</v>
      </c>
      <c r="F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18</v>
      </c>
      <c r="B18" s="7" t="s">
        <v>80</v>
      </c>
      <c r="C18">
        <v>1100</v>
      </c>
      <c r="D18">
        <v>1150</v>
      </c>
      <c r="E18">
        <v>1173</v>
      </c>
      <c r="F18">
        <v>1189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599</v>
      </c>
      <c r="D19">
        <v>633</v>
      </c>
      <c r="E19">
        <v>637</v>
      </c>
      <c r="F19">
        <v>647</v>
      </c>
    </row>
    <row r="20" spans="1:16" x14ac:dyDescent="0.3">
      <c r="A20" t="s">
        <v>20</v>
      </c>
      <c r="B20" s="7" t="s">
        <v>75</v>
      </c>
      <c r="C20">
        <v>417</v>
      </c>
      <c r="D20">
        <v>444</v>
      </c>
      <c r="E20">
        <v>465</v>
      </c>
      <c r="F20">
        <v>478</v>
      </c>
    </row>
    <row r="21" spans="1:16" x14ac:dyDescent="0.3">
      <c r="A21" s="1" t="s">
        <v>83</v>
      </c>
      <c r="B21" s="1" t="s">
        <v>96</v>
      </c>
      <c r="C21">
        <v>682</v>
      </c>
      <c r="D21" s="8">
        <v>721</v>
      </c>
      <c r="E21">
        <v>744</v>
      </c>
      <c r="F21">
        <v>760</v>
      </c>
    </row>
    <row r="22" spans="1:16" x14ac:dyDescent="0.3">
      <c r="A22" t="s">
        <v>19</v>
      </c>
      <c r="B22" t="s">
        <v>90</v>
      </c>
      <c r="C22">
        <v>776</v>
      </c>
      <c r="D22">
        <v>825</v>
      </c>
      <c r="E22">
        <v>852</v>
      </c>
      <c r="F22">
        <v>872</v>
      </c>
      <c r="I22" s="2"/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2.6</v>
      </c>
      <c r="D29">
        <v>2.6</v>
      </c>
      <c r="E29">
        <v>2.6</v>
      </c>
      <c r="F29">
        <v>2.6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2.6</v>
      </c>
      <c r="D30">
        <v>2.6</v>
      </c>
      <c r="E30">
        <v>2.6</v>
      </c>
      <c r="F30">
        <v>2.6</v>
      </c>
      <c r="J30" s="3"/>
      <c r="K30" s="3"/>
      <c r="L30" s="3"/>
      <c r="M30" s="3"/>
      <c r="N30" s="3"/>
    </row>
    <row r="31" spans="1:16" x14ac:dyDescent="0.3">
      <c r="A31" t="s">
        <v>28</v>
      </c>
      <c r="C31" s="9"/>
      <c r="D31" s="9"/>
      <c r="E31" s="9"/>
      <c r="F31" s="9"/>
      <c r="G31" s="9"/>
      <c r="H31" s="9"/>
      <c r="I31" s="9"/>
      <c r="J31" s="3"/>
      <c r="K31" s="3"/>
      <c r="L31" s="3"/>
      <c r="M31" s="3"/>
      <c r="N31" s="3"/>
    </row>
    <row r="32" spans="1:16" x14ac:dyDescent="0.3">
      <c r="A32" t="s">
        <v>29</v>
      </c>
      <c r="C32" s="9"/>
      <c r="D32" s="9"/>
      <c r="E32" s="9"/>
      <c r="F32" s="9"/>
      <c r="G32" s="9"/>
      <c r="H32" s="9"/>
      <c r="I32" s="9"/>
      <c r="J32" s="3"/>
    </row>
    <row r="33" spans="1:10" x14ac:dyDescent="0.3">
      <c r="C33" s="6"/>
      <c r="D33" s="6"/>
      <c r="E33" s="6"/>
      <c r="F33" s="6"/>
      <c r="G33" s="6"/>
      <c r="J33" s="7"/>
    </row>
    <row r="34" spans="1:10" x14ac:dyDescent="0.3">
      <c r="A34" t="s">
        <v>30</v>
      </c>
      <c r="B34" t="s">
        <v>31</v>
      </c>
      <c r="C34" s="2"/>
      <c r="D34" s="2"/>
      <c r="E34" s="2"/>
      <c r="F34" s="1"/>
      <c r="G34" s="2"/>
      <c r="H34" s="2"/>
      <c r="I34" s="2"/>
    </row>
    <row r="35" spans="1:10" x14ac:dyDescent="0.3">
      <c r="A35" t="s">
        <v>68</v>
      </c>
      <c r="B35" t="s">
        <v>69</v>
      </c>
      <c r="C35" s="2"/>
      <c r="D35" s="2"/>
      <c r="E35" s="2"/>
      <c r="F35" s="2"/>
      <c r="G35" s="2"/>
      <c r="H35" s="2"/>
      <c r="I35" s="2"/>
    </row>
    <row r="36" spans="1:10" x14ac:dyDescent="0.3">
      <c r="A36" t="s">
        <v>70</v>
      </c>
      <c r="B36" s="1" t="s">
        <v>97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71</v>
      </c>
      <c r="B37" s="1" t="s">
        <v>73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32</v>
      </c>
      <c r="B38" s="1" t="s">
        <v>91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33</v>
      </c>
      <c r="B39" s="1"/>
      <c r="C39" s="2"/>
      <c r="D39" s="2"/>
      <c r="E39" s="2"/>
      <c r="F39" s="2"/>
      <c r="G39" s="2"/>
      <c r="H39" s="2"/>
      <c r="I39" s="2"/>
    </row>
    <row r="40" spans="1:10" x14ac:dyDescent="0.3">
      <c r="A40" t="s">
        <v>35</v>
      </c>
      <c r="B40" s="1">
        <v>15</v>
      </c>
      <c r="C40" s="2"/>
      <c r="D40" s="2"/>
      <c r="E40" s="2"/>
    </row>
    <row r="41" spans="1:10" x14ac:dyDescent="0.3">
      <c r="A41" t="s">
        <v>36</v>
      </c>
      <c r="B41">
        <v>2.6</v>
      </c>
      <c r="C41" s="2"/>
      <c r="D41" s="2"/>
      <c r="E41" s="2"/>
    </row>
    <row r="42" spans="1:10" x14ac:dyDescent="0.3">
      <c r="A42" t="s">
        <v>37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3" x14ac:dyDescent="0.3">
      <c r="A65" t="s">
        <v>60</v>
      </c>
    </row>
    <row r="66" spans="1:3" x14ac:dyDescent="0.3">
      <c r="A66" t="s">
        <v>61</v>
      </c>
      <c r="B66" s="1"/>
    </row>
    <row r="67" spans="1:3" x14ac:dyDescent="0.3">
      <c r="A67" t="s">
        <v>62</v>
      </c>
      <c r="B67" s="1"/>
    </row>
    <row r="68" spans="1:3" x14ac:dyDescent="0.3">
      <c r="A68" t="s">
        <v>63</v>
      </c>
      <c r="B68" s="1"/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</sheetData>
  <hyperlinks>
    <hyperlink ref="B6" r:id="rId1" xr:uid="{B42B96D1-8655-E24E-A839-A5C00DFAAB8E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2025-10-14T17:18:31Z</dcterms:modified>
</cp:coreProperties>
</file>