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F8C51E5B-E32C-C84F-84DF-AD91DA326483}" xr6:coauthVersionLast="47" xr6:coauthVersionMax="47" xr10:uidLastSave="{00000000-0000-0000-0000-000000000000}"/>
  <bookViews>
    <workbookView xWindow="5000" yWindow="540" windowWidth="25540" windowHeight="16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E21" i="1"/>
  <c r="F21" i="1"/>
  <c r="C21" i="1"/>
  <c r="F31" i="1"/>
  <c r="D31" i="1"/>
  <c r="E31" i="1"/>
  <c r="C31" i="1"/>
  <c r="E30" i="1"/>
  <c r="F30" i="1"/>
  <c r="D30" i="1"/>
  <c r="C30" i="1"/>
  <c r="D26" i="1"/>
  <c r="D29" i="1"/>
  <c r="E29" i="1"/>
  <c r="F29" i="1"/>
  <c r="C29" i="1"/>
  <c r="B40" i="1"/>
</calcChain>
</file>

<file path=xl/sharedStrings.xml><?xml version="1.0" encoding="utf-8"?>
<sst xmlns="http://schemas.openxmlformats.org/spreadsheetml/2006/main" count="105" uniqueCount="98">
  <si>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</si>
  <si>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</si>
  <si>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</si>
  <si>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</si>
  <si>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</si>
  <si>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</si>
  <si>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</si>
  <si>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</si>
  <si>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</si>
  <si>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</si>
  <si>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</si>
  <si>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</si>
  <si>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</si>
  <si>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</si>
  <si>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</si>
  <si>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</si>
  <si>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</si>
  <si>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</si>
  <si>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</si>
  <si>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</si>
  <si>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</si>
  <si>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</si>
  <si>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</si>
  <si>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</si>
  <si>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</si>
  <si>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</si>
  <si>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</si>
  <si>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</si>
  <si>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</si>
  <si>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</si>
  <si>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</si>
  <si>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</si>
  <si>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</si>
  <si>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</si>
  <si>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</si>
  <si>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</si>
  <si>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</si>
  <si>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</si>
  <si>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</si>
  <si>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</si>
  <si>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</si>
  <si>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</si>
  <si>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</si>
  <si>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</si>
  <si>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</si>
  <si>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</si>
  <si>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</si>
  <si>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</si>
  <si>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</si>
  <si>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</si>
  <si>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</si>
  <si>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</si>
  <si>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</si>
  <si>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</si>
  <si>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</si>
  <si>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</si>
  <si>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</si>
  <si>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</si>
  <si>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</si>
  <si>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</si>
  <si>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</si>
  <si>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</si>
  <si>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</si>
  <si>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</si>
  <si>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</si>
  <si>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</si>
  <si>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</si>
  <si>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</si>
  <si>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drop bar</t>
  </si>
  <si>
    <t>fork</t>
  </si>
  <si>
    <t>yes</t>
  </si>
  <si>
    <t>a8:f31</t>
  </si>
  <si>
    <t>hardtail</t>
  </si>
  <si>
    <t>https://viral.bike/shop/p/viralwanderercomplete</t>
  </si>
  <si>
    <t>Viral</t>
  </si>
  <si>
    <t>Wanderer</t>
  </si>
  <si>
    <t>SIZE</t>
  </si>
  <si>
    <t>V2</t>
  </si>
  <si>
    <t>V3</t>
  </si>
  <si>
    <t>V4</t>
  </si>
  <si>
    <t>V5</t>
  </si>
  <si>
    <t>SEAT TUBE LENGTH</t>
  </si>
  <si>
    <t>TOP TUBE LENGTH (EFFECTIVE)</t>
  </si>
  <si>
    <t>HEAD TUBE LENGTH</t>
  </si>
  <si>
    <t>CHAINSTAY LENGTH**</t>
  </si>
  <si>
    <t>FRONT AND CENTER*</t>
  </si>
  <si>
    <t>WHEELBASE*</t>
  </si>
  <si>
    <t>SEAT TUBE ANGLE*</t>
  </si>
  <si>
    <t>HEAD TUBE ANGLE*</t>
  </si>
  <si>
    <t>STACK*</t>
  </si>
  <si>
    <t>REACH*</t>
  </si>
  <si>
    <t>BB DROP*</t>
  </si>
  <si>
    <t>front_center</t>
  </si>
  <si>
    <t>* based on 100 mm travel fork</t>
  </si>
  <si>
    <t>suspension</t>
  </si>
  <si>
    <t>Enve Mountain is 490</t>
  </si>
  <si>
    <t>SID SL with 20% SAG</t>
  </si>
  <si>
    <t>titanium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</si>
</sst>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sz val="15"/>
      <color rgb="FF1A1C18"/>
      <name val="Font_condensed"/>
    </font>
    <font>
      <sz val="14"/>
      <color rgb="FF1A1C18"/>
      <name val="Font_condensed"/>
    </font>
    <font>
      <sz val="15"/>
      <color rgb="FF1A1C1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A6" workbookViewId="0">
      <selection activeCell="B69" sqref="B69"/>
    </sheetView>
  </sheetViews>
  <sheetFormatPr baseColWidth="10" defaultRowHeight="20"/>
  <cols>
    <col min="1" max="2" width="19.6640625" customWidth="1"/>
    <col min="4" max="4" width="11.44140625" bestFit="1" customWidth="1"/>
  </cols>
  <sheetData>
    <row r="1" spans="1:9">
      <c r="A1" t="s">
        <v>0</v>
      </c>
      <c r="B1" s="1" t="s">
        <v>74</v>
      </c>
    </row>
    <row r="2" spans="1:9">
      <c r="A2" t="s">
        <v>1</v>
      </c>
      <c r="B2" s="1" t="s">
        <v>75</v>
      </c>
    </row>
    <row r="3" spans="1:9">
      <c r="A3" t="s">
        <v>2</v>
      </c>
      <c r="B3">
        <v>2025</v>
      </c>
    </row>
    <row r="4" spans="1:9">
      <c r="A4" t="s">
        <v>3</v>
      </c>
      <c r="B4" s="2">
        <v>45885</v>
      </c>
    </row>
    <row r="5" spans="1:9">
      <c r="A5" t="s">
        <v>4</v>
      </c>
      <c r="B5" t="s">
        <v>73</v>
      </c>
    </row>
    <row r="7" spans="1:9">
      <c r="A7" t="s">
        <v>5</v>
      </c>
      <c r="B7" s="1" t="s">
        <v>71</v>
      </c>
      <c r="C7" s="1" t="s">
        <v>93</v>
      </c>
    </row>
    <row r="8" spans="1:9" ht="21">
      <c r="A8" t="s">
        <v>6</v>
      </c>
      <c r="B8" s="4" t="s">
        <v>76</v>
      </c>
      <c r="C8" s="4" t="s">
        <v>77</v>
      </c>
      <c r="D8" s="4" t="s">
        <v>78</v>
      </c>
      <c r="E8" s="4" t="s">
        <v>79</v>
      </c>
      <c r="F8" s="4" t="s">
        <v>80</v>
      </c>
      <c r="I8" s="1"/>
    </row>
    <row r="9" spans="1:9" ht="21">
      <c r="A9" t="s">
        <v>7</v>
      </c>
      <c r="B9" s="5" t="s">
        <v>81</v>
      </c>
      <c r="C9" s="6">
        <v>400</v>
      </c>
      <c r="D9" s="6">
        <v>430</v>
      </c>
      <c r="E9" s="6">
        <v>460</v>
      </c>
      <c r="F9" s="6">
        <v>495</v>
      </c>
    </row>
    <row r="10" spans="1:9" ht="21">
      <c r="A10" t="s">
        <v>8</v>
      </c>
      <c r="B10" s="5" t="s">
        <v>82</v>
      </c>
      <c r="C10" s="6">
        <v>545</v>
      </c>
      <c r="D10" s="6">
        <v>575</v>
      </c>
      <c r="E10" s="6">
        <v>610</v>
      </c>
      <c r="F10" s="6">
        <v>645</v>
      </c>
    </row>
    <row r="11" spans="1:9" ht="21">
      <c r="A11" t="s">
        <v>9</v>
      </c>
      <c r="B11" s="5" t="s">
        <v>83</v>
      </c>
      <c r="C11" s="6">
        <v>90</v>
      </c>
      <c r="D11" s="6">
        <v>110</v>
      </c>
      <c r="E11" s="6">
        <v>130</v>
      </c>
      <c r="F11" s="6">
        <v>145</v>
      </c>
    </row>
    <row r="12" spans="1:9" ht="21">
      <c r="A12" t="s">
        <v>12</v>
      </c>
      <c r="B12" s="5" t="s">
        <v>84</v>
      </c>
      <c r="C12" s="6">
        <v>435</v>
      </c>
      <c r="D12" s="6">
        <v>435</v>
      </c>
      <c r="E12" s="6">
        <v>435</v>
      </c>
      <c r="F12" s="6">
        <v>435</v>
      </c>
    </row>
    <row r="13" spans="1:9" ht="21">
      <c r="A13" s="1" t="s">
        <v>92</v>
      </c>
      <c r="B13" s="5" t="s">
        <v>85</v>
      </c>
      <c r="C13" s="6">
        <v>674</v>
      </c>
      <c r="D13" s="6">
        <v>696</v>
      </c>
      <c r="E13" s="6">
        <v>734</v>
      </c>
      <c r="F13" s="6">
        <v>784</v>
      </c>
    </row>
    <row r="14" spans="1:9" ht="21">
      <c r="A14" t="s">
        <v>14</v>
      </c>
      <c r="B14" s="5" t="s">
        <v>86</v>
      </c>
      <c r="C14" s="6">
        <v>1098</v>
      </c>
      <c r="D14" s="6">
        <v>1122</v>
      </c>
      <c r="E14" s="6">
        <v>1160</v>
      </c>
      <c r="F14" s="6">
        <v>1211</v>
      </c>
    </row>
    <row r="15" spans="1:9" ht="21">
      <c r="A15" t="s">
        <v>10</v>
      </c>
      <c r="B15" s="5" t="s">
        <v>87</v>
      </c>
      <c r="C15" s="6">
        <v>76.5</v>
      </c>
      <c r="D15" s="6">
        <v>75.5</v>
      </c>
      <c r="E15" s="6">
        <v>75.5</v>
      </c>
      <c r="F15" s="6">
        <v>76.5</v>
      </c>
    </row>
    <row r="16" spans="1:9" ht="21">
      <c r="A16" t="s">
        <v>11</v>
      </c>
      <c r="B16" s="5" t="s">
        <v>88</v>
      </c>
      <c r="C16" s="6">
        <v>67.5</v>
      </c>
      <c r="D16" s="6">
        <v>67.5</v>
      </c>
      <c r="E16" s="6">
        <v>67.5</v>
      </c>
      <c r="F16" s="6">
        <v>67.5</v>
      </c>
    </row>
    <row r="17" spans="1:8" ht="21">
      <c r="A17" t="s">
        <v>16</v>
      </c>
      <c r="B17" s="5" t="s">
        <v>89</v>
      </c>
      <c r="C17" s="6">
        <v>609</v>
      </c>
      <c r="D17" s="6">
        <v>622</v>
      </c>
      <c r="E17" s="6">
        <v>641</v>
      </c>
      <c r="F17" s="6">
        <v>650</v>
      </c>
    </row>
    <row r="18" spans="1:8" ht="21">
      <c r="A18" t="s">
        <v>17</v>
      </c>
      <c r="B18" s="5" t="s">
        <v>90</v>
      </c>
      <c r="C18" s="6">
        <v>401</v>
      </c>
      <c r="D18" s="6">
        <v>416</v>
      </c>
      <c r="E18" s="6">
        <v>447</v>
      </c>
      <c r="F18" s="6">
        <v>491</v>
      </c>
    </row>
    <row r="19" spans="1:8" ht="21">
      <c r="A19" t="s">
        <v>13</v>
      </c>
      <c r="B19" s="5" t="s">
        <v>91</v>
      </c>
      <c r="C19" s="6">
        <v>75</v>
      </c>
      <c r="D19" s="6">
        <v>70</v>
      </c>
      <c r="E19" s="6">
        <v>70</v>
      </c>
      <c r="F19" s="6">
        <v>65</v>
      </c>
    </row>
    <row r="20" spans="1:8">
      <c r="A20" t="s">
        <v>15</v>
      </c>
      <c r="B20" s="3"/>
      <c r="C20" s="3"/>
      <c r="D20" s="3"/>
      <c r="E20" s="3"/>
      <c r="F20" s="3"/>
    </row>
    <row r="21" spans="1:8">
      <c r="A21" t="s">
        <v>22</v>
      </c>
      <c r="C21">
        <f>506 - 0.2*100</f>
        <v>486</v>
      </c>
      <c r="D21">
        <f t="shared" ref="D21:F21" si="0">506 - 0.2*100</f>
        <v>486</v>
      </c>
      <c r="E21">
        <f t="shared" si="0"/>
        <v>486</v>
      </c>
      <c r="F21">
        <f t="shared" si="0"/>
        <v>486</v>
      </c>
      <c r="G21" s="1" t="s">
        <v>96</v>
      </c>
      <c r="H21" s="1" t="s">
        <v>95</v>
      </c>
    </row>
    <row r="22" spans="1:8" ht="21">
      <c r="A22" t="s">
        <v>18</v>
      </c>
      <c r="C22" s="6">
        <v>44</v>
      </c>
      <c r="D22" s="6">
        <v>44</v>
      </c>
      <c r="E22" s="6">
        <v>44</v>
      </c>
      <c r="F22" s="6">
        <v>44</v>
      </c>
    </row>
    <row r="23" spans="1:8">
      <c r="A23" t="s">
        <v>19</v>
      </c>
    </row>
    <row r="24" spans="1:8">
      <c r="A24" t="s">
        <v>20</v>
      </c>
    </row>
    <row r="25" spans="1:8">
      <c r="A25" t="s">
        <v>21</v>
      </c>
    </row>
    <row r="26" spans="1:8">
      <c r="A26" t="s">
        <v>23</v>
      </c>
      <c r="D26" s="7">
        <f>5.25/2.2*1000</f>
        <v>2386.363636363636</v>
      </c>
    </row>
    <row r="27" spans="1:8">
      <c r="A27" t="s">
        <v>24</v>
      </c>
      <c r="B27" t="s">
        <v>24</v>
      </c>
      <c r="C27">
        <v>700</v>
      </c>
      <c r="D27">
        <v>700</v>
      </c>
      <c r="E27">
        <v>700</v>
      </c>
      <c r="F27">
        <v>700</v>
      </c>
    </row>
    <row r="28" spans="1:8">
      <c r="A28" t="s">
        <v>25</v>
      </c>
      <c r="B28" t="s">
        <v>25</v>
      </c>
    </row>
    <row r="29" spans="1:8">
      <c r="A29" t="s">
        <v>26</v>
      </c>
      <c r="B29" t="s">
        <v>26</v>
      </c>
      <c r="C29">
        <f>2.3*25.4</f>
        <v>58.419999999999995</v>
      </c>
      <c r="D29">
        <f t="shared" ref="D29:G29" si="1">2.3*25.4</f>
        <v>58.419999999999995</v>
      </c>
      <c r="E29">
        <f t="shared" si="1"/>
        <v>58.419999999999995</v>
      </c>
      <c r="F29">
        <f t="shared" si="1"/>
        <v>58.419999999999995</v>
      </c>
    </row>
    <row r="30" spans="1:8">
      <c r="A30" t="s">
        <v>27</v>
      </c>
      <c r="B30" t="s">
        <v>27</v>
      </c>
      <c r="C30">
        <f>C32</f>
        <v>160</v>
      </c>
      <c r="D30">
        <f>AVERAGE(D32,C33)</f>
        <v>168.5</v>
      </c>
      <c r="E30">
        <f t="shared" ref="E30:F30" si="2">AVERAGE(E32,D33)</f>
        <v>176</v>
      </c>
      <c r="F30">
        <f t="shared" si="2"/>
        <v>183.5</v>
      </c>
    </row>
    <row r="31" spans="1:8">
      <c r="A31" t="s">
        <v>28</v>
      </c>
      <c r="B31" t="s">
        <v>28</v>
      </c>
      <c r="C31">
        <f>D30</f>
        <v>168.5</v>
      </c>
      <c r="D31">
        <f t="shared" ref="D31:E31" si="3">E30</f>
        <v>176</v>
      </c>
      <c r="E31">
        <f t="shared" si="3"/>
        <v>183.5</v>
      </c>
      <c r="F31">
        <f>F33</f>
        <v>192</v>
      </c>
    </row>
    <row r="32" spans="1:8">
      <c r="C32">
        <v>160</v>
      </c>
      <c r="D32">
        <v>168</v>
      </c>
      <c r="E32">
        <v>176</v>
      </c>
      <c r="F32">
        <v>184</v>
      </c>
    </row>
    <row r="33" spans="1:6">
      <c r="A33" t="s">
        <v>29</v>
      </c>
      <c r="B33" t="s">
        <v>30</v>
      </c>
      <c r="C33">
        <v>169</v>
      </c>
      <c r="D33">
        <v>176</v>
      </c>
      <c r="E33">
        <v>183</v>
      </c>
      <c r="F33">
        <v>192</v>
      </c>
    </row>
    <row r="34" spans="1:6">
      <c r="A34" t="s">
        <v>66</v>
      </c>
      <c r="B34" s="1" t="s">
        <v>72</v>
      </c>
    </row>
    <row r="35" spans="1:6">
      <c r="A35" t="s">
        <v>67</v>
      </c>
      <c r="B35" t="s">
        <v>68</v>
      </c>
    </row>
    <row r="36" spans="1:6">
      <c r="A36" t="s">
        <v>69</v>
      </c>
      <c r="B36" s="1" t="s">
        <v>94</v>
      </c>
    </row>
    <row r="37" spans="1:6">
      <c r="A37" t="s">
        <v>31</v>
      </c>
      <c r="B37" s="1" t="s">
        <v>97</v>
      </c>
    </row>
    <row r="38" spans="1:6">
      <c r="A38" t="s">
        <v>32</v>
      </c>
    </row>
    <row r="39" spans="1:6">
      <c r="A39" t="s">
        <v>33</v>
      </c>
    </row>
    <row r="40" spans="1:6">
      <c r="A40" t="s">
        <v>34</v>
      </c>
      <c r="B40">
        <f>2.3*25.4</f>
        <v>58.419999999999995</v>
      </c>
    </row>
    <row r="41" spans="1:6">
      <c r="A41" t="s">
        <v>35</v>
      </c>
    </row>
    <row r="42" spans="1:6">
      <c r="A42" t="s">
        <v>36</v>
      </c>
      <c r="B42">
        <v>100</v>
      </c>
    </row>
    <row r="43" spans="1:6">
      <c r="A43" t="s">
        <v>37</v>
      </c>
      <c r="B43" s="1" t="s">
        <v>70</v>
      </c>
    </row>
    <row r="44" spans="1:6">
      <c r="A44" t="s">
        <v>38</v>
      </c>
    </row>
    <row r="45" spans="1:6">
      <c r="A45" t="s">
        <v>39</v>
      </c>
    </row>
    <row r="46" spans="1:6">
      <c r="A46" t="s">
        <v>40</v>
      </c>
      <c r="B46">
        <v>148</v>
      </c>
    </row>
    <row r="47" spans="1:6">
      <c r="A47" t="s">
        <v>41</v>
      </c>
      <c r="B47">
        <v>110</v>
      </c>
    </row>
    <row r="48" spans="1:6">
      <c r="A48" t="s">
        <v>42</v>
      </c>
    </row>
    <row r="49" spans="1:2">
      <c r="A49" t="s">
        <v>43</v>
      </c>
    </row>
    <row r="50" spans="1:2">
      <c r="A50" t="s">
        <v>44</v>
      </c>
      <c r="B50">
        <v>30.9</v>
      </c>
    </row>
    <row r="51" spans="1:2">
      <c r="A51" t="s">
        <v>45</v>
      </c>
    </row>
    <row r="52" spans="1:2">
      <c r="A52" t="s">
        <v>46</v>
      </c>
    </row>
    <row r="53" spans="1:2">
      <c r="A53" t="s">
        <v>47</v>
      </c>
    </row>
    <row r="54" spans="1:2">
      <c r="A54" t="s">
        <v>48</v>
      </c>
    </row>
    <row r="55" spans="1:2">
      <c r="A55" t="s">
        <v>49</v>
      </c>
    </row>
    <row r="56" spans="1:2">
      <c r="A56" t="s">
        <v>50</v>
      </c>
    </row>
    <row r="57" spans="1:2">
      <c r="A57" t="s">
        <v>51</v>
      </c>
    </row>
    <row r="58" spans="1:2">
      <c r="A58" t="s">
        <v>52</v>
      </c>
    </row>
    <row r="59" spans="1:2">
      <c r="A59" t="s">
        <v>53</v>
      </c>
      <c r="B59" s="1"/>
    </row>
    <row r="60" spans="1:2">
      <c r="A60" t="s">
        <v>54</v>
      </c>
    </row>
    <row r="61" spans="1:2">
      <c r="A61" t="s">
        <v>55</v>
      </c>
      <c r="B61">
        <v>2</v>
      </c>
    </row>
    <row r="62" spans="1:2">
      <c r="A62" t="s">
        <v>56</v>
      </c>
      <c r="B62" s="1">
        <v>1</v>
      </c>
    </row>
    <row r="63" spans="1:2">
      <c r="A63" t="s">
        <v>57</v>
      </c>
      <c r="B63" s="1" t="s">
        <v>70</v>
      </c>
    </row>
    <row r="64" spans="1:2">
      <c r="A64" t="s">
        <v>58</v>
      </c>
      <c r="B64" s="1"/>
    </row>
    <row r="65" spans="1:2">
      <c r="A65" t="s">
        <v>59</v>
      </c>
      <c r="B65" s="1"/>
    </row>
    <row r="66" spans="1:2">
      <c r="A66" t="s">
        <v>60</v>
      </c>
    </row>
    <row r="67" spans="1:2">
      <c r="A67" t="s">
        <v>61</v>
      </c>
      <c r="B67" s="1" t="s">
        <v>70</v>
      </c>
    </row>
    <row r="68" spans="1:2">
      <c r="A68" t="s">
        <v>62</v>
      </c>
      <c r="B68" s="1">
        <v>6395</v>
      </c>
    </row>
    <row r="69" spans="1:2">
      <c r="A69" t="s">
        <v>63</v>
      </c>
    </row>
    <row r="70" spans="1:2">
      <c r="A70" t="s">
        <v>64</v>
      </c>
    </row>
    <row r="71" spans="1:2">
      <c r="A71" t="s">
        <v>65</v>
      </c>
      <c r="B71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2025-08-17T00:56:58Z</dcterms:modified>
</cp:coreProperties>
</file>