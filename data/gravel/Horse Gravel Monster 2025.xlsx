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B9DA5CD-CDD9-3547-874A-C52338EA5E08}" xr6:coauthVersionLast="47" xr6:coauthVersionMax="47" xr10:uidLastSave="{00000000-0000-0000-0000-000000000000}"/>
  <bookViews>
    <workbookView xWindow="35760" yWindow="-2618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  <c r="E20" i="1"/>
  <c r="F20" i="1"/>
  <c r="G20" i="1"/>
  <c r="H20" i="1"/>
  <c r="C20" i="1"/>
  <c r="D9" i="1"/>
  <c r="E9" i="1"/>
  <c r="F9" i="1"/>
  <c r="G9" i="1"/>
  <c r="H9" i="1"/>
  <c r="C9" i="1"/>
</calcChain>
</file>

<file path=xl/sharedStrings.xml><?xml version="1.0" encoding="utf-8"?>
<sst xmlns="http://schemas.openxmlformats.org/spreadsheetml/2006/main" count="121" uniqueCount="113">
  <si>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</si>
  <si>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</si>
  <si>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</si>
  <si>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</si>
  <si>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</si>
  <si>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</si>
  <si>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</si>
  <si>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</si>
  <si>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</si>
  <si>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</si>
  <si>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</si>
  <si>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</si>
  <si>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</si>
  <si>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</si>
  <si>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</si>
  <si>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</si>
  <si>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</si>
  <si>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</si>
  <si>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</si>
  <si>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</si>
  <si>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</si>
  <si>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</si>
  <si>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</si>
  <si>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</si>
  <si>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</si>
  <si>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</si>
  <si>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</si>
  <si>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</si>
  <si>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</si>
  <si>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</si>
  <si>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</si>
  <si>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</si>
  <si>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</si>
  <si>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</si>
  <si>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</si>
  <si>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</si>
  <si>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</si>
  <si>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</si>
  <si>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</si>
  <si>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</si>
  <si>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</si>
  <si>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</si>
  <si>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</si>
  <si>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</si>
  <si>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</si>
  <si>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</si>
  <si>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</si>
  <si>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</si>
  <si>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</si>
  <si>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</si>
  <si>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</si>
  <si>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</si>
  <si>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</si>
  <si>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</si>
  <si>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</si>
  <si>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</si>
  <si>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</si>
  <si>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</si>
  <si>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</si>
  <si>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</si>
  <si>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</si>
  <si>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</si>
  <si>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</si>
  <si>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</si>
  <si>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</si>
  <si>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</si>
  <si>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</si>
  <si>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</si>
  <si>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</si>
  <si>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drop bar</t>
  </si>
  <si>
    <t>fork</t>
  </si>
  <si>
    <t>rigid</t>
  </si>
  <si>
    <t>trail</t>
  </si>
  <si>
    <t>location</t>
  </si>
  <si>
    <t>head_tube_d</t>
  </si>
  <si>
    <t>headset_upper</t>
  </si>
  <si>
    <t>headset_lower</t>
  </si>
  <si>
    <t>fork_steerer</t>
  </si>
  <si>
    <t>fork_steerer_d</t>
  </si>
  <si>
    <t>fork_material</t>
  </si>
  <si>
    <t>threaded</t>
  </si>
  <si>
    <t>t47</t>
  </si>
  <si>
    <t>Horse</t>
  </si>
  <si>
    <t>Gravel Monster</t>
  </si>
  <si>
    <t>50cm</t>
  </si>
  <si>
    <t>52cm</t>
  </si>
  <si>
    <t>54cm</t>
  </si>
  <si>
    <t>55cm</t>
  </si>
  <si>
    <t>56cm</t>
  </si>
  <si>
    <t>58cm</t>
  </si>
  <si>
    <t>Seat Tube (Effective)</t>
  </si>
  <si>
    <t>Seat Tube (Actual)</t>
  </si>
  <si>
    <t>Top Tube Length</t>
  </si>
  <si>
    <t>HT Angle</t>
  </si>
  <si>
    <t>ST Angle</t>
  </si>
  <si>
    <t>Chainstay Length</t>
  </si>
  <si>
    <t>Standover Height</t>
  </si>
  <si>
    <t>BB Height</t>
  </si>
  <si>
    <t>Stack</t>
  </si>
  <si>
    <t>Reach</t>
  </si>
  <si>
    <t>Wheelbase</t>
  </si>
  <si>
    <t>steel</t>
  </si>
  <si>
    <t>frame size</t>
  </si>
  <si>
    <t>bb_height</t>
  </si>
  <si>
    <t>seat_tube_length_effective</t>
  </si>
  <si>
    <t>Enve G</t>
  </si>
  <si>
    <t>columbus</t>
  </si>
  <si>
    <t>optional</t>
  </si>
  <si>
    <t>USD</t>
  </si>
  <si>
    <t>https://images.squarespace-cdn.com/content/v1/52712b93e4b0aa61f185f485/1584484160175-HRRG99UCH20NBDZM57Z7/GRAVEL+MONSTER+ENVE+WEB.jpg?format=1000w</t>
  </si>
  <si>
    <t>http://www.horsebrand.co/bikes/gravel-monster</t>
  </si>
  <si>
    <t>Brooklyn, New York, USA</t>
  </si>
  <si>
    <t>a8:h33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</si>
</sst>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  <font>
      <sz val="14"/>
      <color rgb="FF444746"/>
      <name val="Futura Medium"/>
    </font>
    <font>
      <sz val="14"/>
      <color rgb="FF0A0A0A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0"/>
  <sheetViews>
    <sheetView tabSelected="1" workbookViewId="0">
      <selection activeCell="B8" sqref="B8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0" x14ac:dyDescent="0.3">
      <c r="A1" s="1" t="s">
        <v>0</v>
      </c>
      <c r="B1" s="1" t="s">
        <v>82</v>
      </c>
    </row>
    <row r="2" spans="1:10" x14ac:dyDescent="0.3">
      <c r="A2" s="1" t="s">
        <v>1</v>
      </c>
      <c r="B2" s="1" t="s">
        <v>83</v>
      </c>
    </row>
    <row r="3" spans="1:10" x14ac:dyDescent="0.3">
      <c r="A3" s="1" t="s">
        <v>2</v>
      </c>
      <c r="B3" s="1">
        <v>2025</v>
      </c>
    </row>
    <row r="4" spans="1:10" x14ac:dyDescent="0.3">
      <c r="A4" s="1" t="s">
        <v>3</v>
      </c>
      <c r="B4" s="2">
        <v>45989</v>
      </c>
    </row>
    <row r="5" spans="1:10" x14ac:dyDescent="0.3">
      <c r="A5" s="1" t="s">
        <v>4</v>
      </c>
      <c r="B5" s="1" t="s">
        <v>110</v>
      </c>
    </row>
    <row r="6" spans="1:10" x14ac:dyDescent="0.3">
      <c r="B6" s="1" t="s">
        <v>109</v>
      </c>
      <c r="C6" s="3"/>
      <c r="D6" s="3"/>
      <c r="E6" s="3"/>
      <c r="F6" s="3"/>
      <c r="G6" s="3"/>
      <c r="H6" s="3"/>
      <c r="I6" s="3"/>
      <c r="J6" s="3"/>
    </row>
    <row r="7" spans="1:10" x14ac:dyDescent="0.3">
      <c r="A7" s="1" t="s">
        <v>5</v>
      </c>
      <c r="B7" s="1" t="s">
        <v>112</v>
      </c>
      <c r="C7" s="3"/>
      <c r="D7" s="3"/>
      <c r="E7" s="3"/>
      <c r="F7" s="3"/>
      <c r="G7" s="3"/>
      <c r="H7" s="3"/>
      <c r="I7" s="3"/>
      <c r="J7" s="3"/>
    </row>
    <row r="8" spans="1:10" x14ac:dyDescent="0.3">
      <c r="A8" s="1" t="s">
        <v>6</v>
      </c>
      <c r="B8" s="5" t="s">
        <v>102</v>
      </c>
      <c r="C8" s="1" t="s">
        <v>84</v>
      </c>
      <c r="D8" s="1" t="s">
        <v>85</v>
      </c>
      <c r="E8" s="1" t="s">
        <v>86</v>
      </c>
      <c r="F8" s="1" t="s">
        <v>87</v>
      </c>
      <c r="G8" s="1" t="s">
        <v>88</v>
      </c>
      <c r="H8" s="1" t="s">
        <v>89</v>
      </c>
    </row>
    <row r="9" spans="1:10" x14ac:dyDescent="0.3">
      <c r="A9" s="1" t="s">
        <v>104</v>
      </c>
      <c r="B9" s="1" t="s">
        <v>90</v>
      </c>
      <c r="C9" s="1">
        <f>VALUE(LEFT(C8,2)) * 10</f>
        <v>500</v>
      </c>
      <c r="D9" s="1">
        <f t="shared" ref="D9:H9" si="0">VALUE(LEFT(D8,2)) * 10</f>
        <v>520</v>
      </c>
      <c r="E9" s="1">
        <f t="shared" si="0"/>
        <v>540</v>
      </c>
      <c r="F9" s="1">
        <f t="shared" si="0"/>
        <v>550</v>
      </c>
      <c r="G9" s="1">
        <f t="shared" si="0"/>
        <v>560</v>
      </c>
      <c r="H9" s="1">
        <f t="shared" si="0"/>
        <v>580</v>
      </c>
    </row>
    <row r="10" spans="1:10" x14ac:dyDescent="0.3">
      <c r="A10" s="1" t="s">
        <v>7</v>
      </c>
      <c r="B10" s="1" t="s">
        <v>91</v>
      </c>
      <c r="C10" s="1">
        <v>440</v>
      </c>
      <c r="D10" s="1">
        <v>458</v>
      </c>
      <c r="E10" s="1">
        <v>475</v>
      </c>
      <c r="F10" s="1">
        <v>490</v>
      </c>
      <c r="G10" s="1">
        <v>500</v>
      </c>
      <c r="H10" s="1">
        <v>520</v>
      </c>
    </row>
    <row r="11" spans="1:10" x14ac:dyDescent="0.3">
      <c r="A11" s="1" t="s">
        <v>8</v>
      </c>
      <c r="B11" s="1" t="s">
        <v>92</v>
      </c>
      <c r="C11" s="1">
        <v>530</v>
      </c>
      <c r="D11" s="1">
        <v>535</v>
      </c>
      <c r="E11" s="1">
        <v>545</v>
      </c>
      <c r="F11" s="1">
        <v>555</v>
      </c>
      <c r="G11" s="1">
        <v>565</v>
      </c>
      <c r="H11" s="1">
        <v>585</v>
      </c>
    </row>
    <row r="12" spans="1:10" x14ac:dyDescent="0.3">
      <c r="A12" s="1" t="s">
        <v>11</v>
      </c>
      <c r="B12" s="1" t="s">
        <v>93</v>
      </c>
      <c r="C12" s="1">
        <v>71</v>
      </c>
      <c r="D12" s="1">
        <v>71.5</v>
      </c>
      <c r="E12" s="1">
        <v>72</v>
      </c>
      <c r="F12" s="1">
        <v>72.5</v>
      </c>
      <c r="G12" s="1">
        <v>72.5</v>
      </c>
      <c r="H12" s="1">
        <v>72.5</v>
      </c>
    </row>
    <row r="13" spans="1:10" x14ac:dyDescent="0.3">
      <c r="A13" s="1" t="s">
        <v>10</v>
      </c>
      <c r="B13" s="1" t="s">
        <v>94</v>
      </c>
      <c r="C13" s="1">
        <v>74</v>
      </c>
      <c r="D13" s="1">
        <v>74</v>
      </c>
      <c r="E13" s="1">
        <v>73</v>
      </c>
      <c r="F13" s="1">
        <v>73</v>
      </c>
      <c r="G13" s="1">
        <v>72.5</v>
      </c>
      <c r="H13" s="1">
        <v>72.5</v>
      </c>
    </row>
    <row r="14" spans="1:10" x14ac:dyDescent="0.3">
      <c r="A14" s="1" t="s">
        <v>12</v>
      </c>
      <c r="B14" s="1" t="s">
        <v>95</v>
      </c>
      <c r="C14" s="1">
        <v>423</v>
      </c>
      <c r="D14" s="1">
        <v>423</v>
      </c>
      <c r="E14" s="1">
        <v>423</v>
      </c>
      <c r="F14" s="1">
        <v>423</v>
      </c>
      <c r="G14" s="1">
        <v>423</v>
      </c>
      <c r="H14" s="1">
        <v>423</v>
      </c>
    </row>
    <row r="15" spans="1:10" x14ac:dyDescent="0.3">
      <c r="A15" s="1" t="s">
        <v>15</v>
      </c>
      <c r="B15" s="1" t="s">
        <v>96</v>
      </c>
      <c r="C15" s="1">
        <v>750</v>
      </c>
      <c r="D15" s="1">
        <v>765</v>
      </c>
      <c r="E15" s="1">
        <v>775</v>
      </c>
      <c r="F15" s="1">
        <v>790</v>
      </c>
      <c r="G15" s="1">
        <v>800</v>
      </c>
      <c r="H15" s="1">
        <v>815</v>
      </c>
    </row>
    <row r="16" spans="1:10" x14ac:dyDescent="0.3">
      <c r="A16" s="1" t="s">
        <v>103</v>
      </c>
      <c r="B16" s="1" t="s">
        <v>97</v>
      </c>
      <c r="C16" s="1">
        <v>270</v>
      </c>
      <c r="D16" s="1">
        <v>270</v>
      </c>
      <c r="E16" s="1">
        <v>270</v>
      </c>
      <c r="F16" s="1">
        <v>270</v>
      </c>
      <c r="G16" s="1">
        <v>270</v>
      </c>
      <c r="H16" s="1">
        <v>270</v>
      </c>
    </row>
    <row r="17" spans="1:10" x14ac:dyDescent="0.3">
      <c r="A17" s="1" t="s">
        <v>16</v>
      </c>
      <c r="B17" s="1" t="s">
        <v>98</v>
      </c>
      <c r="C17" s="1">
        <v>537</v>
      </c>
      <c r="D17" s="1">
        <v>545</v>
      </c>
      <c r="E17" s="1">
        <v>549</v>
      </c>
      <c r="F17" s="1">
        <v>555</v>
      </c>
      <c r="G17" s="1">
        <v>567</v>
      </c>
      <c r="H17" s="1">
        <v>584</v>
      </c>
    </row>
    <row r="18" spans="1:10" x14ac:dyDescent="0.3">
      <c r="A18" s="1" t="s">
        <v>17</v>
      </c>
      <c r="B18" s="1" t="s">
        <v>99</v>
      </c>
      <c r="C18" s="1">
        <v>374</v>
      </c>
      <c r="D18" s="1">
        <v>377</v>
      </c>
      <c r="E18" s="1">
        <v>377</v>
      </c>
      <c r="F18" s="1">
        <v>385</v>
      </c>
      <c r="G18" s="1">
        <v>385</v>
      </c>
      <c r="H18" s="1">
        <v>401</v>
      </c>
    </row>
    <row r="19" spans="1:10" x14ac:dyDescent="0.3">
      <c r="A19" s="1" t="s">
        <v>14</v>
      </c>
      <c r="B19" s="1" t="s">
        <v>100</v>
      </c>
      <c r="C19" s="1">
        <v>1002</v>
      </c>
      <c r="D19" s="1">
        <v>1003</v>
      </c>
      <c r="E19" s="1">
        <v>1000</v>
      </c>
      <c r="F19" s="1">
        <v>1004</v>
      </c>
      <c r="G19" s="1">
        <v>1004</v>
      </c>
      <c r="H19" s="1">
        <v>1029</v>
      </c>
    </row>
    <row r="20" spans="1:10" x14ac:dyDescent="0.3">
      <c r="A20" s="1" t="s">
        <v>13</v>
      </c>
      <c r="C20" s="1">
        <f>(584 + 2.25*25.4*2)/2 -C16</f>
        <v>79.149999999999977</v>
      </c>
      <c r="D20" s="1">
        <f>(584 + 2.25*25.4*2)/2 -D16</f>
        <v>79.149999999999977</v>
      </c>
      <c r="E20" s="1">
        <f>(584 + 2.25*25.4*2)/2 -E16</f>
        <v>79.149999999999977</v>
      </c>
      <c r="F20" s="1">
        <f>(584 + 2.25*25.4*2)/2 -F16</f>
        <v>79.149999999999977</v>
      </c>
      <c r="G20" s="1">
        <f>(584 + 2.25*25.4*2)/2 -G16</f>
        <v>79.149999999999977</v>
      </c>
      <c r="H20" s="1">
        <f>(584 + 2.25*25.4*2)/2 -H16</f>
        <v>79.149999999999977</v>
      </c>
    </row>
    <row r="21" spans="1:10" x14ac:dyDescent="0.3">
      <c r="A21" s="1" t="s">
        <v>9</v>
      </c>
    </row>
    <row r="22" spans="1:10" x14ac:dyDescent="0.3">
      <c r="A22" s="1" t="s">
        <v>22</v>
      </c>
      <c r="C22" s="1">
        <v>395</v>
      </c>
      <c r="D22" s="1">
        <v>395</v>
      </c>
      <c r="E22" s="1">
        <v>395</v>
      </c>
      <c r="F22" s="1">
        <v>395</v>
      </c>
      <c r="G22" s="1">
        <v>395</v>
      </c>
      <c r="H22" s="1">
        <v>395</v>
      </c>
      <c r="I22" s="1" t="s">
        <v>105</v>
      </c>
    </row>
    <row r="23" spans="1:10" x14ac:dyDescent="0.3">
      <c r="A23" s="1" t="s">
        <v>18</v>
      </c>
      <c r="C23" s="1">
        <v>47</v>
      </c>
      <c r="D23" s="1">
        <v>47</v>
      </c>
      <c r="E23" s="1">
        <v>47</v>
      </c>
      <c r="F23" s="1">
        <v>47</v>
      </c>
      <c r="G23" s="1">
        <v>47</v>
      </c>
      <c r="H23" s="1">
        <v>47</v>
      </c>
    </row>
    <row r="24" spans="1:10" x14ac:dyDescent="0.3">
      <c r="A24" s="1" t="s">
        <v>72</v>
      </c>
    </row>
    <row r="25" spans="1:10" x14ac:dyDescent="0.3">
      <c r="A25" s="1" t="s">
        <v>19</v>
      </c>
    </row>
    <row r="26" spans="1:10" x14ac:dyDescent="0.3">
      <c r="A26" s="1" t="s">
        <v>20</v>
      </c>
    </row>
    <row r="27" spans="1:10" x14ac:dyDescent="0.3">
      <c r="A27" s="1" t="s">
        <v>21</v>
      </c>
    </row>
    <row r="28" spans="1:10" x14ac:dyDescent="0.3">
      <c r="A28" s="1" t="s">
        <v>23</v>
      </c>
    </row>
    <row r="29" spans="1:10" x14ac:dyDescent="0.3">
      <c r="A29" s="1" t="s">
        <v>24</v>
      </c>
      <c r="B29" s="1" t="s">
        <v>24</v>
      </c>
      <c r="C29" s="4">
        <v>650</v>
      </c>
      <c r="D29" s="4">
        <v>650</v>
      </c>
      <c r="E29" s="4">
        <v>650</v>
      </c>
      <c r="F29" s="4">
        <v>650</v>
      </c>
      <c r="G29" s="4">
        <v>650</v>
      </c>
      <c r="H29" s="4">
        <v>650</v>
      </c>
      <c r="I29" s="4"/>
      <c r="J29" s="4"/>
    </row>
    <row r="30" spans="1:10" x14ac:dyDescent="0.3">
      <c r="A30" s="1" t="s">
        <v>25</v>
      </c>
      <c r="B30" s="1" t="s">
        <v>25</v>
      </c>
      <c r="C30" s="4">
        <v>2.25</v>
      </c>
      <c r="D30" s="4">
        <v>2.25</v>
      </c>
      <c r="E30" s="4">
        <v>2.25</v>
      </c>
      <c r="F30" s="4">
        <v>2.25</v>
      </c>
      <c r="G30" s="4">
        <v>2.25</v>
      </c>
      <c r="H30" s="4">
        <v>2.25</v>
      </c>
      <c r="I30" s="4"/>
      <c r="J30" s="4"/>
    </row>
    <row r="31" spans="1:10" x14ac:dyDescent="0.3">
      <c r="A31" s="1" t="s">
        <v>26</v>
      </c>
      <c r="B31" s="1" t="s">
        <v>26</v>
      </c>
      <c r="C31" s="1">
        <v>2.25</v>
      </c>
      <c r="D31" s="1">
        <v>2.25</v>
      </c>
      <c r="E31" s="1">
        <v>2.25</v>
      </c>
      <c r="F31" s="1">
        <v>2.25</v>
      </c>
      <c r="G31" s="1">
        <v>2.25</v>
      </c>
      <c r="H31" s="1">
        <v>2.25</v>
      </c>
    </row>
    <row r="32" spans="1:10" x14ac:dyDescent="0.3">
      <c r="A32" s="1" t="s">
        <v>27</v>
      </c>
      <c r="B32" s="1" t="s">
        <v>27</v>
      </c>
    </row>
    <row r="33" spans="1:7" x14ac:dyDescent="0.3">
      <c r="A33" s="1" t="s">
        <v>28</v>
      </c>
      <c r="B33" s="1" t="s">
        <v>28</v>
      </c>
    </row>
    <row r="35" spans="1:7" x14ac:dyDescent="0.3">
      <c r="A35" s="1" t="s">
        <v>29</v>
      </c>
      <c r="B35" s="1" t="s">
        <v>30</v>
      </c>
      <c r="G35" s="4"/>
    </row>
    <row r="36" spans="1:7" x14ac:dyDescent="0.3">
      <c r="A36" s="1" t="s">
        <v>66</v>
      </c>
      <c r="B36" s="1" t="s">
        <v>67</v>
      </c>
      <c r="C36" s="4"/>
      <c r="D36" s="4"/>
      <c r="E36" s="4"/>
      <c r="F36" s="4"/>
    </row>
    <row r="37" spans="1:7" x14ac:dyDescent="0.3">
      <c r="A37" s="1" t="s">
        <v>68</v>
      </c>
      <c r="B37" s="1" t="s">
        <v>69</v>
      </c>
    </row>
    <row r="38" spans="1:7" x14ac:dyDescent="0.3">
      <c r="A38" s="1" t="s">
        <v>70</v>
      </c>
      <c r="B38" s="1" t="s">
        <v>71</v>
      </c>
    </row>
    <row r="39" spans="1:7" x14ac:dyDescent="0.3">
      <c r="A39" s="1" t="s">
        <v>31</v>
      </c>
      <c r="B39" s="1" t="s">
        <v>101</v>
      </c>
      <c r="C39" s="1" t="s">
        <v>106</v>
      </c>
    </row>
    <row r="40" spans="1:7" x14ac:dyDescent="0.3">
      <c r="A40" s="1" t="s">
        <v>32</v>
      </c>
    </row>
    <row r="41" spans="1:7" x14ac:dyDescent="0.3">
      <c r="A41" s="1" t="s">
        <v>33</v>
      </c>
    </row>
    <row r="42" spans="1:7" x14ac:dyDescent="0.3">
      <c r="A42" s="1" t="s">
        <v>34</v>
      </c>
      <c r="B42" s="1">
        <v>50</v>
      </c>
    </row>
    <row r="43" spans="1:7" x14ac:dyDescent="0.3">
      <c r="A43" s="1" t="s">
        <v>35</v>
      </c>
      <c r="B43" s="1">
        <v>2.25</v>
      </c>
    </row>
    <row r="44" spans="1:7" x14ac:dyDescent="0.3">
      <c r="A44" s="1" t="s">
        <v>36</v>
      </c>
    </row>
    <row r="45" spans="1:7" x14ac:dyDescent="0.3">
      <c r="A45" s="1" t="s">
        <v>37</v>
      </c>
    </row>
    <row r="46" spans="1:7" x14ac:dyDescent="0.3">
      <c r="A46" s="1" t="s">
        <v>38</v>
      </c>
    </row>
    <row r="47" spans="1:7" x14ac:dyDescent="0.3">
      <c r="A47" s="1" t="s">
        <v>39</v>
      </c>
    </row>
    <row r="48" spans="1:7" x14ac:dyDescent="0.3">
      <c r="A48" s="1" t="s">
        <v>40</v>
      </c>
      <c r="B48" s="1">
        <v>142</v>
      </c>
    </row>
    <row r="49" spans="1:3" x14ac:dyDescent="0.3">
      <c r="A49" s="1" t="s">
        <v>41</v>
      </c>
      <c r="B49" s="1">
        <v>100</v>
      </c>
    </row>
    <row r="50" spans="1:3" x14ac:dyDescent="0.3">
      <c r="A50" s="1" t="s">
        <v>74</v>
      </c>
      <c r="B50" s="1">
        <v>44</v>
      </c>
    </row>
    <row r="51" spans="1:3" x14ac:dyDescent="0.3">
      <c r="A51" s="1" t="s">
        <v>75</v>
      </c>
      <c r="B51" s="3"/>
    </row>
    <row r="52" spans="1:3" x14ac:dyDescent="0.3">
      <c r="A52" s="1" t="s">
        <v>76</v>
      </c>
    </row>
    <row r="53" spans="1:3" x14ac:dyDescent="0.3">
      <c r="A53" s="1" t="s">
        <v>77</v>
      </c>
    </row>
    <row r="54" spans="1:3" x14ac:dyDescent="0.3">
      <c r="A54" s="1" t="s">
        <v>78</v>
      </c>
    </row>
    <row r="55" spans="1:3" x14ac:dyDescent="0.3">
      <c r="A55" s="1" t="s">
        <v>79</v>
      </c>
    </row>
    <row r="56" spans="1:3" x14ac:dyDescent="0.3">
      <c r="A56" s="1" t="s">
        <v>42</v>
      </c>
      <c r="B56" s="1" t="s">
        <v>80</v>
      </c>
      <c r="C56" s="1" t="s">
        <v>81</v>
      </c>
    </row>
    <row r="57" spans="1:3" x14ac:dyDescent="0.3">
      <c r="A57" s="1" t="s">
        <v>43</v>
      </c>
    </row>
    <row r="58" spans="1:3" x14ac:dyDescent="0.3">
      <c r="A58" s="1" t="s">
        <v>44</v>
      </c>
      <c r="B58" s="1">
        <v>27.2</v>
      </c>
    </row>
    <row r="59" spans="1:3" x14ac:dyDescent="0.3">
      <c r="A59" s="1" t="s">
        <v>45</v>
      </c>
    </row>
    <row r="60" spans="1:3" x14ac:dyDescent="0.3">
      <c r="A60" s="1" t="s">
        <v>46</v>
      </c>
    </row>
    <row r="61" spans="1:3" x14ac:dyDescent="0.3">
      <c r="A61" s="1" t="s">
        <v>47</v>
      </c>
    </row>
    <row r="62" spans="1:3" x14ac:dyDescent="0.3">
      <c r="A62" s="1" t="s">
        <v>48</v>
      </c>
    </row>
    <row r="63" spans="1:3" x14ac:dyDescent="0.3">
      <c r="A63" s="1" t="s">
        <v>49</v>
      </c>
    </row>
    <row r="64" spans="1:3" x14ac:dyDescent="0.3">
      <c r="A64" s="1" t="s">
        <v>50</v>
      </c>
    </row>
    <row r="65" spans="1:2" x14ac:dyDescent="0.3">
      <c r="A65" s="1" t="s">
        <v>51</v>
      </c>
      <c r="B65" s="1" t="s">
        <v>107</v>
      </c>
    </row>
    <row r="66" spans="1:2" x14ac:dyDescent="0.3">
      <c r="A66" s="1" t="s">
        <v>52</v>
      </c>
      <c r="B66" s="1" t="s">
        <v>107</v>
      </c>
    </row>
    <row r="67" spans="1:2" x14ac:dyDescent="0.3">
      <c r="A67" s="1" t="s">
        <v>53</v>
      </c>
    </row>
    <row r="68" spans="1:2" x14ac:dyDescent="0.3">
      <c r="A68" s="1" t="s">
        <v>54</v>
      </c>
    </row>
    <row r="69" spans="1:2" x14ac:dyDescent="0.3">
      <c r="A69" s="1" t="s">
        <v>55</v>
      </c>
      <c r="B69" s="1">
        <v>2</v>
      </c>
    </row>
    <row r="70" spans="1:2" x14ac:dyDescent="0.3">
      <c r="A70" s="1" t="s">
        <v>56</v>
      </c>
      <c r="B70" s="1" t="s">
        <v>107</v>
      </c>
    </row>
    <row r="71" spans="1:2" x14ac:dyDescent="0.3">
      <c r="A71" s="1" t="s">
        <v>57</v>
      </c>
    </row>
    <row r="72" spans="1:2" x14ac:dyDescent="0.3">
      <c r="A72" s="1" t="s">
        <v>58</v>
      </c>
    </row>
    <row r="73" spans="1:2" x14ac:dyDescent="0.3">
      <c r="A73" s="1" t="s">
        <v>59</v>
      </c>
      <c r="B73" s="1" t="s">
        <v>107</v>
      </c>
    </row>
    <row r="74" spans="1:2" x14ac:dyDescent="0.3">
      <c r="A74" s="1" t="s">
        <v>60</v>
      </c>
    </row>
    <row r="75" spans="1:2" x14ac:dyDescent="0.3">
      <c r="A75" s="1" t="s">
        <v>61</v>
      </c>
    </row>
    <row r="76" spans="1:2" x14ac:dyDescent="0.3">
      <c r="A76" s="1" t="s">
        <v>62</v>
      </c>
      <c r="B76" s="1">
        <v>2950</v>
      </c>
    </row>
    <row r="77" spans="1:2" x14ac:dyDescent="0.3">
      <c r="A77" s="1" t="s">
        <v>63</v>
      </c>
    </row>
    <row r="78" spans="1:2" x14ac:dyDescent="0.3">
      <c r="A78" s="1" t="s">
        <v>64</v>
      </c>
    </row>
    <row r="79" spans="1:2" x14ac:dyDescent="0.3">
      <c r="A79" s="1" t="s">
        <v>65</v>
      </c>
      <c r="B79" s="1" t="s">
        <v>108</v>
      </c>
    </row>
    <row r="80" spans="1:2" x14ac:dyDescent="0.3">
      <c r="A80" s="1" t="s">
        <v>73</v>
      </c>
      <c r="B80" s="6" t="s">
        <v>111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2025-11-28T13:49:38Z</dcterms:modified>
</cp:coreProperties>
</file>