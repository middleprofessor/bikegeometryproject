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22"/>
  <workbookPr/>
  <mc:AlternateContent xmlns:mc="http://schemas.openxmlformats.org/markup-compatibility/2006">
    <mc:Choice Requires="x15">
      <x15ac:absPath xmlns:x15ac="http://schemas.microsoft.com/office/spreadsheetml/2010/11/ac" url="/Users/walker/Documents/Github/Bike Geometry Project/data/gravel/"/>
    </mc:Choice>
  </mc:AlternateContent>
  <xr:revisionPtr revIDLastSave="0" documentId="13_ncr:1_{4004A29C-D576-5B43-970C-7A777988D3F5}" xr6:coauthVersionLast="47" xr6:coauthVersionMax="47" xr10:uidLastSave="{00000000-0000-0000-0000-000000000000}"/>
  <bookViews>
    <workbookView xWindow="2700" yWindow="1340" windowWidth="26100" windowHeight="150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7" i="1" l="1"/>
  <c r="E17" i="1"/>
  <c r="F17" i="1"/>
  <c r="C17" i="1"/>
  <c r="F35" i="1"/>
  <c r="F34" i="1"/>
  <c r="E35" i="1" s="1"/>
  <c r="E34" i="1"/>
  <c r="D35" i="1" s="1"/>
  <c r="D34" i="1"/>
  <c r="C35" i="1" s="1"/>
  <c r="C34" i="1"/>
</calcChain>
</file>

<file path=xl/sharedStrings.xml><?xml version="1.0" encoding="utf-8"?>
<sst xmlns="http://schemas.openxmlformats.org/spreadsheetml/2006/main" count="133" uniqueCount="127">
  <si>
    <t>brand</t>
  </si>
  <si>
    <t>model</t>
  </si>
  <si>
    <t>model year</t>
  </si>
  <si>
    <t>2025</t>
  </si>
  <si>
    <t>input date</t>
  </si>
  <si>
    <t>URL</t>
  </si>
  <si>
    <t>data_range</t>
  </si>
  <si>
    <t>frame_size</t>
  </si>
  <si>
    <t>top_tube_effective_length</t>
  </si>
  <si>
    <t>seat_tube_length</t>
  </si>
  <si>
    <t>head_tube_length</t>
  </si>
  <si>
    <t>chainstay_length</t>
  </si>
  <si>
    <t>bottom_bracket_drop</t>
  </si>
  <si>
    <t>seat_tube_angle</t>
  </si>
  <si>
    <t>head_tube_angle</t>
  </si>
  <si>
    <t>fork_offset_rake</t>
  </si>
  <si>
    <t>stack</t>
  </si>
  <si>
    <t>reach</t>
  </si>
  <si>
    <t>wheelbase</t>
  </si>
  <si>
    <t>front_center</t>
  </si>
  <si>
    <t>axle_crown</t>
  </si>
  <si>
    <t>trail</t>
  </si>
  <si>
    <t>handlebar_width</t>
  </si>
  <si>
    <t>stem_length</t>
  </si>
  <si>
    <t>crank_length</t>
  </si>
  <si>
    <t>standover</t>
  </si>
  <si>
    <t>wheel_size</t>
  </si>
  <si>
    <t>tire_width_spec</t>
  </si>
  <si>
    <t>tire_width_max</t>
  </si>
  <si>
    <t>rider_min</t>
  </si>
  <si>
    <t>rider_max</t>
  </si>
  <si>
    <t>spec_list</t>
  </si>
  <si>
    <t>value</t>
  </si>
  <si>
    <t>material</t>
  </si>
  <si>
    <t>udh</t>
  </si>
  <si>
    <t>yes</t>
  </si>
  <si>
    <t>dropout</t>
  </si>
  <si>
    <t>tire_width_max_700c</t>
  </si>
  <si>
    <t>tire_width_max_650b</t>
  </si>
  <si>
    <t>suspension_corrected</t>
  </si>
  <si>
    <t>fork_suspension</t>
  </si>
  <si>
    <t>stem_suspension</t>
  </si>
  <si>
    <t>rear_suspension</t>
  </si>
  <si>
    <t>rear_axle</t>
  </si>
  <si>
    <t>front_axle</t>
  </si>
  <si>
    <t>bottom_bracket</t>
  </si>
  <si>
    <t>q_factor</t>
  </si>
  <si>
    <t>seatpost_diameter</t>
  </si>
  <si>
    <t>front_derailleur</t>
  </si>
  <si>
    <t>max_chainring_1x</t>
  </si>
  <si>
    <t>max_chainring_2x</t>
  </si>
  <si>
    <t>rotor_max_front</t>
  </si>
  <si>
    <t>rotor_max_rear</t>
  </si>
  <si>
    <t>iso_astm</t>
  </si>
  <si>
    <t>routing_shifter</t>
  </si>
  <si>
    <t>routing_dropper</t>
  </si>
  <si>
    <t>routing_dynamo</t>
  </si>
  <si>
    <t>internal_storage</t>
  </si>
  <si>
    <t>mounts_inner</t>
  </si>
  <si>
    <t>mounts_under</t>
  </si>
  <si>
    <t>mounts_top</t>
  </si>
  <si>
    <t>mounts_fork</t>
  </si>
  <si>
    <t>mounts_fender</t>
  </si>
  <si>
    <t>mounts_rack_front</t>
  </si>
  <si>
    <t>mounts_rack_rear</t>
  </si>
  <si>
    <t>frameset</t>
  </si>
  <si>
    <t>base_build</t>
  </si>
  <si>
    <t>custom_builds</t>
  </si>
  <si>
    <t>currency</t>
  </si>
  <si>
    <t>class</t>
  </si>
  <si>
    <t>hardtail</t>
  </si>
  <si>
    <t>handlebar</t>
  </si>
  <si>
    <t>fork</t>
  </si>
  <si>
    <t>Esker</t>
  </si>
  <si>
    <t>Effective TT Length</t>
  </si>
  <si>
    <t>Reach</t>
  </si>
  <si>
    <t>Stack</t>
  </si>
  <si>
    <t>HT Angle</t>
  </si>
  <si>
    <t>HT Length</t>
  </si>
  <si>
    <t>Effective ST Angle</t>
  </si>
  <si>
    <t>ST Length</t>
  </si>
  <si>
    <t>Max Seat Tube Insertion</t>
  </si>
  <si>
    <t>Fork Offset</t>
  </si>
  <si>
    <t>Fork Length</t>
  </si>
  <si>
    <t>BB Drop</t>
  </si>
  <si>
    <t>Wheelbase</t>
  </si>
  <si>
    <t>Stem Length</t>
  </si>
  <si>
    <t>Recommended Height Range</t>
  </si>
  <si>
    <t>5'3"-5'7"</t>
  </si>
  <si>
    <t>5'6"-5'10"</t>
  </si>
  <si>
    <t>5'9"-6'1"</t>
  </si>
  <si>
    <t>6'0"-6'4"</t>
  </si>
  <si>
    <t>max_seat_tube_insertion</t>
  </si>
  <si>
    <t>frame_weight</t>
  </si>
  <si>
    <t>no</t>
  </si>
  <si>
    <t>Chainstay Length - Adjustable</t>
  </si>
  <si>
    <t>*Hardtail geometry based on 30% fork sag*</t>
  </si>
  <si>
    <t>flat bar</t>
  </si>
  <si>
    <t>S1/SM</t>
  </si>
  <si>
    <t>S2/MD</t>
  </si>
  <si>
    <t>S3/LG</t>
  </si>
  <si>
    <t>S4/XL</t>
  </si>
  <si>
    <t>USD</t>
  </si>
  <si>
    <t>effectively equal to rigid fork of this length</t>
  </si>
  <si>
    <t>suspension</t>
  </si>
  <si>
    <t>location</t>
  </si>
  <si>
    <t>Minneapolis, Minnesota, USA</t>
  </si>
  <si>
    <t>head_tube_d</t>
  </si>
  <si>
    <t>headset_upper</t>
  </si>
  <si>
    <t>headset_lower</t>
  </si>
  <si>
    <t>fork_steerer</t>
  </si>
  <si>
    <t>fork_steerer_d</t>
  </si>
  <si>
    <t>fork_material</t>
  </si>
  <si>
    <t>Hayduke</t>
  </si>
  <si>
    <t>https://eskercycles.com/pages/hayduke</t>
  </si>
  <si>
    <t>https://i.shgcdn.com/062ecdfc-4806-4e53-bd64-d77df5e30013/-/resize/2048x/</t>
  </si>
  <si>
    <t>GEOMETRY</t>
  </si>
  <si>
    <t>440–454</t>
  </si>
  <si>
    <t>ZS44</t>
  </si>
  <si>
    <t>EC44</t>
  </si>
  <si>
    <t>internal</t>
  </si>
  <si>
    <t>threaded 73</t>
  </si>
  <si>
    <t>frame</t>
  </si>
  <si>
    <t>steel</t>
  </si>
  <si>
    <t>fork_travel</t>
  </si>
  <si>
    <t>fork_sag</t>
  </si>
  <si>
    <t>a8:f35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</si>
</sst>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4"/>
      <color rgb="FF000000"/>
      <name val="Futura"/>
    </font>
    <font>
      <sz val="14"/>
      <color rgb="FF000000"/>
      <name val="Futura"/>
      <family val="2"/>
    </font>
    <font>
      <sz val="14"/>
      <color rgb="FF000000"/>
      <name val="Avenir Next"/>
      <family val="2"/>
    </font>
    <font>
      <b/>
      <sz val="14"/>
      <color rgb="FF236FA1"/>
      <name val="Inherit"/>
    </font>
    <font>
      <sz val="16"/>
      <color rgb="FF396D87"/>
      <name val="Avenir Next"/>
      <family val="2"/>
    </font>
    <font>
      <b/>
      <sz val="14"/>
      <color rgb="FF000000"/>
      <name val="Avenir Next"/>
      <family val="2"/>
    </font>
    <font>
      <sz val="14"/>
      <color rgb="FF000000"/>
      <name val="Futura Medium"/>
    </font>
    <font>
      <b/>
      <sz val="14"/>
      <color rgb="FF000000"/>
      <name val="Futura Medium"/>
    </font>
    <font>
      <i/>
      <sz val="14"/>
      <color rgb="FF000000"/>
      <name val="Futura Medium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15" fontId="1" fillId="0" borderId="0" xfId="0" applyNumberFormat="1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8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82"/>
  <sheetViews>
    <sheetView tabSelected="1" topLeftCell="A4" workbookViewId="0">
      <selection activeCell="B7" sqref="B7"/>
    </sheetView>
  </sheetViews>
  <sheetFormatPr baseColWidth="10" defaultRowHeight="20"/>
  <cols>
    <col min="1" max="2" width="19.6640625" customWidth="1"/>
  </cols>
  <sheetData>
    <row r="1" spans="1:6">
      <c r="A1" t="s">
        <v>0</v>
      </c>
      <c r="B1" s="1" t="s">
        <v>73</v>
      </c>
    </row>
    <row r="2" spans="1:6">
      <c r="A2" t="s">
        <v>1</v>
      </c>
      <c r="B2" s="1" t="s">
        <v>113</v>
      </c>
    </row>
    <row r="3" spans="1:6">
      <c r="A3" t="s">
        <v>2</v>
      </c>
      <c r="B3" t="s">
        <v>3</v>
      </c>
    </row>
    <row r="4" spans="1:6">
      <c r="A4" t="s">
        <v>4</v>
      </c>
      <c r="B4" s="2">
        <v>45882</v>
      </c>
    </row>
    <row r="5" spans="1:6">
      <c r="A5" t="s">
        <v>5</v>
      </c>
      <c r="B5" t="s">
        <v>114</v>
      </c>
    </row>
    <row r="6" spans="1:6">
      <c r="B6" t="s">
        <v>115</v>
      </c>
    </row>
    <row r="7" spans="1:6" ht="23">
      <c r="A7" t="s">
        <v>6</v>
      </c>
      <c r="B7" s="1" t="s">
        <v>126</v>
      </c>
      <c r="C7" s="5" t="s">
        <v>96</v>
      </c>
    </row>
    <row r="8" spans="1:6">
      <c r="A8" t="s">
        <v>7</v>
      </c>
      <c r="B8" s="7" t="s">
        <v>116</v>
      </c>
      <c r="C8" s="7" t="s">
        <v>98</v>
      </c>
      <c r="D8" s="7" t="s">
        <v>99</v>
      </c>
      <c r="E8" s="7" t="s">
        <v>100</v>
      </c>
      <c r="F8" s="7" t="s">
        <v>101</v>
      </c>
    </row>
    <row r="9" spans="1:6">
      <c r="A9" t="s">
        <v>8</v>
      </c>
      <c r="B9" s="8" t="s">
        <v>74</v>
      </c>
      <c r="C9" s="7">
        <v>597</v>
      </c>
      <c r="D9" s="7">
        <v>626</v>
      </c>
      <c r="E9" s="7">
        <v>649</v>
      </c>
      <c r="F9" s="7">
        <v>683</v>
      </c>
    </row>
    <row r="10" spans="1:6">
      <c r="A10" t="s">
        <v>17</v>
      </c>
      <c r="B10" s="8" t="s">
        <v>75</v>
      </c>
      <c r="C10" s="7">
        <v>420</v>
      </c>
      <c r="D10" s="7">
        <v>450</v>
      </c>
      <c r="E10" s="7">
        <v>470</v>
      </c>
      <c r="F10" s="7">
        <v>500</v>
      </c>
    </row>
    <row r="11" spans="1:6">
      <c r="A11" t="s">
        <v>16</v>
      </c>
      <c r="B11" s="8" t="s">
        <v>76</v>
      </c>
      <c r="C11" s="7">
        <v>615</v>
      </c>
      <c r="D11" s="7">
        <v>620</v>
      </c>
      <c r="E11" s="7">
        <v>630</v>
      </c>
      <c r="F11" s="7">
        <v>645</v>
      </c>
    </row>
    <row r="12" spans="1:6">
      <c r="A12" t="s">
        <v>14</v>
      </c>
      <c r="B12" s="8" t="s">
        <v>77</v>
      </c>
      <c r="C12" s="7">
        <v>67.5</v>
      </c>
      <c r="D12" s="7">
        <v>67.5</v>
      </c>
      <c r="E12" s="7">
        <v>67.5</v>
      </c>
      <c r="F12" s="7">
        <v>67.5</v>
      </c>
    </row>
    <row r="13" spans="1:6">
      <c r="A13" t="s">
        <v>10</v>
      </c>
      <c r="B13" s="8" t="s">
        <v>78</v>
      </c>
      <c r="C13" s="7">
        <v>105</v>
      </c>
      <c r="D13" s="7">
        <v>110</v>
      </c>
      <c r="E13" s="7">
        <v>120</v>
      </c>
      <c r="F13" s="7">
        <v>140</v>
      </c>
    </row>
    <row r="14" spans="1:6">
      <c r="A14" t="s">
        <v>13</v>
      </c>
      <c r="B14" s="8" t="s">
        <v>79</v>
      </c>
      <c r="C14" s="7">
        <v>74</v>
      </c>
      <c r="D14" s="7">
        <v>74</v>
      </c>
      <c r="E14" s="7">
        <v>74</v>
      </c>
      <c r="F14" s="7">
        <v>74</v>
      </c>
    </row>
    <row r="15" spans="1:6">
      <c r="A15" t="s">
        <v>9</v>
      </c>
      <c r="B15" s="8" t="s">
        <v>80</v>
      </c>
      <c r="C15" s="7">
        <v>380</v>
      </c>
      <c r="D15" s="7">
        <v>435</v>
      </c>
      <c r="E15" s="7">
        <v>485</v>
      </c>
      <c r="F15" s="7">
        <v>530</v>
      </c>
    </row>
    <row r="16" spans="1:6">
      <c r="A16" s="1" t="s">
        <v>92</v>
      </c>
      <c r="B16" s="8" t="s">
        <v>81</v>
      </c>
      <c r="C16" s="7">
        <v>260</v>
      </c>
      <c r="D16" s="7">
        <v>265</v>
      </c>
      <c r="E16" s="7">
        <v>315</v>
      </c>
      <c r="F16" s="7">
        <v>360</v>
      </c>
    </row>
    <row r="17" spans="1:10">
      <c r="A17" t="s">
        <v>11</v>
      </c>
      <c r="B17" s="8" t="s">
        <v>95</v>
      </c>
      <c r="C17">
        <f>VALUE(LEFT(G17,3))</f>
        <v>440</v>
      </c>
      <c r="D17">
        <f t="shared" ref="D17:F17" si="0">VALUE(LEFT(H17,3))</f>
        <v>440</v>
      </c>
      <c r="E17">
        <f t="shared" si="0"/>
        <v>440</v>
      </c>
      <c r="F17">
        <f t="shared" si="0"/>
        <v>440</v>
      </c>
      <c r="G17" s="7" t="s">
        <v>117</v>
      </c>
      <c r="H17" s="7" t="s">
        <v>117</v>
      </c>
      <c r="I17" s="7" t="s">
        <v>117</v>
      </c>
      <c r="J17" s="7" t="s">
        <v>117</v>
      </c>
    </row>
    <row r="18" spans="1:10">
      <c r="A18" t="s">
        <v>15</v>
      </c>
      <c r="B18" s="8" t="s">
        <v>82</v>
      </c>
      <c r="C18" s="7">
        <v>44</v>
      </c>
      <c r="D18" s="7">
        <v>44</v>
      </c>
      <c r="E18" s="7">
        <v>44</v>
      </c>
      <c r="F18" s="7">
        <v>44</v>
      </c>
    </row>
    <row r="19" spans="1:10">
      <c r="A19" t="s">
        <v>20</v>
      </c>
      <c r="B19" s="8" t="s">
        <v>83</v>
      </c>
      <c r="C19" s="7">
        <v>495</v>
      </c>
      <c r="D19" s="7">
        <v>495</v>
      </c>
      <c r="E19" s="7">
        <v>495</v>
      </c>
      <c r="F19" s="7">
        <v>495</v>
      </c>
      <c r="G19" s="1" t="s">
        <v>103</v>
      </c>
    </row>
    <row r="20" spans="1:10">
      <c r="A20" t="s">
        <v>12</v>
      </c>
      <c r="B20" s="8" t="s">
        <v>84</v>
      </c>
      <c r="C20" s="7">
        <v>65</v>
      </c>
      <c r="D20" s="7">
        <v>65</v>
      </c>
      <c r="E20" s="7">
        <v>65</v>
      </c>
      <c r="F20" s="7">
        <v>65</v>
      </c>
    </row>
    <row r="21" spans="1:10">
      <c r="A21" t="s">
        <v>18</v>
      </c>
      <c r="B21" s="8" t="s">
        <v>85</v>
      </c>
      <c r="C21" s="7">
        <v>1130</v>
      </c>
      <c r="D21" s="9">
        <v>1160</v>
      </c>
      <c r="E21" s="9">
        <v>1183</v>
      </c>
      <c r="F21" s="7">
        <v>1218</v>
      </c>
    </row>
    <row r="22" spans="1:10">
      <c r="A22" t="s">
        <v>23</v>
      </c>
      <c r="B22" s="8" t="s">
        <v>86</v>
      </c>
      <c r="C22" s="7">
        <v>50</v>
      </c>
      <c r="D22" s="7">
        <v>50</v>
      </c>
      <c r="E22" s="7">
        <v>50</v>
      </c>
      <c r="F22" s="7">
        <v>50</v>
      </c>
      <c r="G22" s="1"/>
    </row>
    <row r="23" spans="1:10">
      <c r="A23" s="1" t="s">
        <v>124</v>
      </c>
      <c r="B23" s="8"/>
      <c r="C23" s="7">
        <v>120</v>
      </c>
      <c r="D23" s="7">
        <v>120</v>
      </c>
      <c r="E23" s="7">
        <v>120</v>
      </c>
      <c r="F23" s="7">
        <v>120</v>
      </c>
      <c r="G23" s="1"/>
    </row>
    <row r="24" spans="1:10">
      <c r="A24" s="1" t="s">
        <v>125</v>
      </c>
      <c r="B24" s="8"/>
      <c r="C24" s="7">
        <v>30</v>
      </c>
      <c r="D24" s="7">
        <v>30</v>
      </c>
      <c r="E24" s="7">
        <v>30</v>
      </c>
      <c r="F24" s="7">
        <v>30</v>
      </c>
      <c r="G24" s="1"/>
    </row>
    <row r="25" spans="1:10">
      <c r="A25" s="1" t="s">
        <v>93</v>
      </c>
      <c r="B25" s="8"/>
      <c r="C25" s="7"/>
      <c r="D25" s="7">
        <v>3016</v>
      </c>
      <c r="E25" s="7"/>
      <c r="F25" s="7"/>
      <c r="G25" s="1"/>
    </row>
    <row r="26" spans="1:10">
      <c r="A26" t="s">
        <v>19</v>
      </c>
      <c r="B26" s="6"/>
      <c r="C26" s="3"/>
      <c r="D26" s="3"/>
      <c r="E26" s="3"/>
      <c r="F26" s="3"/>
      <c r="G26" s="1"/>
    </row>
    <row r="27" spans="1:10">
      <c r="A27" t="s">
        <v>21</v>
      </c>
      <c r="G27" s="1"/>
    </row>
    <row r="28" spans="1:10">
      <c r="A28" t="s">
        <v>22</v>
      </c>
    </row>
    <row r="29" spans="1:10">
      <c r="A29" t="s">
        <v>24</v>
      </c>
    </row>
    <row r="30" spans="1:10">
      <c r="A30" t="s">
        <v>25</v>
      </c>
    </row>
    <row r="31" spans="1:10">
      <c r="A31" t="s">
        <v>26</v>
      </c>
      <c r="C31">
        <v>700</v>
      </c>
      <c r="D31">
        <v>700</v>
      </c>
      <c r="E31">
        <v>700</v>
      </c>
      <c r="F31">
        <v>700</v>
      </c>
    </row>
    <row r="32" spans="1:10">
      <c r="A32" t="s">
        <v>27</v>
      </c>
      <c r="C32">
        <v>2.6</v>
      </c>
      <c r="D32">
        <v>2.6</v>
      </c>
      <c r="E32">
        <v>2.6</v>
      </c>
      <c r="F32">
        <v>2.6</v>
      </c>
    </row>
    <row r="33" spans="1:7">
      <c r="A33" t="s">
        <v>28</v>
      </c>
      <c r="C33">
        <v>3</v>
      </c>
      <c r="D33">
        <v>3</v>
      </c>
      <c r="E33">
        <v>3</v>
      </c>
      <c r="F33">
        <v>3</v>
      </c>
    </row>
    <row r="34" spans="1:7">
      <c r="A34" t="s">
        <v>29</v>
      </c>
      <c r="C34">
        <f>C36*2.54</f>
        <v>160.02000000000001</v>
      </c>
      <c r="D34">
        <f>AVERAGE(D36,C37)*2.54</f>
        <v>168.91</v>
      </c>
      <c r="E34">
        <f t="shared" ref="E34:F34" si="1">AVERAGE(E36,D37)*2.54</f>
        <v>176.53</v>
      </c>
      <c r="F34">
        <f t="shared" si="1"/>
        <v>184.15</v>
      </c>
    </row>
    <row r="35" spans="1:7">
      <c r="A35" t="s">
        <v>30</v>
      </c>
      <c r="C35" s="1">
        <f>D34</f>
        <v>168.91</v>
      </c>
      <c r="D35" s="1">
        <f t="shared" ref="D35:E35" si="2">E34</f>
        <v>176.53</v>
      </c>
      <c r="E35" s="1">
        <f t="shared" si="2"/>
        <v>184.15</v>
      </c>
      <c r="F35">
        <f t="shared" ref="F35" si="3">F37*2.54</f>
        <v>193.04</v>
      </c>
    </row>
    <row r="36" spans="1:7">
      <c r="C36">
        <v>63</v>
      </c>
      <c r="D36">
        <v>66</v>
      </c>
      <c r="E36">
        <v>69</v>
      </c>
      <c r="F36">
        <v>72</v>
      </c>
    </row>
    <row r="37" spans="1:7">
      <c r="A37" t="s">
        <v>31</v>
      </c>
      <c r="B37" s="1" t="s">
        <v>32</v>
      </c>
      <c r="C37">
        <v>67</v>
      </c>
      <c r="D37">
        <v>70</v>
      </c>
      <c r="E37">
        <v>73</v>
      </c>
      <c r="F37">
        <v>76</v>
      </c>
    </row>
    <row r="38" spans="1:7">
      <c r="A38" t="s">
        <v>69</v>
      </c>
      <c r="B38" t="s">
        <v>70</v>
      </c>
      <c r="C38" s="3" t="s">
        <v>88</v>
      </c>
      <c r="D38" s="3" t="s">
        <v>89</v>
      </c>
      <c r="E38" s="3" t="s">
        <v>90</v>
      </c>
      <c r="F38" s="3" t="s">
        <v>91</v>
      </c>
      <c r="G38" s="4" t="s">
        <v>87</v>
      </c>
    </row>
    <row r="39" spans="1:7">
      <c r="A39" t="s">
        <v>71</v>
      </c>
      <c r="B39" s="1" t="s">
        <v>97</v>
      </c>
    </row>
    <row r="40" spans="1:7">
      <c r="A40" t="s">
        <v>72</v>
      </c>
      <c r="B40" s="1" t="s">
        <v>104</v>
      </c>
    </row>
    <row r="41" spans="1:7">
      <c r="A41" t="s">
        <v>33</v>
      </c>
      <c r="B41" s="1" t="s">
        <v>123</v>
      </c>
    </row>
    <row r="42" spans="1:7">
      <c r="A42" t="s">
        <v>34</v>
      </c>
      <c r="B42" t="s">
        <v>35</v>
      </c>
    </row>
    <row r="43" spans="1:7">
      <c r="A43" t="s">
        <v>36</v>
      </c>
      <c r="B43">
        <v>14</v>
      </c>
    </row>
    <row r="44" spans="1:7">
      <c r="A44" t="s">
        <v>37</v>
      </c>
      <c r="B44">
        <v>3</v>
      </c>
    </row>
    <row r="45" spans="1:7">
      <c r="A45" t="s">
        <v>38</v>
      </c>
    </row>
    <row r="46" spans="1:7">
      <c r="A46" t="s">
        <v>39</v>
      </c>
      <c r="B46">
        <v>120</v>
      </c>
    </row>
    <row r="47" spans="1:7">
      <c r="A47" t="s">
        <v>40</v>
      </c>
      <c r="B47" s="1">
        <v>120</v>
      </c>
    </row>
    <row r="48" spans="1:7">
      <c r="A48" t="s">
        <v>41</v>
      </c>
    </row>
    <row r="49" spans="1:2">
      <c r="A49" t="s">
        <v>42</v>
      </c>
    </row>
    <row r="50" spans="1:2">
      <c r="A50" t="s">
        <v>43</v>
      </c>
      <c r="B50">
        <v>148</v>
      </c>
    </row>
    <row r="51" spans="1:2">
      <c r="A51" t="s">
        <v>44</v>
      </c>
      <c r="B51">
        <v>110</v>
      </c>
    </row>
    <row r="52" spans="1:2">
      <c r="A52" t="s">
        <v>107</v>
      </c>
    </row>
    <row r="53" spans="1:2">
      <c r="A53" t="s">
        <v>108</v>
      </c>
      <c r="B53" s="1" t="s">
        <v>118</v>
      </c>
    </row>
    <row r="54" spans="1:2">
      <c r="A54" t="s">
        <v>109</v>
      </c>
      <c r="B54" s="1" t="s">
        <v>119</v>
      </c>
    </row>
    <row r="55" spans="1:2">
      <c r="A55" t="s">
        <v>110</v>
      </c>
    </row>
    <row r="56" spans="1:2">
      <c r="A56" t="s">
        <v>111</v>
      </c>
    </row>
    <row r="57" spans="1:2">
      <c r="A57" t="s">
        <v>112</v>
      </c>
    </row>
    <row r="58" spans="1:2">
      <c r="A58" t="s">
        <v>45</v>
      </c>
      <c r="B58" s="1" t="s">
        <v>121</v>
      </c>
    </row>
    <row r="59" spans="1:2">
      <c r="A59" t="s">
        <v>46</v>
      </c>
    </row>
    <row r="60" spans="1:2">
      <c r="A60" t="s">
        <v>47</v>
      </c>
      <c r="B60">
        <v>31.6</v>
      </c>
    </row>
    <row r="61" spans="1:2">
      <c r="A61" t="s">
        <v>48</v>
      </c>
      <c r="B61" s="1" t="s">
        <v>94</v>
      </c>
    </row>
    <row r="62" spans="1:2">
      <c r="A62" t="s">
        <v>49</v>
      </c>
      <c r="B62">
        <v>34</v>
      </c>
    </row>
    <row r="63" spans="1:2">
      <c r="A63" t="s">
        <v>50</v>
      </c>
    </row>
    <row r="64" spans="1:2">
      <c r="A64" t="s">
        <v>51</v>
      </c>
    </row>
    <row r="65" spans="1:3">
      <c r="A65" t="s">
        <v>52</v>
      </c>
    </row>
    <row r="66" spans="1:3">
      <c r="A66" t="s">
        <v>53</v>
      </c>
    </row>
    <row r="67" spans="1:3">
      <c r="A67" t="s">
        <v>54</v>
      </c>
    </row>
    <row r="68" spans="1:3">
      <c r="A68" t="s">
        <v>55</v>
      </c>
      <c r="B68" s="1" t="s">
        <v>120</v>
      </c>
    </row>
    <row r="69" spans="1:3">
      <c r="A69" t="s">
        <v>56</v>
      </c>
    </row>
    <row r="70" spans="1:3">
      <c r="A70" t="s">
        <v>57</v>
      </c>
    </row>
    <row r="71" spans="1:3">
      <c r="A71" t="s">
        <v>58</v>
      </c>
      <c r="B71">
        <v>2</v>
      </c>
    </row>
    <row r="72" spans="1:3">
      <c r="A72" t="s">
        <v>59</v>
      </c>
      <c r="B72">
        <v>1</v>
      </c>
    </row>
    <row r="73" spans="1:3">
      <c r="A73" t="s">
        <v>60</v>
      </c>
      <c r="B73" s="1" t="s">
        <v>35</v>
      </c>
    </row>
    <row r="74" spans="1:3">
      <c r="A74" t="s">
        <v>61</v>
      </c>
    </row>
    <row r="75" spans="1:3">
      <c r="A75" t="s">
        <v>62</v>
      </c>
    </row>
    <row r="76" spans="1:3">
      <c r="A76" t="s">
        <v>63</v>
      </c>
    </row>
    <row r="77" spans="1:3">
      <c r="A77" t="s">
        <v>64</v>
      </c>
      <c r="B77" s="1" t="s">
        <v>35</v>
      </c>
    </row>
    <row r="78" spans="1:3">
      <c r="A78" t="s">
        <v>65</v>
      </c>
      <c r="B78">
        <v>1100</v>
      </c>
      <c r="C78" s="1" t="s">
        <v>122</v>
      </c>
    </row>
    <row r="79" spans="1:3">
      <c r="A79" t="s">
        <v>66</v>
      </c>
      <c r="B79">
        <v>3300</v>
      </c>
    </row>
    <row r="80" spans="1:3">
      <c r="A80" t="s">
        <v>67</v>
      </c>
      <c r="B80" s="1" t="s">
        <v>35</v>
      </c>
    </row>
    <row r="81" spans="1:2">
      <c r="A81" t="s">
        <v>68</v>
      </c>
      <c r="B81" s="1" t="s">
        <v>102</v>
      </c>
    </row>
    <row r="82" spans="1:2">
      <c r="A82" t="s">
        <v>105</v>
      </c>
      <c r="B82" t="s">
        <v>106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walker</dc:creator>
  <cp:lastModifiedBy>Jeffrey A Walker</cp:lastModifiedBy>
  <dcterms:created xsi:type="dcterms:W3CDTF">2025-07-26T16:23:46Z</dcterms:created>
  <dcterms:modified xsi:type="dcterms:W3CDTF">2025-11-29T14:58:32Z</dcterms:modified>
</cp:coreProperties>
</file>