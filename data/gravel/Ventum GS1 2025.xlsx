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1FD6F00-8D48-9C4C-ABF8-15BA2A30777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2" i="1" s="1"/>
  <c r="F31" i="1"/>
  <c r="E32" i="1" s="1"/>
  <c r="G31" i="1"/>
  <c r="F32" i="1" s="1"/>
  <c r="C34" i="1"/>
  <c r="D34" i="1"/>
  <c r="E34" i="1"/>
  <c r="F34" i="1"/>
  <c r="G34" i="1"/>
  <c r="H34" i="1"/>
  <c r="H32" i="1" s="1"/>
  <c r="H33" i="1"/>
  <c r="H31" i="1" s="1"/>
  <c r="G32" i="1" s="1"/>
  <c r="D33" i="1"/>
  <c r="D31" i="1" s="1"/>
  <c r="C32" i="1" s="1"/>
  <c r="E33" i="1"/>
  <c r="F33" i="1"/>
  <c r="G33" i="1"/>
  <c r="C33" i="1"/>
  <c r="C31" i="1" s="1"/>
</calcChain>
</file>

<file path=xl/sharedStrings.xml><?xml version="1.0" encoding="utf-8"?>
<sst xmlns="http://schemas.openxmlformats.org/spreadsheetml/2006/main" count="122" uniqueCount="118">
  <si>
    <t>brand</t>
  </si>
  <si>
    <t>Ventum</t>
  </si>
  <si>
    <t>model</t>
  </si>
  <si>
    <t xml:space="preserve">GS1 </t>
  </si>
  <si>
    <t>model_year</t>
  </si>
  <si>
    <t>input_date</t>
  </si>
  <si>
    <t>url</t>
  </si>
  <si>
    <t>data_range</t>
  </si>
  <si>
    <t>a8:h34</t>
  </si>
  <si>
    <t>frame_size</t>
  </si>
  <si>
    <t>XS</t>
  </si>
  <si>
    <t>S</t>
  </si>
  <si>
    <t>M</t>
  </si>
  <si>
    <t>M/L</t>
  </si>
  <si>
    <t>L</t>
  </si>
  <si>
    <t>XL</t>
  </si>
  <si>
    <t>stack</t>
  </si>
  <si>
    <t>reach</t>
  </si>
  <si>
    <t>head_tube_length</t>
  </si>
  <si>
    <t>chainstay_length</t>
  </si>
  <si>
    <t>front_center</t>
  </si>
  <si>
    <t>wheelbase</t>
  </si>
  <si>
    <t>bottom_bracket_drop</t>
  </si>
  <si>
    <t>seat_tube_angle</t>
  </si>
  <si>
    <t>head_tube_angle</t>
  </si>
  <si>
    <t>top_tube_effective_length</t>
  </si>
  <si>
    <t>seat_tube_length</t>
  </si>
  <si>
    <t>standover</t>
  </si>
  <si>
    <t>axle_crown</t>
  </si>
  <si>
    <t>fork_offset_rake</t>
  </si>
  <si>
    <t>crank_length</t>
  </si>
  <si>
    <t>crank length</t>
  </si>
  <si>
    <t>handlebar_width</t>
  </si>
  <si>
    <t>handlebar width</t>
  </si>
  <si>
    <t>stem_length</t>
  </si>
  <si>
    <t>stem length</t>
  </si>
  <si>
    <t>frame_weight</t>
  </si>
  <si>
    <t>wheel_size</t>
  </si>
  <si>
    <t>wheel size</t>
  </si>
  <si>
    <t>tire_width_spec</t>
  </si>
  <si>
    <t>tire width_spec</t>
  </si>
  <si>
    <t>tire_width_max</t>
  </si>
  <si>
    <t>tire 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</si>
  <si>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</si>
  <si>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</si>
  <si>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</si>
  <si>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</si>
  <si>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</si>
  <si>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</si>
  <si>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</si>
  <si>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</si>
  <si>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</si>
  <si>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</si>
  <si>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</si>
  <si>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</si>
  <si>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</si>
  <si>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</si>
  <si>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</si>
  <si>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</si>
  <si>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</si>
  <si>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</si>
  <si>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</si>
  <si>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</si>
  <si>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</si>
  <si>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</si>
  <si>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</si>
  <si>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</si>
  <si>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</si>
  <si>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</si>
  <si>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</si>
  <si>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</si>
  <si>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</si>
  <si>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</si>
  <si>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</si>
  <si>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</si>
  <si>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</si>
  <si>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</si>
  <si>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</si>
  <si>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</si>
  <si>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</si>
  <si>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</si>
  <si>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</si>
  <si>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</si>
  <si>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</si>
  <si>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</si>
  <si>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</si>
  <si>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</si>
  <si>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</si>
  <si>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</si>
  <si>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</si>
  <si>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</si>
  <si>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https://ventumracing.com/products/gs1/</t>
  </si>
  <si>
    <t>yes</t>
  </si>
  <si>
    <t>threaded</t>
  </si>
  <si>
    <t>integrated</t>
  </si>
  <si>
    <t>rider_min_spec</t>
  </si>
  <si>
    <t>rider_max_spec</t>
  </si>
  <si>
    <t>FRAME SIZE</t>
  </si>
  <si>
    <t>with a 700x50</t>
  </si>
  <si>
    <t>trail</t>
  </si>
  <si>
    <t>no</t>
  </si>
  <si>
    <t>usd</t>
  </si>
  <si>
    <r>
      <t>(A)</t>
    </r>
    <r>
      <rPr>
        <b/>
        <sz val="14"/>
        <color rgb="FF000000"/>
        <rFont val="Arial"/>
        <family val="2"/>
      </rPr>
      <t> STACK </t>
    </r>
  </si>
  <si>
    <r>
      <t>(B)</t>
    </r>
    <r>
      <rPr>
        <b/>
        <sz val="14"/>
        <color rgb="FF000000"/>
        <rFont val="Arial"/>
        <family val="2"/>
      </rPr>
      <t> REACH </t>
    </r>
  </si>
  <si>
    <r>
      <t>(C)</t>
    </r>
    <r>
      <rPr>
        <b/>
        <sz val="14"/>
        <color rgb="FF000000"/>
        <rFont val="Arial"/>
        <family val="2"/>
      </rPr>
      <t> HEAD TUBE LENGTH </t>
    </r>
  </si>
  <si>
    <r>
      <t>(D)</t>
    </r>
    <r>
      <rPr>
        <b/>
        <sz val="14"/>
        <color rgb="FF000000"/>
        <rFont val="Arial"/>
        <family val="2"/>
      </rPr>
      <t> CHAINSTAY LENGTH </t>
    </r>
  </si>
  <si>
    <r>
      <t>(E)</t>
    </r>
    <r>
      <rPr>
        <b/>
        <sz val="14"/>
        <color rgb="FF000000"/>
        <rFont val="Arial"/>
        <family val="2"/>
      </rPr>
      <t> FRONT CENTER </t>
    </r>
  </si>
  <si>
    <r>
      <t>(F)</t>
    </r>
    <r>
      <rPr>
        <b/>
        <sz val="14"/>
        <color rgb="FF000000"/>
        <rFont val="Arial"/>
        <family val="2"/>
      </rPr>
      <t> WHEELBASE </t>
    </r>
  </si>
  <si>
    <r>
      <t>(G)</t>
    </r>
    <r>
      <rPr>
        <b/>
        <sz val="14"/>
        <color rgb="FF000000"/>
        <rFont val="Arial"/>
        <family val="2"/>
      </rPr>
      <t> BOTTOM BRACKET DROP </t>
    </r>
  </si>
  <si>
    <r>
      <t>(H)</t>
    </r>
    <r>
      <rPr>
        <b/>
        <sz val="14"/>
        <color rgb="FF000000"/>
        <rFont val="Arial"/>
        <family val="2"/>
      </rPr>
      <t> SEAT TUBE ANGLE </t>
    </r>
  </si>
  <si>
    <r>
      <t>(I)</t>
    </r>
    <r>
      <rPr>
        <b/>
        <sz val="14"/>
        <color rgb="FF000000"/>
        <rFont val="Arial"/>
        <family val="2"/>
      </rPr>
      <t> HEAD TUBE ANGLE </t>
    </r>
  </si>
  <si>
    <r>
      <t>(J)</t>
    </r>
    <r>
      <rPr>
        <b/>
        <sz val="14"/>
        <color rgb="FF000000"/>
        <rFont val="Arial"/>
        <family val="2"/>
      </rPr>
      <t> TOP TUBE LENGTH, Horizontal </t>
    </r>
  </si>
  <si>
    <r>
      <t>(K)</t>
    </r>
    <r>
      <rPr>
        <b/>
        <sz val="14"/>
        <color rgb="FF000000"/>
        <rFont val="Arial"/>
        <family val="2"/>
      </rPr>
      <t> SEAT TUBE LENGTH </t>
    </r>
  </si>
  <si>
    <r>
      <t>(L)</t>
    </r>
    <r>
      <rPr>
        <b/>
        <sz val="14"/>
        <color rgb="FF000000"/>
        <rFont val="Arial"/>
        <family val="2"/>
      </rPr>
      <t> STAND OVER HEIGHT </t>
    </r>
  </si>
  <si>
    <r>
      <t>(M)</t>
    </r>
    <r>
      <rPr>
        <b/>
        <sz val="14"/>
        <color rgb="FF000000"/>
        <rFont val="Arial"/>
        <family val="2"/>
      </rPr>
      <t> TRAIL </t>
    </r>
  </si>
  <si>
    <r>
      <t>(N)</t>
    </r>
    <r>
      <rPr>
        <b/>
        <sz val="14"/>
        <color rgb="FF000000"/>
        <rFont val="Arial"/>
        <family val="2"/>
      </rPr>
      <t> FORK LENGTH, FULL </t>
    </r>
  </si>
  <si>
    <r>
      <t>(O)</t>
    </r>
    <r>
      <rPr>
        <b/>
        <sz val="14"/>
        <color rgb="FF000000"/>
        <rFont val="Arial"/>
        <family val="2"/>
      </rPr>
      <t> FORK OFFSET (Not Shown) </t>
    </r>
  </si>
  <si>
    <t>https://cdn11.bigcommerce.com/s-socd7uniqk/images/stencil/original/image-manager/v3-gs1-ecom-redsplatter-sram-red-xplr-1.jpg?t=1747845588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</si>
</sst>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b/>
      <sz val="14"/>
      <color rgb="FFED3833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1">
        <v>45889</v>
      </c>
    </row>
    <row r="5" spans="1:9" x14ac:dyDescent="0.3">
      <c r="A5" t="s">
        <v>6</v>
      </c>
      <c r="B5" t="s">
        <v>91</v>
      </c>
    </row>
    <row r="6" spans="1:9" x14ac:dyDescent="0.3">
      <c r="B6" t="s">
        <v>117</v>
      </c>
    </row>
    <row r="7" spans="1:9" x14ac:dyDescent="0.3">
      <c r="A7" s="2" t="s">
        <v>7</v>
      </c>
      <c r="B7" s="2" t="s">
        <v>8</v>
      </c>
      <c r="C7" s="2"/>
      <c r="D7" s="2"/>
      <c r="E7" s="2"/>
      <c r="F7" s="2"/>
      <c r="G7" s="2"/>
      <c r="H7" s="2"/>
      <c r="I7" s="2"/>
    </row>
    <row r="8" spans="1:9" x14ac:dyDescent="0.3">
      <c r="A8" s="2" t="s">
        <v>9</v>
      </c>
      <c r="B8" s="3" t="s">
        <v>97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/>
    </row>
    <row r="9" spans="1:9" x14ac:dyDescent="0.3">
      <c r="A9" s="2" t="s">
        <v>16</v>
      </c>
      <c r="B9" s="4" t="s">
        <v>102</v>
      </c>
      <c r="C9" s="5">
        <v>506</v>
      </c>
      <c r="D9" s="5">
        <v>522</v>
      </c>
      <c r="E9" s="5">
        <v>545</v>
      </c>
      <c r="F9" s="5">
        <v>570</v>
      </c>
      <c r="G9" s="5">
        <v>589</v>
      </c>
      <c r="H9" s="5">
        <v>604</v>
      </c>
      <c r="I9" s="5"/>
    </row>
    <row r="10" spans="1:9" x14ac:dyDescent="0.3">
      <c r="A10" s="2" t="s">
        <v>17</v>
      </c>
      <c r="B10" s="4" t="s">
        <v>103</v>
      </c>
      <c r="C10" s="5">
        <v>369</v>
      </c>
      <c r="D10" s="5">
        <v>375</v>
      </c>
      <c r="E10" s="5">
        <v>384</v>
      </c>
      <c r="F10" s="5">
        <v>393</v>
      </c>
      <c r="G10" s="5">
        <v>402</v>
      </c>
      <c r="H10" s="5">
        <v>411</v>
      </c>
      <c r="I10" s="5"/>
    </row>
    <row r="11" spans="1:9" x14ac:dyDescent="0.3">
      <c r="A11" s="2" t="s">
        <v>18</v>
      </c>
      <c r="B11" s="4" t="s">
        <v>104</v>
      </c>
      <c r="C11" s="5">
        <v>90</v>
      </c>
      <c r="D11" s="5">
        <v>105</v>
      </c>
      <c r="E11" s="5">
        <v>128</v>
      </c>
      <c r="F11" s="5">
        <v>150</v>
      </c>
      <c r="G11" s="5">
        <v>166</v>
      </c>
      <c r="H11" s="5">
        <v>180</v>
      </c>
      <c r="I11" s="5"/>
    </row>
    <row r="12" spans="1:9" x14ac:dyDescent="0.3">
      <c r="A12" s="2" t="s">
        <v>19</v>
      </c>
      <c r="B12" s="4" t="s">
        <v>105</v>
      </c>
      <c r="C12" s="5">
        <v>420</v>
      </c>
      <c r="D12" s="5">
        <v>420</v>
      </c>
      <c r="E12" s="5">
        <v>420</v>
      </c>
      <c r="F12" s="5">
        <v>420</v>
      </c>
      <c r="G12" s="5">
        <v>420</v>
      </c>
      <c r="H12" s="5">
        <v>420</v>
      </c>
      <c r="I12" s="5"/>
    </row>
    <row r="13" spans="1:9" x14ac:dyDescent="0.3">
      <c r="A13" s="2" t="s">
        <v>20</v>
      </c>
      <c r="B13" s="4" t="s">
        <v>106</v>
      </c>
      <c r="C13" s="5">
        <v>594</v>
      </c>
      <c r="D13" s="5">
        <v>601</v>
      </c>
      <c r="E13" s="5">
        <v>614</v>
      </c>
      <c r="F13" s="5">
        <v>622</v>
      </c>
      <c r="G13" s="5">
        <v>627</v>
      </c>
      <c r="H13" s="5">
        <v>636</v>
      </c>
      <c r="I13" s="5"/>
    </row>
    <row r="14" spans="1:9" x14ac:dyDescent="0.3">
      <c r="A14" s="2" t="s">
        <v>21</v>
      </c>
      <c r="B14" s="4" t="s">
        <v>107</v>
      </c>
      <c r="C14" s="5">
        <v>1004</v>
      </c>
      <c r="D14" s="5">
        <v>1012</v>
      </c>
      <c r="E14" s="5">
        <v>1024</v>
      </c>
      <c r="F14" s="5">
        <v>1032</v>
      </c>
      <c r="G14" s="5">
        <v>1037</v>
      </c>
      <c r="H14" s="5">
        <v>1046</v>
      </c>
      <c r="I14" s="5"/>
    </row>
    <row r="15" spans="1:9" x14ac:dyDescent="0.3">
      <c r="A15" s="2" t="s">
        <v>22</v>
      </c>
      <c r="B15" s="4" t="s">
        <v>108</v>
      </c>
      <c r="C15" s="5">
        <v>70</v>
      </c>
      <c r="D15" s="5">
        <v>70</v>
      </c>
      <c r="E15" s="5">
        <v>70</v>
      </c>
      <c r="F15" s="5">
        <v>70</v>
      </c>
      <c r="G15" s="5">
        <v>70</v>
      </c>
      <c r="H15" s="5">
        <v>70</v>
      </c>
      <c r="I15" s="5"/>
    </row>
    <row r="16" spans="1:9" x14ac:dyDescent="0.3">
      <c r="A16" s="2" t="s">
        <v>23</v>
      </c>
      <c r="B16" s="4" t="s">
        <v>109</v>
      </c>
      <c r="C16" s="5">
        <v>74</v>
      </c>
      <c r="D16" s="5">
        <v>74</v>
      </c>
      <c r="E16" s="5">
        <v>73.5</v>
      </c>
      <c r="F16" s="5">
        <v>73.5</v>
      </c>
      <c r="G16" s="5">
        <v>73</v>
      </c>
      <c r="H16" s="5">
        <v>73</v>
      </c>
      <c r="I16" s="5"/>
    </row>
    <row r="17" spans="1:9" x14ac:dyDescent="0.3">
      <c r="A17" s="2" t="s">
        <v>24</v>
      </c>
      <c r="B17" s="4" t="s">
        <v>110</v>
      </c>
      <c r="C17" s="5">
        <v>69</v>
      </c>
      <c r="D17" s="5">
        <v>69.5</v>
      </c>
      <c r="E17" s="5">
        <v>70</v>
      </c>
      <c r="F17" s="5">
        <v>71</v>
      </c>
      <c r="G17" s="5">
        <v>72</v>
      </c>
      <c r="H17" s="5">
        <v>72.5</v>
      </c>
      <c r="I17" s="5"/>
    </row>
    <row r="18" spans="1:9" x14ac:dyDescent="0.3">
      <c r="A18" s="2" t="s">
        <v>25</v>
      </c>
      <c r="B18" s="4" t="s">
        <v>111</v>
      </c>
      <c r="C18" s="5">
        <v>514</v>
      </c>
      <c r="D18" s="5">
        <v>525</v>
      </c>
      <c r="E18" s="5">
        <v>545</v>
      </c>
      <c r="F18" s="5">
        <v>562</v>
      </c>
      <c r="G18" s="5">
        <v>582</v>
      </c>
      <c r="H18" s="5">
        <v>596</v>
      </c>
      <c r="I18" s="5"/>
    </row>
    <row r="19" spans="1:9" x14ac:dyDescent="0.3">
      <c r="A19" s="2" t="s">
        <v>26</v>
      </c>
      <c r="B19" s="4" t="s">
        <v>112</v>
      </c>
      <c r="C19" s="5">
        <v>485</v>
      </c>
      <c r="D19" s="5">
        <v>502</v>
      </c>
      <c r="E19" s="5">
        <v>525</v>
      </c>
      <c r="F19" s="5">
        <v>550</v>
      </c>
      <c r="G19" s="5">
        <v>569</v>
      </c>
      <c r="H19" s="5">
        <v>584</v>
      </c>
      <c r="I19" s="5"/>
    </row>
    <row r="20" spans="1:9" x14ac:dyDescent="0.3">
      <c r="A20" s="2" t="s">
        <v>27</v>
      </c>
      <c r="B20" s="4" t="s">
        <v>113</v>
      </c>
      <c r="C20" s="5">
        <v>778</v>
      </c>
      <c r="D20" s="5">
        <v>795</v>
      </c>
      <c r="E20" s="5">
        <v>817</v>
      </c>
      <c r="F20" s="5">
        <v>841</v>
      </c>
      <c r="G20" s="5">
        <v>860</v>
      </c>
      <c r="H20" s="5">
        <v>874</v>
      </c>
      <c r="I20" s="5" t="s">
        <v>98</v>
      </c>
    </row>
    <row r="21" spans="1:9" x14ac:dyDescent="0.3">
      <c r="A21" s="2" t="s">
        <v>99</v>
      </c>
      <c r="B21" s="4" t="s">
        <v>114</v>
      </c>
      <c r="C21" s="5">
        <v>86</v>
      </c>
      <c r="D21" s="5">
        <v>83</v>
      </c>
      <c r="E21" s="5">
        <v>79</v>
      </c>
      <c r="F21" s="5">
        <v>72</v>
      </c>
      <c r="G21" s="5">
        <v>66</v>
      </c>
      <c r="H21" s="5">
        <v>62</v>
      </c>
      <c r="I21" s="5" t="s">
        <v>98</v>
      </c>
    </row>
    <row r="22" spans="1:9" x14ac:dyDescent="0.3">
      <c r="A22" s="2" t="s">
        <v>28</v>
      </c>
      <c r="B22" s="4" t="s">
        <v>115</v>
      </c>
      <c r="C22" s="5">
        <v>395</v>
      </c>
      <c r="D22" s="5">
        <v>395</v>
      </c>
      <c r="E22" s="5">
        <v>395</v>
      </c>
      <c r="F22" s="5">
        <v>395</v>
      </c>
      <c r="G22" s="5">
        <v>395</v>
      </c>
      <c r="H22" s="5">
        <v>395</v>
      </c>
      <c r="I22" s="5"/>
    </row>
    <row r="23" spans="1:9" x14ac:dyDescent="0.3">
      <c r="A23" s="2" t="s">
        <v>29</v>
      </c>
      <c r="B23" s="4" t="s">
        <v>116</v>
      </c>
      <c r="C23" s="5">
        <v>50</v>
      </c>
      <c r="D23" s="5">
        <v>50</v>
      </c>
      <c r="E23" s="5">
        <v>50</v>
      </c>
      <c r="F23" s="5">
        <v>50</v>
      </c>
      <c r="G23" s="5">
        <v>50</v>
      </c>
      <c r="H23" s="5">
        <v>50</v>
      </c>
      <c r="I23" s="2"/>
    </row>
    <row r="24" spans="1:9" x14ac:dyDescent="0.3">
      <c r="A24" s="2" t="s">
        <v>30</v>
      </c>
      <c r="B24" s="2" t="s">
        <v>31</v>
      </c>
      <c r="C24" s="2">
        <v>165</v>
      </c>
      <c r="D24" s="2">
        <v>165</v>
      </c>
      <c r="E24" s="2">
        <v>170</v>
      </c>
      <c r="F24" s="2">
        <v>170</v>
      </c>
      <c r="G24" s="2">
        <v>172.5</v>
      </c>
      <c r="H24" s="2">
        <v>172.5</v>
      </c>
      <c r="I24" s="2"/>
    </row>
    <row r="25" spans="1:9" x14ac:dyDescent="0.3">
      <c r="A25" s="2" t="s">
        <v>32</v>
      </c>
      <c r="B25" s="2" t="s">
        <v>33</v>
      </c>
      <c r="C25" s="5">
        <v>380</v>
      </c>
      <c r="D25" s="5">
        <v>400</v>
      </c>
      <c r="E25" s="5">
        <v>420</v>
      </c>
      <c r="F25" s="5">
        <v>420</v>
      </c>
      <c r="G25" s="5">
        <v>420</v>
      </c>
      <c r="H25" s="5">
        <v>440</v>
      </c>
      <c r="I25" s="2"/>
    </row>
    <row r="26" spans="1:9" x14ac:dyDescent="0.3">
      <c r="A26" s="2" t="s">
        <v>34</v>
      </c>
      <c r="B26" s="2" t="s">
        <v>35</v>
      </c>
      <c r="C26" s="2">
        <v>90</v>
      </c>
      <c r="D26" s="2">
        <v>90</v>
      </c>
      <c r="E26" s="2">
        <v>90</v>
      </c>
      <c r="F26" s="2">
        <v>90</v>
      </c>
      <c r="G26" s="2">
        <v>100</v>
      </c>
      <c r="H26" s="2">
        <v>100</v>
      </c>
      <c r="I26" s="2"/>
    </row>
    <row r="27" spans="1:9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 t="s">
        <v>37</v>
      </c>
      <c r="B28" s="2" t="s">
        <v>38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  <c r="H28" s="2">
        <v>700</v>
      </c>
      <c r="I28" s="2"/>
    </row>
    <row r="29" spans="1:9" x14ac:dyDescent="0.3">
      <c r="A29" s="2" t="s">
        <v>39</v>
      </c>
      <c r="B29" s="2" t="s">
        <v>40</v>
      </c>
      <c r="C29" s="2">
        <v>50</v>
      </c>
      <c r="D29" s="2">
        <v>50</v>
      </c>
      <c r="E29" s="2">
        <v>50</v>
      </c>
      <c r="F29" s="2">
        <v>50</v>
      </c>
      <c r="G29" s="2">
        <v>50</v>
      </c>
      <c r="H29" s="2">
        <v>50</v>
      </c>
      <c r="I29" s="2"/>
    </row>
    <row r="30" spans="1:9" x14ac:dyDescent="0.3">
      <c r="A30" s="2" t="s">
        <v>41</v>
      </c>
      <c r="B30" s="2" t="s">
        <v>42</v>
      </c>
      <c r="C30" s="2">
        <v>50</v>
      </c>
      <c r="D30" s="2">
        <v>50</v>
      </c>
      <c r="E30" s="2">
        <v>50</v>
      </c>
      <c r="F30" s="2">
        <v>50</v>
      </c>
      <c r="G30" s="2">
        <v>50</v>
      </c>
      <c r="H30" s="2">
        <v>50</v>
      </c>
      <c r="I30" s="2"/>
    </row>
    <row r="31" spans="1:9" x14ac:dyDescent="0.3">
      <c r="A31" s="2" t="s">
        <v>43</v>
      </c>
      <c r="B31" s="2" t="s">
        <v>44</v>
      </c>
      <c r="C31" s="6">
        <f>C33</f>
        <v>149.86000000000001</v>
      </c>
      <c r="D31" s="6">
        <f>AVERAGE(D33,C34)</f>
        <v>162.56</v>
      </c>
      <c r="E31" s="6">
        <f t="shared" ref="E31:H31" si="0">AVERAGE(E33,D34)</f>
        <v>170.18</v>
      </c>
      <c r="F31" s="6">
        <f t="shared" si="0"/>
        <v>179.07</v>
      </c>
      <c r="G31" s="6">
        <f t="shared" si="0"/>
        <v>185.42000000000002</v>
      </c>
      <c r="H31" s="6">
        <f t="shared" si="0"/>
        <v>191.76999999999998</v>
      </c>
      <c r="I31" s="2"/>
    </row>
    <row r="32" spans="1:9" x14ac:dyDescent="0.3">
      <c r="A32" s="2" t="s">
        <v>45</v>
      </c>
      <c r="B32" s="2" t="s">
        <v>46</v>
      </c>
      <c r="C32" s="6">
        <f>D31</f>
        <v>162.56</v>
      </c>
      <c r="D32" s="6">
        <f t="shared" ref="D32:G32" si="1">E31</f>
        <v>170.18</v>
      </c>
      <c r="E32" s="6">
        <f t="shared" si="1"/>
        <v>179.07</v>
      </c>
      <c r="F32" s="6">
        <f t="shared" si="1"/>
        <v>185.42000000000002</v>
      </c>
      <c r="G32" s="6">
        <f t="shared" si="1"/>
        <v>191.76999999999998</v>
      </c>
      <c r="H32" s="6">
        <f>H34</f>
        <v>198.12</v>
      </c>
      <c r="I32" s="2"/>
    </row>
    <row r="33" spans="1:9" x14ac:dyDescent="0.3">
      <c r="A33" s="2" t="s">
        <v>95</v>
      </c>
      <c r="B33" s="2"/>
      <c r="C33" s="6">
        <f>C35*2.54</f>
        <v>149.86000000000001</v>
      </c>
      <c r="D33" s="6">
        <f t="shared" ref="D33:G34" si="2">D35*2.54</f>
        <v>162.56</v>
      </c>
      <c r="E33" s="6">
        <f t="shared" si="2"/>
        <v>170.18</v>
      </c>
      <c r="F33" s="6">
        <f t="shared" si="2"/>
        <v>177.8</v>
      </c>
      <c r="G33" s="6">
        <f t="shared" si="2"/>
        <v>185.42000000000002</v>
      </c>
      <c r="H33" s="6">
        <f>H35*2.54</f>
        <v>193.04</v>
      </c>
      <c r="I33" s="2"/>
    </row>
    <row r="34" spans="1:9" x14ac:dyDescent="0.3">
      <c r="A34" s="2" t="s">
        <v>96</v>
      </c>
      <c r="B34" s="2"/>
      <c r="C34" s="6">
        <f>C36*2.54</f>
        <v>162.56</v>
      </c>
      <c r="D34" s="6">
        <f t="shared" si="2"/>
        <v>170.18</v>
      </c>
      <c r="E34" s="6">
        <f t="shared" si="2"/>
        <v>180.34</v>
      </c>
      <c r="F34" s="6">
        <f t="shared" si="2"/>
        <v>185.42000000000002</v>
      </c>
      <c r="G34" s="6">
        <f t="shared" si="2"/>
        <v>190.5</v>
      </c>
      <c r="H34" s="6">
        <f>H36*2.54</f>
        <v>198.12</v>
      </c>
      <c r="I34" s="2"/>
    </row>
    <row r="35" spans="1:9" x14ac:dyDescent="0.3">
      <c r="A35" s="2"/>
      <c r="B35" s="2"/>
      <c r="C35" s="2">
        <v>59</v>
      </c>
      <c r="D35" s="2">
        <v>64</v>
      </c>
      <c r="E35" s="2">
        <v>67</v>
      </c>
      <c r="F35" s="2">
        <v>70</v>
      </c>
      <c r="G35" s="2">
        <v>73</v>
      </c>
      <c r="H35" s="2">
        <v>76</v>
      </c>
      <c r="I35" s="2"/>
    </row>
    <row r="36" spans="1:9" x14ac:dyDescent="0.3">
      <c r="A36" s="2" t="s">
        <v>47</v>
      </c>
      <c r="B36" s="2" t="s">
        <v>48</v>
      </c>
      <c r="C36" s="2">
        <v>64</v>
      </c>
      <c r="D36" s="2">
        <v>67</v>
      </c>
      <c r="E36" s="2">
        <v>71</v>
      </c>
      <c r="F36" s="2">
        <v>73</v>
      </c>
      <c r="G36" s="2">
        <v>75</v>
      </c>
      <c r="H36" s="2">
        <v>78</v>
      </c>
      <c r="I36" s="2"/>
    </row>
    <row r="37" spans="1:9" x14ac:dyDescent="0.3">
      <c r="A37" s="2" t="s">
        <v>85</v>
      </c>
      <c r="B37" s="2" t="s">
        <v>86</v>
      </c>
      <c r="C37" s="2"/>
      <c r="D37" s="2"/>
      <c r="E37" s="2"/>
      <c r="F37" s="2"/>
      <c r="G37" s="2"/>
      <c r="H37" s="2"/>
      <c r="I37" s="2"/>
    </row>
    <row r="38" spans="1:9" x14ac:dyDescent="0.3">
      <c r="A38" s="2" t="s">
        <v>87</v>
      </c>
      <c r="B38" s="2" t="s">
        <v>88</v>
      </c>
      <c r="C38" s="2"/>
      <c r="D38" s="2"/>
      <c r="E38" s="2"/>
      <c r="F38" s="2"/>
      <c r="G38" s="2"/>
      <c r="H38" s="2"/>
      <c r="I38" s="2"/>
    </row>
    <row r="39" spans="1:9" x14ac:dyDescent="0.3">
      <c r="A39" s="2" t="s">
        <v>89</v>
      </c>
      <c r="B39" s="2" t="s">
        <v>90</v>
      </c>
      <c r="C39" s="2"/>
      <c r="D39" s="2"/>
      <c r="E39" s="2"/>
      <c r="F39" s="2"/>
      <c r="G39" s="2"/>
      <c r="H39" s="2"/>
      <c r="I39" s="2"/>
    </row>
    <row r="40" spans="1:9" x14ac:dyDescent="0.3">
      <c r="A40" s="2" t="s">
        <v>49</v>
      </c>
      <c r="B40" s="2" t="s">
        <v>50</v>
      </c>
      <c r="C40" s="2"/>
      <c r="D40" s="2"/>
      <c r="E40" s="2"/>
      <c r="F40" s="2"/>
      <c r="G40" s="2"/>
      <c r="H40" s="2"/>
      <c r="I40" s="2"/>
    </row>
    <row r="41" spans="1:9" x14ac:dyDescent="0.3">
      <c r="A41" s="2" t="s">
        <v>51</v>
      </c>
      <c r="B41" s="2" t="s">
        <v>92</v>
      </c>
      <c r="C41" s="2"/>
      <c r="D41" s="2"/>
      <c r="E41" s="2"/>
      <c r="F41" s="2"/>
      <c r="G41" s="2"/>
      <c r="H41" s="2"/>
      <c r="I41" s="2"/>
    </row>
    <row r="42" spans="1:9" x14ac:dyDescent="0.3">
      <c r="A42" s="2" t="s">
        <v>52</v>
      </c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 t="s">
        <v>53</v>
      </c>
      <c r="B43" s="2">
        <v>50</v>
      </c>
      <c r="C43" s="2"/>
      <c r="D43" s="2"/>
      <c r="E43" s="2"/>
      <c r="F43" s="2"/>
      <c r="G43" s="2"/>
      <c r="H43" s="2"/>
      <c r="I43" s="2"/>
    </row>
    <row r="44" spans="1:9" x14ac:dyDescent="0.3">
      <c r="A44" s="2" t="s">
        <v>54</v>
      </c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 t="s">
        <v>55</v>
      </c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 t="s">
        <v>56</v>
      </c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 t="s">
        <v>57</v>
      </c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 t="s">
        <v>58</v>
      </c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 t="s">
        <v>59</v>
      </c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 t="s">
        <v>60</v>
      </c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 t="s">
        <v>61</v>
      </c>
      <c r="B51" s="2" t="s">
        <v>93</v>
      </c>
      <c r="C51" s="2"/>
      <c r="D51" s="2"/>
      <c r="E51" s="2"/>
      <c r="F51" s="2"/>
      <c r="G51" s="2"/>
      <c r="H51" s="2"/>
      <c r="I51" s="2"/>
    </row>
    <row r="52" spans="1:9" x14ac:dyDescent="0.3">
      <c r="A52" s="2" t="s">
        <v>62</v>
      </c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 t="s">
        <v>63</v>
      </c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 t="s">
        <v>64</v>
      </c>
      <c r="B54" s="2" t="s">
        <v>92</v>
      </c>
      <c r="C54" s="2"/>
      <c r="D54" s="2"/>
      <c r="E54" s="2"/>
      <c r="F54" s="2"/>
      <c r="G54" s="2"/>
      <c r="H54" s="2"/>
      <c r="I54" s="2"/>
    </row>
    <row r="55" spans="1:9" x14ac:dyDescent="0.3">
      <c r="A55" s="2" t="s">
        <v>65</v>
      </c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 t="s">
        <v>66</v>
      </c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 t="s">
        <v>67</v>
      </c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 t="s">
        <v>68</v>
      </c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 t="s">
        <v>69</v>
      </c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 t="s">
        <v>70</v>
      </c>
      <c r="B60" s="2" t="s">
        <v>94</v>
      </c>
      <c r="C60" s="2"/>
      <c r="D60" s="2"/>
      <c r="E60" s="2"/>
      <c r="F60" s="2"/>
      <c r="G60" s="2"/>
      <c r="H60" s="2"/>
      <c r="I60" s="2"/>
    </row>
    <row r="61" spans="1:9" x14ac:dyDescent="0.3">
      <c r="A61" s="2" t="s">
        <v>71</v>
      </c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 t="s">
        <v>72</v>
      </c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 t="s">
        <v>73</v>
      </c>
      <c r="B63" s="2" t="s">
        <v>100</v>
      </c>
      <c r="C63" s="2"/>
      <c r="D63" s="2"/>
      <c r="E63" s="2"/>
      <c r="F63" s="2"/>
      <c r="G63" s="2"/>
      <c r="H63" s="2"/>
      <c r="I63" s="2"/>
    </row>
    <row r="64" spans="1:9" x14ac:dyDescent="0.3">
      <c r="A64" s="2" t="s">
        <v>74</v>
      </c>
      <c r="B64" s="2">
        <v>2</v>
      </c>
      <c r="C64" s="2"/>
      <c r="D64" s="2"/>
      <c r="E64" s="2"/>
      <c r="F64" s="2"/>
      <c r="G64" s="2"/>
      <c r="H64" s="2"/>
      <c r="I64" s="2"/>
    </row>
    <row r="65" spans="1:9" x14ac:dyDescent="0.3">
      <c r="A65" s="2" t="s">
        <v>75</v>
      </c>
      <c r="B65" s="2" t="s">
        <v>100</v>
      </c>
      <c r="C65" s="2"/>
      <c r="D65" s="2"/>
      <c r="E65" s="2"/>
      <c r="F65" s="2"/>
      <c r="G65" s="2"/>
      <c r="H65" s="2"/>
      <c r="I65" s="2"/>
    </row>
    <row r="66" spans="1:9" x14ac:dyDescent="0.3">
      <c r="A66" s="2" t="s">
        <v>76</v>
      </c>
      <c r="B66" s="2" t="s">
        <v>92</v>
      </c>
      <c r="C66" s="2"/>
      <c r="D66" s="2"/>
      <c r="E66" s="2"/>
      <c r="F66" s="2"/>
      <c r="G66" s="2"/>
      <c r="H66" s="2"/>
      <c r="I66" s="2"/>
    </row>
    <row r="67" spans="1:9" x14ac:dyDescent="0.3">
      <c r="A67" s="2" t="s">
        <v>77</v>
      </c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 t="s">
        <v>78</v>
      </c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 t="s">
        <v>79</v>
      </c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 t="s">
        <v>80</v>
      </c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 t="s">
        <v>81</v>
      </c>
      <c r="B71" s="2">
        <v>2899</v>
      </c>
      <c r="C71" s="2"/>
      <c r="D71" s="2"/>
      <c r="E71" s="2"/>
      <c r="F71" s="2"/>
      <c r="G71" s="2"/>
      <c r="H71" s="2"/>
      <c r="I71" s="2"/>
    </row>
    <row r="72" spans="1:9" x14ac:dyDescent="0.3">
      <c r="A72" s="2" t="s">
        <v>82</v>
      </c>
      <c r="B72" s="2">
        <v>3499</v>
      </c>
      <c r="C72" s="2"/>
      <c r="D72" s="2"/>
      <c r="E72" s="2"/>
      <c r="F72" s="2"/>
      <c r="G72" s="2"/>
      <c r="H72" s="2"/>
      <c r="I72" s="2"/>
    </row>
    <row r="73" spans="1:9" x14ac:dyDescent="0.3">
      <c r="A73" s="2" t="s">
        <v>83</v>
      </c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 t="s">
        <v>84</v>
      </c>
      <c r="B74" s="2" t="s">
        <v>101</v>
      </c>
      <c r="C74" s="2"/>
      <c r="D74" s="2"/>
      <c r="E74" s="2"/>
      <c r="F74" s="2"/>
      <c r="G74" s="2"/>
      <c r="H74" s="2"/>
      <c r="I74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2025-10-13T22:50:08Z</dcterms:modified>
</cp:coreProperties>
</file>