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3F493890-6C67-6846-8A11-64DB7EA5331D}" xr6:coauthVersionLast="47" xr6:coauthVersionMax="47" xr10:uidLastSave="{00000000-0000-0000-0000-000000000000}"/>
  <bookViews>
    <workbookView xWindow="1600" yWindow="500" windowWidth="249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1" l="1"/>
  <c r="E20" i="1"/>
  <c r="F20" i="1"/>
  <c r="G20" i="1"/>
  <c r="H20" i="1"/>
  <c r="C20" i="1"/>
  <c r="H32" i="1"/>
  <c r="G32" i="1"/>
  <c r="G31" i="1"/>
  <c r="H31" i="1"/>
  <c r="E31" i="1"/>
  <c r="D32" i="1" s="1"/>
  <c r="F31" i="1"/>
  <c r="E32" i="1" s="1"/>
  <c r="D31" i="1"/>
  <c r="C32" i="1" s="1"/>
  <c r="F32" i="1"/>
  <c r="C31" i="1"/>
</calcChain>
</file>

<file path=xl/sharedStrings.xml><?xml version="1.0" encoding="utf-8"?>
<sst xmlns="http://schemas.openxmlformats.org/spreadsheetml/2006/main" count="134" uniqueCount="118">
  <si>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</si>
  <si>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</si>
  <si>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</si>
  <si>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</si>
  <si>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</si>
  <si>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</si>
  <si>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</si>
  <si>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</si>
  <si>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</si>
  <si>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</si>
  <si>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</si>
  <si>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</si>
  <si>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</si>
  <si>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</si>
  <si>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</si>
  <si>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</si>
  <si>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</si>
  <si>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</si>
  <si>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</si>
  <si>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</si>
  <si>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</si>
  <si>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</si>
  <si>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</si>
  <si>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</si>
  <si>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</si>
  <si>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</si>
  <si>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</si>
  <si>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</si>
  <si>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</si>
  <si>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</si>
  <si>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</si>
  <si>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</si>
  <si>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</si>
  <si>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</si>
  <si>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</si>
  <si>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</si>
  <si>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</si>
  <si>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</si>
  <si>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</si>
  <si>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</si>
  <si>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</si>
  <si>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</si>
  <si>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</si>
  <si>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</si>
  <si>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</si>
  <si>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</si>
  <si>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</si>
  <si>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</si>
  <si>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</si>
  <si>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</si>
  <si>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</si>
  <si>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</si>
  <si>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</si>
  <si>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</si>
  <si>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</si>
  <si>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</si>
  <si>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</si>
  <si>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</si>
  <si>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</si>
  <si>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</si>
  <si>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</si>
  <si>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</si>
  <si>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</si>
  <si>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</si>
  <si>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</si>
  <si>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</si>
  <si>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</si>
  <si>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Size</t>
  </si>
  <si>
    <t>Rider Height (cm)</t>
  </si>
  <si>
    <t>157-171</t>
  </si>
  <si>
    <t>168-180</t>
  </si>
  <si>
    <t>176-186</t>
  </si>
  <si>
    <t>183-195</t>
  </si>
  <si>
    <t>Rider Height* (inches)</t>
  </si>
  <si>
    <t>5'2"-5'7"</t>
  </si>
  <si>
    <t>5'6"-5'11"</t>
  </si>
  <si>
    <t>5'9"-6'1"</t>
  </si>
  <si>
    <t>Stack</t>
  </si>
  <si>
    <t>Reach</t>
  </si>
  <si>
    <t>Headtube angle</t>
  </si>
  <si>
    <t>Fork axle-crown</t>
  </si>
  <si>
    <t>Front center</t>
  </si>
  <si>
    <t>Rear center</t>
  </si>
  <si>
    <t>BB drop</t>
  </si>
  <si>
    <t>Toptube length</t>
  </si>
  <si>
    <t>Seattube length</t>
  </si>
  <si>
    <t>Seattube angle</t>
  </si>
  <si>
    <t>3T</t>
  </si>
  <si>
    <t>front_center</t>
  </si>
  <si>
    <t>yes</t>
  </si>
  <si>
    <t>XXS</t>
  </si>
  <si>
    <t>145-160</t>
  </si>
  <si>
    <t>192 &amp; up</t>
  </si>
  <si>
    <t>4'9"-5'3"</t>
  </si>
  <si>
    <t>6'0"-6'5"</t>
  </si>
  <si>
    <t>6'3 &amp; up</t>
  </si>
  <si>
    <t>Road Headtube</t>
  </si>
  <si>
    <t>frame_weight</t>
  </si>
  <si>
    <t>pressfit</t>
  </si>
  <si>
    <t>48/35</t>
  </si>
  <si>
    <t>no</t>
  </si>
  <si>
    <t>a8:h32</t>
  </si>
  <si>
    <t>https://us.3t.bike/collections/racemax-wpnt</t>
  </si>
  <si>
    <t>"Road" Headtube</t>
  </si>
  <si>
    <t>Wheelbase</t>
  </si>
  <si>
    <t>italia</t>
  </si>
  <si>
    <t>class</t>
  </si>
  <si>
    <t>gravel</t>
  </si>
  <si>
    <t>handlebar</t>
  </si>
  <si>
    <t>drop bar</t>
  </si>
  <si>
    <t>fork</t>
  </si>
  <si>
    <t>rigid</t>
  </si>
  <si>
    <t>Racemax</t>
  </si>
  <si>
    <t>https://us.3t.bike/cdn/shop/files/Racemax_Integrale_WPNT_GRX_1x12_700c_Avorio_DS_900x.jpg?v=1731423845</t>
  </si>
  <si>
    <t>USD</t>
  </si>
  <si>
    <t>integrated</t>
  </si>
  <si>
    <t>location</t>
  </si>
  <si>
    <t>Bergamo, Italy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</si>
</sst>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4"/>
      <color rgb="FF000000"/>
      <name val="Futura"/>
    </font>
    <font>
      <sz val="14"/>
      <color rgb="FF000000"/>
      <name val="Futura"/>
      <family val="2"/>
    </font>
    <font>
      <b/>
      <sz val="15"/>
      <color rgb="FF202020"/>
      <name val="Avenir-next-pro"/>
    </font>
    <font>
      <sz val="15"/>
      <color rgb="FF202020"/>
      <name val="Avenir-next-pr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3"/>
  <sheetViews>
    <sheetView tabSelected="1" topLeftCell="A61" workbookViewId="0">
      <selection activeCell="A73" sqref="A73:B73"/>
    </sheetView>
  </sheetViews>
  <sheetFormatPr baseColWidth="10" defaultRowHeight="20"/>
  <cols>
    <col min="1" max="2" width="19.6640625" customWidth="1"/>
  </cols>
  <sheetData>
    <row r="1" spans="1:14">
      <c r="A1" t="s">
        <v>0</v>
      </c>
      <c r="B1" s="1" t="s">
        <v>87</v>
      </c>
    </row>
    <row r="2" spans="1:14">
      <c r="A2" t="s">
        <v>1</v>
      </c>
      <c r="B2" s="1" t="s">
        <v>112</v>
      </c>
    </row>
    <row r="3" spans="1:14">
      <c r="A3" t="s">
        <v>2</v>
      </c>
      <c r="B3">
        <v>2025</v>
      </c>
    </row>
    <row r="4" spans="1:14">
      <c r="A4" t="s">
        <v>3</v>
      </c>
      <c r="B4" s="4">
        <v>45863</v>
      </c>
    </row>
    <row r="5" spans="1:14">
      <c r="A5" t="s">
        <v>4</v>
      </c>
      <c r="B5" t="s">
        <v>102</v>
      </c>
    </row>
    <row r="6" spans="1:14">
      <c r="B6" t="s">
        <v>113</v>
      </c>
    </row>
    <row r="7" spans="1:14">
      <c r="A7" t="s">
        <v>5</v>
      </c>
      <c r="B7" s="1" t="s">
        <v>101</v>
      </c>
      <c r="J7" s="1" t="s">
        <v>105</v>
      </c>
    </row>
    <row r="8" spans="1:14" ht="21">
      <c r="A8" t="s">
        <v>6</v>
      </c>
      <c r="B8" s="1" t="s">
        <v>67</v>
      </c>
      <c r="C8" s="2" t="s">
        <v>90</v>
      </c>
      <c r="D8" s="2">
        <v>51</v>
      </c>
      <c r="E8" s="2">
        <v>54</v>
      </c>
      <c r="F8" s="2">
        <v>56</v>
      </c>
      <c r="G8">
        <v>58</v>
      </c>
      <c r="H8">
        <v>61</v>
      </c>
      <c r="J8" s="2" t="s">
        <v>67</v>
      </c>
      <c r="K8" s="2">
        <v>51</v>
      </c>
      <c r="L8" s="2">
        <v>54</v>
      </c>
      <c r="M8" s="2">
        <v>56</v>
      </c>
      <c r="N8" s="2">
        <v>58</v>
      </c>
    </row>
    <row r="9" spans="1:14" ht="21">
      <c r="A9" t="s">
        <v>17</v>
      </c>
      <c r="B9" s="3" t="s">
        <v>77</v>
      </c>
      <c r="C9" s="3">
        <v>522</v>
      </c>
      <c r="D9" s="3">
        <v>544</v>
      </c>
      <c r="E9" s="3">
        <v>566</v>
      </c>
      <c r="F9" s="3">
        <v>586</v>
      </c>
      <c r="G9">
        <v>606</v>
      </c>
      <c r="H9">
        <v>634</v>
      </c>
      <c r="J9" s="3" t="s">
        <v>77</v>
      </c>
      <c r="K9" s="3">
        <v>544</v>
      </c>
      <c r="L9" s="3">
        <v>566</v>
      </c>
      <c r="M9" s="3">
        <v>586</v>
      </c>
      <c r="N9" s="3">
        <v>606</v>
      </c>
    </row>
    <row r="10" spans="1:14" ht="21">
      <c r="A10" t="s">
        <v>18</v>
      </c>
      <c r="B10" s="3" t="s">
        <v>78</v>
      </c>
      <c r="C10" s="3">
        <v>353</v>
      </c>
      <c r="D10" s="3">
        <v>364</v>
      </c>
      <c r="E10" s="3">
        <v>374</v>
      </c>
      <c r="F10" s="3">
        <v>382</v>
      </c>
      <c r="G10">
        <v>390</v>
      </c>
      <c r="H10">
        <v>401</v>
      </c>
      <c r="J10" s="3" t="s">
        <v>78</v>
      </c>
      <c r="K10" s="3">
        <v>364</v>
      </c>
      <c r="L10" s="3">
        <v>374</v>
      </c>
      <c r="M10" s="3">
        <v>382</v>
      </c>
      <c r="N10" s="3">
        <v>390</v>
      </c>
    </row>
    <row r="11" spans="1:14" ht="21">
      <c r="A11" t="s">
        <v>10</v>
      </c>
      <c r="B11" s="3" t="s">
        <v>96</v>
      </c>
      <c r="C11" s="3">
        <v>125</v>
      </c>
      <c r="D11" s="3">
        <v>147</v>
      </c>
      <c r="E11" s="3">
        <v>161</v>
      </c>
      <c r="F11" s="3">
        <v>180</v>
      </c>
      <c r="G11">
        <v>201</v>
      </c>
      <c r="H11">
        <v>230</v>
      </c>
      <c r="J11" s="3" t="s">
        <v>103</v>
      </c>
      <c r="K11" s="3">
        <v>147</v>
      </c>
      <c r="L11" s="3">
        <v>161</v>
      </c>
      <c r="M11" s="3">
        <v>180</v>
      </c>
      <c r="N11" s="3">
        <v>201</v>
      </c>
    </row>
    <row r="12" spans="1:14" ht="21">
      <c r="A12" t="s">
        <v>11</v>
      </c>
      <c r="B12" s="3" t="s">
        <v>79</v>
      </c>
      <c r="C12" s="3">
        <v>68.7</v>
      </c>
      <c r="D12" s="3">
        <v>69.2</v>
      </c>
      <c r="E12" s="3">
        <v>70.7</v>
      </c>
      <c r="F12" s="3">
        <v>71.7</v>
      </c>
      <c r="G12">
        <v>72.2</v>
      </c>
      <c r="H12">
        <v>72.2</v>
      </c>
      <c r="J12" s="3" t="s">
        <v>79</v>
      </c>
      <c r="K12" s="3">
        <v>69.2</v>
      </c>
      <c r="L12" s="3">
        <v>70.7</v>
      </c>
      <c r="M12" s="3">
        <v>71.7</v>
      </c>
      <c r="N12" s="3">
        <v>72.2</v>
      </c>
    </row>
    <row r="13" spans="1:14" ht="21">
      <c r="A13" t="s">
        <v>24</v>
      </c>
      <c r="B13" s="3" t="s">
        <v>80</v>
      </c>
      <c r="C13" s="3">
        <v>375</v>
      </c>
      <c r="D13" s="3">
        <v>375</v>
      </c>
      <c r="E13" s="3">
        <v>375</v>
      </c>
      <c r="F13" s="3">
        <v>375</v>
      </c>
      <c r="G13">
        <v>375</v>
      </c>
      <c r="H13">
        <v>375</v>
      </c>
      <c r="J13" s="3" t="s">
        <v>80</v>
      </c>
      <c r="K13" s="3">
        <v>375</v>
      </c>
      <c r="L13" s="3">
        <v>375</v>
      </c>
      <c r="M13" s="3">
        <v>375</v>
      </c>
      <c r="N13" s="3">
        <v>375</v>
      </c>
    </row>
    <row r="14" spans="1:14" ht="21">
      <c r="A14" s="1" t="s">
        <v>88</v>
      </c>
      <c r="B14" s="3" t="s">
        <v>81</v>
      </c>
      <c r="C14" s="3">
        <v>597</v>
      </c>
      <c r="D14" s="3">
        <v>612</v>
      </c>
      <c r="E14" s="3">
        <v>607</v>
      </c>
      <c r="F14" s="3">
        <v>612</v>
      </c>
      <c r="G14">
        <v>622</v>
      </c>
      <c r="H14">
        <v>642</v>
      </c>
      <c r="J14" s="3" t="s">
        <v>81</v>
      </c>
      <c r="K14" s="3">
        <v>612</v>
      </c>
      <c r="L14" s="3">
        <v>607</v>
      </c>
      <c r="M14" s="3">
        <v>612</v>
      </c>
      <c r="N14" s="3">
        <v>622</v>
      </c>
    </row>
    <row r="15" spans="1:14" ht="21">
      <c r="A15" t="s">
        <v>15</v>
      </c>
      <c r="B15" s="3" t="s">
        <v>82</v>
      </c>
      <c r="C15" s="3">
        <v>418</v>
      </c>
      <c r="D15" s="3">
        <v>418</v>
      </c>
      <c r="E15" s="3">
        <v>418</v>
      </c>
      <c r="F15" s="3">
        <v>418</v>
      </c>
      <c r="G15">
        <v>418</v>
      </c>
      <c r="H15">
        <v>418</v>
      </c>
      <c r="J15" s="3" t="s">
        <v>82</v>
      </c>
      <c r="K15" s="3">
        <v>418</v>
      </c>
      <c r="L15" s="3">
        <v>418</v>
      </c>
      <c r="M15" s="3">
        <v>418</v>
      </c>
      <c r="N15" s="3">
        <v>418</v>
      </c>
    </row>
    <row r="16" spans="1:14" ht="21">
      <c r="A16" t="s">
        <v>16</v>
      </c>
      <c r="B16" s="3" t="s">
        <v>83</v>
      </c>
      <c r="C16" s="3">
        <v>77</v>
      </c>
      <c r="D16" s="3">
        <v>77</v>
      </c>
      <c r="E16" s="3">
        <v>77</v>
      </c>
      <c r="F16" s="3">
        <v>75</v>
      </c>
      <c r="G16">
        <v>73</v>
      </c>
      <c r="H16">
        <v>73</v>
      </c>
      <c r="J16" s="3" t="s">
        <v>83</v>
      </c>
      <c r="K16" s="3">
        <v>77</v>
      </c>
      <c r="L16" s="3">
        <v>77</v>
      </c>
      <c r="M16" s="3">
        <v>75</v>
      </c>
      <c r="N16" s="3">
        <v>73</v>
      </c>
    </row>
    <row r="17" spans="1:14" ht="21">
      <c r="A17" t="s">
        <v>9</v>
      </c>
      <c r="B17" s="3" t="s">
        <v>84</v>
      </c>
      <c r="C17" s="3">
        <v>501</v>
      </c>
      <c r="D17" s="3">
        <v>518</v>
      </c>
      <c r="E17" s="3">
        <v>536</v>
      </c>
      <c r="F17" s="3">
        <v>549</v>
      </c>
      <c r="G17">
        <v>563</v>
      </c>
      <c r="H17">
        <v>582</v>
      </c>
      <c r="J17" s="3" t="s">
        <v>104</v>
      </c>
      <c r="K17" s="3">
        <v>1018</v>
      </c>
      <c r="L17" s="3">
        <v>1013</v>
      </c>
      <c r="M17" s="3">
        <v>1019</v>
      </c>
      <c r="N17" s="3">
        <v>1028</v>
      </c>
    </row>
    <row r="18" spans="1:14" ht="21">
      <c r="A18" t="s">
        <v>7</v>
      </c>
      <c r="B18" s="3" t="s">
        <v>85</v>
      </c>
      <c r="C18" s="3">
        <v>436</v>
      </c>
      <c r="D18" s="3">
        <v>463</v>
      </c>
      <c r="E18" s="3">
        <v>490</v>
      </c>
      <c r="F18" s="3">
        <v>518</v>
      </c>
      <c r="G18">
        <v>545</v>
      </c>
      <c r="H18">
        <v>572</v>
      </c>
      <c r="J18" s="3" t="s">
        <v>84</v>
      </c>
      <c r="K18" s="3">
        <v>518</v>
      </c>
      <c r="L18" s="3">
        <v>536</v>
      </c>
      <c r="M18" s="3">
        <v>549</v>
      </c>
      <c r="N18" s="3">
        <v>563</v>
      </c>
    </row>
    <row r="19" spans="1:14" ht="21">
      <c r="A19" t="s">
        <v>8</v>
      </c>
      <c r="B19" t="s">
        <v>86</v>
      </c>
      <c r="C19">
        <v>74</v>
      </c>
      <c r="D19">
        <v>74</v>
      </c>
      <c r="E19">
        <v>74</v>
      </c>
      <c r="F19">
        <v>74</v>
      </c>
      <c r="G19">
        <v>74</v>
      </c>
      <c r="H19">
        <v>74</v>
      </c>
      <c r="J19" s="3" t="s">
        <v>85</v>
      </c>
      <c r="K19" s="3">
        <v>463</v>
      </c>
      <c r="L19" s="3">
        <v>490</v>
      </c>
      <c r="M19" s="3">
        <v>518</v>
      </c>
      <c r="N19" s="3">
        <v>545</v>
      </c>
    </row>
    <row r="20" spans="1:14" ht="21">
      <c r="A20" t="s">
        <v>14</v>
      </c>
      <c r="C20" s="5">
        <f>SQRT(C15^2-C16^2) + SQRT(C14^2-C16^2)</f>
        <v>1002.8602000929095</v>
      </c>
      <c r="D20" s="5">
        <f t="shared" ref="D20:H20" si="0">SQRT(D15^2-D16^2) + SQRT(D14^2-D16^2)</f>
        <v>1017.9834093917128</v>
      </c>
      <c r="E20" s="5">
        <f t="shared" si="0"/>
        <v>1012.943024540129</v>
      </c>
      <c r="F20" s="5">
        <f t="shared" si="0"/>
        <v>1018.6035145287932</v>
      </c>
      <c r="G20" s="5">
        <f t="shared" si="0"/>
        <v>1029.2776225466982</v>
      </c>
      <c r="H20" s="5">
        <f t="shared" si="0"/>
        <v>1049.4124242471098</v>
      </c>
      <c r="J20" s="3" t="s">
        <v>86</v>
      </c>
      <c r="K20" s="3">
        <v>74</v>
      </c>
      <c r="L20" s="3">
        <v>74</v>
      </c>
      <c r="M20" s="3">
        <v>74</v>
      </c>
      <c r="N20" s="3">
        <v>74</v>
      </c>
    </row>
    <row r="21" spans="1:14">
      <c r="A21" t="s">
        <v>12</v>
      </c>
    </row>
    <row r="22" spans="1:14">
      <c r="A22" t="s">
        <v>13</v>
      </c>
    </row>
    <row r="23" spans="1:14">
      <c r="A23" t="s">
        <v>19</v>
      </c>
    </row>
    <row r="24" spans="1:14">
      <c r="A24" s="1" t="s">
        <v>97</v>
      </c>
      <c r="E24">
        <v>990</v>
      </c>
    </row>
    <row r="25" spans="1:14">
      <c r="A25" t="s">
        <v>20</v>
      </c>
    </row>
    <row r="26" spans="1:14">
      <c r="A26" t="s">
        <v>21</v>
      </c>
      <c r="C26">
        <v>70</v>
      </c>
      <c r="D26">
        <v>80</v>
      </c>
      <c r="E26">
        <v>90</v>
      </c>
      <c r="F26">
        <v>100</v>
      </c>
      <c r="G26">
        <v>110</v>
      </c>
      <c r="H26">
        <v>120</v>
      </c>
    </row>
    <row r="27" spans="1:14">
      <c r="A27" t="s">
        <v>22</v>
      </c>
    </row>
    <row r="28" spans="1:14">
      <c r="A28" t="s">
        <v>23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</row>
    <row r="29" spans="1:14">
      <c r="A29" t="s">
        <v>25</v>
      </c>
      <c r="C29">
        <v>40</v>
      </c>
      <c r="D29">
        <v>40</v>
      </c>
      <c r="E29">
        <v>40</v>
      </c>
      <c r="F29">
        <v>40</v>
      </c>
      <c r="G29">
        <v>40</v>
      </c>
      <c r="H29">
        <v>40</v>
      </c>
    </row>
    <row r="30" spans="1:14">
      <c r="A30" t="s">
        <v>26</v>
      </c>
      <c r="C30">
        <v>46</v>
      </c>
      <c r="D30">
        <v>46</v>
      </c>
      <c r="E30">
        <v>46</v>
      </c>
      <c r="F30">
        <v>46</v>
      </c>
      <c r="G30">
        <v>46</v>
      </c>
      <c r="H30">
        <v>46</v>
      </c>
    </row>
    <row r="31" spans="1:14">
      <c r="A31" t="s">
        <v>27</v>
      </c>
      <c r="C31">
        <f>C33</f>
        <v>145</v>
      </c>
      <c r="D31">
        <f>AVERAGE(D33,C34)</f>
        <v>158.5</v>
      </c>
      <c r="E31">
        <f t="shared" ref="E31:F31" si="1">AVERAGE(E33,D34)</f>
        <v>169.5</v>
      </c>
      <c r="F31">
        <f t="shared" si="1"/>
        <v>178</v>
      </c>
      <c r="G31">
        <f t="shared" ref="G31" si="2">AVERAGE(G33,F34)</f>
        <v>184.5</v>
      </c>
      <c r="H31">
        <f t="shared" ref="H31" si="3">AVERAGE(H33,G34)</f>
        <v>193.5</v>
      </c>
    </row>
    <row r="32" spans="1:14">
      <c r="A32" t="s">
        <v>28</v>
      </c>
      <c r="C32">
        <f>D31</f>
        <v>158.5</v>
      </c>
      <c r="D32">
        <f t="shared" ref="D32:E32" si="4">E31</f>
        <v>169.5</v>
      </c>
      <c r="E32">
        <f t="shared" si="4"/>
        <v>178</v>
      </c>
      <c r="F32">
        <f t="shared" ref="F32:G32" si="5">F34</f>
        <v>186</v>
      </c>
      <c r="G32">
        <f t="shared" si="5"/>
        <v>195</v>
      </c>
      <c r="H32">
        <f>H34</f>
        <v>200</v>
      </c>
    </row>
    <row r="33" spans="1:9">
      <c r="C33">
        <v>145</v>
      </c>
      <c r="D33">
        <v>157</v>
      </c>
      <c r="E33">
        <v>168</v>
      </c>
      <c r="F33">
        <v>176</v>
      </c>
      <c r="G33">
        <v>183</v>
      </c>
      <c r="H33">
        <v>192</v>
      </c>
    </row>
    <row r="34" spans="1:9">
      <c r="A34" t="s">
        <v>29</v>
      </c>
      <c r="B34" t="s">
        <v>30</v>
      </c>
      <c r="C34">
        <v>160</v>
      </c>
      <c r="D34">
        <v>171</v>
      </c>
      <c r="E34">
        <v>180</v>
      </c>
      <c r="F34">
        <v>186</v>
      </c>
      <c r="G34">
        <v>195</v>
      </c>
      <c r="H34">
        <v>200</v>
      </c>
    </row>
    <row r="35" spans="1:9" ht="21">
      <c r="A35" t="s">
        <v>106</v>
      </c>
      <c r="B35" t="s">
        <v>107</v>
      </c>
      <c r="C35" s="3" t="s">
        <v>68</v>
      </c>
      <c r="D35" s="3" t="s">
        <v>91</v>
      </c>
      <c r="E35" s="3" t="s">
        <v>69</v>
      </c>
      <c r="F35" s="3" t="s">
        <v>70</v>
      </c>
      <c r="G35" s="3" t="s">
        <v>71</v>
      </c>
      <c r="H35" t="s">
        <v>72</v>
      </c>
      <c r="I35" t="s">
        <v>92</v>
      </c>
    </row>
    <row r="36" spans="1:9" ht="21">
      <c r="A36" t="s">
        <v>108</v>
      </c>
      <c r="B36" t="s">
        <v>109</v>
      </c>
      <c r="C36" s="3" t="s">
        <v>73</v>
      </c>
      <c r="D36" s="3" t="s">
        <v>93</v>
      </c>
      <c r="E36" s="3" t="s">
        <v>74</v>
      </c>
      <c r="F36" s="3" t="s">
        <v>75</v>
      </c>
      <c r="G36" s="3" t="s">
        <v>76</v>
      </c>
      <c r="H36" t="s">
        <v>94</v>
      </c>
      <c r="I36" t="s">
        <v>95</v>
      </c>
    </row>
    <row r="37" spans="1:9">
      <c r="A37" t="s">
        <v>110</v>
      </c>
      <c r="B37" t="s">
        <v>111</v>
      </c>
    </row>
    <row r="38" spans="1:9">
      <c r="A38" t="s">
        <v>31</v>
      </c>
      <c r="B38" t="s">
        <v>32</v>
      </c>
    </row>
    <row r="39" spans="1:9">
      <c r="A39" t="s">
        <v>33</v>
      </c>
      <c r="B39" s="1" t="s">
        <v>89</v>
      </c>
    </row>
    <row r="40" spans="1:9">
      <c r="A40" t="s">
        <v>34</v>
      </c>
    </row>
    <row r="41" spans="1:9">
      <c r="A41" t="s">
        <v>35</v>
      </c>
      <c r="B41">
        <v>47</v>
      </c>
    </row>
    <row r="42" spans="1:9">
      <c r="A42" t="s">
        <v>36</v>
      </c>
      <c r="B42" s="1">
        <v>2.4</v>
      </c>
    </row>
    <row r="43" spans="1:9">
      <c r="A43" t="s">
        <v>37</v>
      </c>
    </row>
    <row r="44" spans="1:9">
      <c r="A44" t="s">
        <v>38</v>
      </c>
    </row>
    <row r="45" spans="1:9">
      <c r="A45" t="s">
        <v>39</v>
      </c>
    </row>
    <row r="46" spans="1:9">
      <c r="A46" t="s">
        <v>40</v>
      </c>
    </row>
    <row r="47" spans="1:9">
      <c r="A47" t="s">
        <v>41</v>
      </c>
      <c r="B47">
        <v>142</v>
      </c>
    </row>
    <row r="48" spans="1:9">
      <c r="A48" t="s">
        <v>42</v>
      </c>
      <c r="B48">
        <v>100</v>
      </c>
    </row>
    <row r="49" spans="1:2">
      <c r="A49" t="s">
        <v>43</v>
      </c>
      <c r="B49" s="1" t="s">
        <v>98</v>
      </c>
    </row>
    <row r="50" spans="1:2">
      <c r="A50" t="s">
        <v>44</v>
      </c>
    </row>
    <row r="51" spans="1:2">
      <c r="A51" t="s">
        <v>45</v>
      </c>
    </row>
    <row r="52" spans="1:2">
      <c r="A52" t="s">
        <v>46</v>
      </c>
      <c r="B52" s="1" t="s">
        <v>89</v>
      </c>
    </row>
    <row r="53" spans="1:2">
      <c r="A53" t="s">
        <v>47</v>
      </c>
      <c r="B53">
        <v>44</v>
      </c>
    </row>
    <row r="54" spans="1:2">
      <c r="A54" t="s">
        <v>48</v>
      </c>
      <c r="B54" s="1" t="s">
        <v>99</v>
      </c>
    </row>
    <row r="55" spans="1:2">
      <c r="A55" t="s">
        <v>49</v>
      </c>
      <c r="B55">
        <v>160</v>
      </c>
    </row>
    <row r="56" spans="1:2">
      <c r="A56" t="s">
        <v>50</v>
      </c>
      <c r="B56">
        <v>160</v>
      </c>
    </row>
    <row r="57" spans="1:2">
      <c r="A57" t="s">
        <v>51</v>
      </c>
    </row>
    <row r="58" spans="1:2">
      <c r="A58" t="s">
        <v>52</v>
      </c>
      <c r="B58" s="1" t="s">
        <v>115</v>
      </c>
    </row>
    <row r="59" spans="1:2">
      <c r="A59" t="s">
        <v>53</v>
      </c>
    </row>
    <row r="60" spans="1:2">
      <c r="A60" t="s">
        <v>54</v>
      </c>
    </row>
    <row r="61" spans="1:2">
      <c r="A61" t="s">
        <v>55</v>
      </c>
    </row>
    <row r="62" spans="1:2">
      <c r="A62" t="s">
        <v>56</v>
      </c>
      <c r="B62">
        <v>2</v>
      </c>
    </row>
    <row r="63" spans="1:2">
      <c r="A63" t="s">
        <v>57</v>
      </c>
    </row>
    <row r="64" spans="1:2">
      <c r="A64" t="s">
        <v>58</v>
      </c>
      <c r="B64" s="1" t="s">
        <v>89</v>
      </c>
    </row>
    <row r="65" spans="1:2">
      <c r="A65" t="s">
        <v>59</v>
      </c>
      <c r="B65" s="1" t="s">
        <v>100</v>
      </c>
    </row>
    <row r="66" spans="1:2">
      <c r="A66" t="s">
        <v>60</v>
      </c>
      <c r="B66" s="1" t="s">
        <v>100</v>
      </c>
    </row>
    <row r="67" spans="1:2">
      <c r="A67" t="s">
        <v>61</v>
      </c>
      <c r="B67" s="1" t="s">
        <v>100</v>
      </c>
    </row>
    <row r="68" spans="1:2">
      <c r="A68" t="s">
        <v>62</v>
      </c>
      <c r="B68" s="1" t="s">
        <v>100</v>
      </c>
    </row>
    <row r="69" spans="1:2">
      <c r="A69" t="s">
        <v>63</v>
      </c>
      <c r="B69">
        <v>3299</v>
      </c>
    </row>
    <row r="70" spans="1:2">
      <c r="A70" t="s">
        <v>64</v>
      </c>
      <c r="B70">
        <v>4999</v>
      </c>
    </row>
    <row r="71" spans="1:2">
      <c r="A71" t="s">
        <v>65</v>
      </c>
    </row>
    <row r="72" spans="1:2">
      <c r="A72" t="s">
        <v>66</v>
      </c>
      <c r="B72" s="1" t="s">
        <v>114</v>
      </c>
    </row>
    <row r="73" spans="1:2">
      <c r="A73" t="s">
        <v>116</v>
      </c>
      <c r="B73" t="s">
        <v>117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2025-10-17T00:55:27Z</dcterms:modified>
</cp:coreProperties>
</file>