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2E8038A-3E3F-3342-A236-DAB7A1CDA474}" xr6:coauthVersionLast="47" xr6:coauthVersionMax="47" xr10:uidLastSave="{00000000-0000-0000-0000-000000000000}"/>
  <bookViews>
    <workbookView xWindow="6320" yWindow="14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" l="1"/>
  <c r="H24" i="1"/>
  <c r="I22" i="1"/>
  <c r="H22" i="1"/>
  <c r="H23" i="1" l="1"/>
  <c r="I23" i="1"/>
  <c r="I25" i="1"/>
  <c r="H25" i="1"/>
</calcChain>
</file>

<file path=xl/sharedStrings.xml><?xml version="1.0" encoding="utf-8"?>
<sst xmlns="http://schemas.openxmlformats.org/spreadsheetml/2006/main" count="137" uniqueCount="123">
  <si>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</si>
  <si>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</si>
  <si>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</si>
  <si>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</si>
  <si>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</si>
  <si>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</si>
  <si>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</si>
  <si>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</si>
  <si>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</si>
  <si>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</si>
  <si>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</si>
  <si>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</si>
  <si>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</si>
  <si>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</si>
  <si>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</si>
  <si>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</si>
  <si>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</si>
  <si>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</si>
  <si>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</si>
  <si>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</si>
  <si>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</si>
  <si>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</si>
  <si>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</si>
  <si>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</si>
  <si>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</si>
  <si>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</si>
  <si>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</si>
  <si>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</si>
  <si>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</si>
  <si>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</si>
  <si>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</si>
  <si>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</si>
  <si>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</si>
  <si>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</si>
  <si>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</si>
  <si>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</si>
  <si>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</si>
  <si>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</si>
  <si>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</si>
  <si>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</si>
  <si>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</si>
  <si>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</si>
  <si>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</si>
  <si>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</si>
  <si>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</si>
  <si>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</si>
  <si>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</si>
  <si>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</si>
  <si>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</si>
  <si>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</si>
  <si>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</si>
  <si>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</si>
  <si>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</si>
  <si>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</si>
  <si>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</si>
  <si>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</si>
  <si>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</si>
  <si>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</si>
  <si>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</si>
  <si>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</si>
  <si>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</si>
  <si>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</si>
  <si>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</si>
  <si>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</si>
  <si>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</si>
  <si>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</si>
  <si>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</si>
  <si>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</si>
  <si>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</si>
  <si>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</si>
  <si>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</si>
  <si>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Head Tube Angle (°)</t>
  </si>
  <si>
    <t>Seat Tube Angle (°)</t>
  </si>
  <si>
    <t>Stack (mm)</t>
  </si>
  <si>
    <t>Reach (mm)</t>
  </si>
  <si>
    <t>Chainstay Length (mm)</t>
  </si>
  <si>
    <t>USD</t>
  </si>
  <si>
    <t>Head Tube Length (mm)</t>
  </si>
  <si>
    <t>Wheelbase (mm)</t>
  </si>
  <si>
    <t>flat bar</t>
  </si>
  <si>
    <t>hardtail</t>
  </si>
  <si>
    <t>threaded 73</t>
  </si>
  <si>
    <t>internal</t>
  </si>
  <si>
    <t>frame only</t>
  </si>
  <si>
    <t>suspension</t>
  </si>
  <si>
    <t>Stanton</t>
  </si>
  <si>
    <t>17"</t>
  </si>
  <si>
    <t>19"</t>
  </si>
  <si>
    <t>21"</t>
  </si>
  <si>
    <t>Virtual Top Tube (mm)</t>
  </si>
  <si>
    <t>Actual Top Tube (mm)</t>
  </si>
  <si>
    <t>Seat Tube Length (mm)</t>
  </si>
  <si>
    <t>Bottom Bracket Drop (mm)</t>
  </si>
  <si>
    <t>top_tube_actual</t>
  </si>
  <si>
    <t>external</t>
  </si>
  <si>
    <t>142/148</t>
  </si>
  <si>
    <t>Sherpa Ti (Gen 4)</t>
  </si>
  <si>
    <t>Metric</t>
  </si>
  <si>
    <t>Axle to Crown (mm) used for above measurements</t>
  </si>
  <si>
    <t>location</t>
  </si>
  <si>
    <t>Matlock, Derbyshire, United Kingdom</t>
  </si>
  <si>
    <t>titanium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</si>
  <si>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</si>
  <si>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</si>
  <si>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</si>
  <si>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</si>
  <si>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</si>
  <si>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</si>
  <si>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</si>
  <si>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</si>
  <si>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100-130</t>
  </si>
  <si>
    <t>travel</t>
  </si>
  <si>
    <t>20% + 15</t>
  </si>
  <si>
    <t>30% + 15</t>
  </si>
  <si>
    <t>I think this means that the fork ac + 15 is the length from axle to head tube</t>
  </si>
  <si>
    <t>Size</t>
  </si>
  <si>
    <t>15"</t>
  </si>
  <si>
    <t>Head Tube Angle</t>
  </si>
  <si>
    <t>Seat Tube Angle</t>
  </si>
  <si>
    <t>Axle to Crown (mm) (15mm bottom cup)</t>
  </si>
  <si>
    <t>a8:f34</t>
  </si>
  <si>
    <t>https://www.stantonbikes.com/collections/sherpa-ti-gen4</t>
  </si>
  <si>
    <t>https://www.stantonbikes.com/cdn/shop/files/sherpa_ti_hero_b098c17f-cdcb-45b4-87d9-678cdce2138f.jpg?v=1714561126&amp;width=2400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</si>
</sst>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9" fontId="1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topLeftCell="A12" workbookViewId="0">
      <selection activeCell="H26" sqref="H26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1" t="s">
        <v>85</v>
      </c>
    </row>
    <row r="2" spans="1:13" x14ac:dyDescent="0.3">
      <c r="A2" t="s">
        <v>1</v>
      </c>
      <c r="B2" s="1" t="s">
        <v>96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2">
        <v>45997</v>
      </c>
    </row>
    <row r="5" spans="1:13" x14ac:dyDescent="0.3">
      <c r="A5" t="s">
        <v>4</v>
      </c>
      <c r="B5" t="s">
        <v>121</v>
      </c>
    </row>
    <row r="6" spans="1:13" x14ac:dyDescent="0.3">
      <c r="B6" t="s">
        <v>122</v>
      </c>
    </row>
    <row r="7" spans="1:13" x14ac:dyDescent="0.3">
      <c r="A7" t="s">
        <v>5</v>
      </c>
      <c r="B7" s="1" t="s">
        <v>120</v>
      </c>
      <c r="J7" s="2">
        <v>45938</v>
      </c>
    </row>
    <row r="8" spans="1:13" x14ac:dyDescent="0.3">
      <c r="A8" t="s">
        <v>6</v>
      </c>
      <c r="B8" t="s">
        <v>115</v>
      </c>
      <c r="C8" t="s">
        <v>116</v>
      </c>
      <c r="D8" t="s">
        <v>86</v>
      </c>
      <c r="E8" t="s">
        <v>87</v>
      </c>
      <c r="F8" t="s">
        <v>88</v>
      </c>
      <c r="J8" t="s">
        <v>97</v>
      </c>
      <c r="K8" t="s">
        <v>86</v>
      </c>
      <c r="L8" t="s">
        <v>87</v>
      </c>
      <c r="M8" t="s">
        <v>88</v>
      </c>
    </row>
    <row r="9" spans="1:13" x14ac:dyDescent="0.3">
      <c r="A9" t="s">
        <v>12</v>
      </c>
      <c r="B9" t="s">
        <v>73</v>
      </c>
      <c r="C9">
        <v>604</v>
      </c>
      <c r="D9">
        <v>604</v>
      </c>
      <c r="E9">
        <v>623</v>
      </c>
      <c r="F9">
        <v>642</v>
      </c>
      <c r="J9" t="s">
        <v>73</v>
      </c>
      <c r="K9">
        <v>599.99</v>
      </c>
      <c r="L9">
        <v>618.4</v>
      </c>
      <c r="M9">
        <v>636.80999999999995</v>
      </c>
    </row>
    <row r="10" spans="1:13" x14ac:dyDescent="0.3">
      <c r="A10" t="s">
        <v>13</v>
      </c>
      <c r="B10" t="s">
        <v>74</v>
      </c>
      <c r="C10">
        <v>444</v>
      </c>
      <c r="D10">
        <v>468</v>
      </c>
      <c r="E10">
        <v>495</v>
      </c>
      <c r="F10">
        <v>509</v>
      </c>
      <c r="J10" t="s">
        <v>74</v>
      </c>
      <c r="K10">
        <v>440.99</v>
      </c>
      <c r="L10">
        <v>461.22</v>
      </c>
      <c r="M10">
        <v>481.46</v>
      </c>
    </row>
    <row r="11" spans="1:13" x14ac:dyDescent="0.3">
      <c r="A11" t="s">
        <v>11</v>
      </c>
      <c r="B11" t="s">
        <v>89</v>
      </c>
      <c r="C11">
        <v>600</v>
      </c>
      <c r="D11">
        <v>625</v>
      </c>
      <c r="E11">
        <v>650</v>
      </c>
      <c r="F11">
        <v>675</v>
      </c>
      <c r="J11" t="s">
        <v>89</v>
      </c>
      <c r="K11">
        <v>600</v>
      </c>
      <c r="L11">
        <v>625</v>
      </c>
      <c r="M11">
        <v>650</v>
      </c>
    </row>
    <row r="12" spans="1:13" x14ac:dyDescent="0.3">
      <c r="A12" s="1" t="s">
        <v>93</v>
      </c>
      <c r="B12" t="s">
        <v>90</v>
      </c>
      <c r="C12">
        <v>600</v>
      </c>
      <c r="D12">
        <v>613</v>
      </c>
      <c r="E12">
        <v>636</v>
      </c>
      <c r="F12">
        <v>658</v>
      </c>
      <c r="J12" t="s">
        <v>90</v>
      </c>
      <c r="K12">
        <v>586.39</v>
      </c>
      <c r="L12">
        <v>606.36</v>
      </c>
      <c r="M12">
        <v>629.29999999999995</v>
      </c>
    </row>
    <row r="13" spans="1:13" x14ac:dyDescent="0.3">
      <c r="A13" t="s">
        <v>10</v>
      </c>
      <c r="B13" t="s">
        <v>91</v>
      </c>
      <c r="C13">
        <v>381</v>
      </c>
      <c r="D13">
        <v>430</v>
      </c>
      <c r="E13">
        <v>482</v>
      </c>
      <c r="F13">
        <v>533</v>
      </c>
      <c r="J13" t="s">
        <v>91</v>
      </c>
      <c r="K13">
        <v>430</v>
      </c>
      <c r="L13">
        <v>482</v>
      </c>
      <c r="M13">
        <v>533</v>
      </c>
    </row>
    <row r="14" spans="1:13" x14ac:dyDescent="0.3">
      <c r="A14" t="s">
        <v>14</v>
      </c>
      <c r="B14" t="s">
        <v>75</v>
      </c>
      <c r="C14">
        <v>435</v>
      </c>
      <c r="D14">
        <v>435</v>
      </c>
      <c r="E14">
        <v>435</v>
      </c>
      <c r="F14">
        <v>435</v>
      </c>
      <c r="J14" t="s">
        <v>75</v>
      </c>
      <c r="K14">
        <v>435</v>
      </c>
      <c r="L14">
        <v>435</v>
      </c>
      <c r="M14">
        <v>435</v>
      </c>
    </row>
    <row r="15" spans="1:13" x14ac:dyDescent="0.3">
      <c r="A15" t="s">
        <v>20</v>
      </c>
      <c r="B15" t="s">
        <v>78</v>
      </c>
      <c r="C15">
        <v>1150</v>
      </c>
      <c r="D15">
        <v>1175</v>
      </c>
      <c r="E15">
        <v>1210</v>
      </c>
      <c r="F15">
        <v>1230</v>
      </c>
      <c r="J15" t="s">
        <v>78</v>
      </c>
      <c r="K15">
        <v>1151.06</v>
      </c>
      <c r="L15">
        <v>1178.33</v>
      </c>
      <c r="M15">
        <v>1206.6099999999999</v>
      </c>
    </row>
    <row r="16" spans="1:13" x14ac:dyDescent="0.3">
      <c r="A16" t="s">
        <v>19</v>
      </c>
      <c r="B16" t="s">
        <v>92</v>
      </c>
      <c r="C16">
        <v>58</v>
      </c>
      <c r="D16">
        <v>58</v>
      </c>
      <c r="E16">
        <v>58</v>
      </c>
      <c r="F16">
        <v>58</v>
      </c>
      <c r="J16" t="s">
        <v>92</v>
      </c>
      <c r="K16">
        <v>56</v>
      </c>
      <c r="L16">
        <v>56</v>
      </c>
      <c r="M16">
        <v>56</v>
      </c>
    </row>
    <row r="17" spans="1:13" x14ac:dyDescent="0.3">
      <c r="A17" t="s">
        <v>9</v>
      </c>
      <c r="B17" t="s">
        <v>77</v>
      </c>
      <c r="C17">
        <v>100</v>
      </c>
      <c r="D17">
        <v>100</v>
      </c>
      <c r="E17">
        <v>120</v>
      </c>
      <c r="F17">
        <v>140</v>
      </c>
      <c r="J17" t="s">
        <v>77</v>
      </c>
      <c r="K17">
        <v>100</v>
      </c>
      <c r="L17">
        <v>120</v>
      </c>
      <c r="M17">
        <v>140</v>
      </c>
    </row>
    <row r="18" spans="1:13" x14ac:dyDescent="0.3">
      <c r="A18" t="s">
        <v>7</v>
      </c>
      <c r="B18" t="s">
        <v>117</v>
      </c>
      <c r="C18">
        <v>67</v>
      </c>
      <c r="D18">
        <v>67</v>
      </c>
      <c r="E18">
        <v>67</v>
      </c>
      <c r="F18">
        <v>67</v>
      </c>
      <c r="J18" t="s">
        <v>71</v>
      </c>
      <c r="K18">
        <v>67</v>
      </c>
      <c r="L18">
        <v>67</v>
      </c>
      <c r="M18">
        <v>67</v>
      </c>
    </row>
    <row r="19" spans="1:13" x14ac:dyDescent="0.3">
      <c r="A19" t="s">
        <v>8</v>
      </c>
      <c r="B19" t="s">
        <v>118</v>
      </c>
      <c r="C19">
        <v>75.5</v>
      </c>
      <c r="D19">
        <v>75.5</v>
      </c>
      <c r="E19">
        <v>75.5</v>
      </c>
      <c r="F19">
        <v>75.5</v>
      </c>
      <c r="J19" t="s">
        <v>72</v>
      </c>
      <c r="K19">
        <v>75.5</v>
      </c>
      <c r="L19">
        <v>75.5</v>
      </c>
      <c r="M19">
        <v>75.5</v>
      </c>
    </row>
    <row r="20" spans="1:13" x14ac:dyDescent="0.3">
      <c r="A20" t="s">
        <v>15</v>
      </c>
      <c r="B20" t="s">
        <v>119</v>
      </c>
      <c r="C20">
        <v>500</v>
      </c>
      <c r="D20">
        <v>500</v>
      </c>
      <c r="E20">
        <v>500</v>
      </c>
      <c r="F20">
        <v>500</v>
      </c>
      <c r="G20" s="1" t="s">
        <v>114</v>
      </c>
      <c r="J20" t="s">
        <v>98</v>
      </c>
      <c r="K20">
        <v>500</v>
      </c>
      <c r="L20">
        <v>500</v>
      </c>
      <c r="M20">
        <v>500</v>
      </c>
    </row>
    <row r="21" spans="1:13" x14ac:dyDescent="0.3">
      <c r="A21" s="1" t="s">
        <v>18</v>
      </c>
      <c r="G21" s="1" t="s">
        <v>111</v>
      </c>
      <c r="H21">
        <v>100</v>
      </c>
      <c r="I21">
        <v>120</v>
      </c>
    </row>
    <row r="22" spans="1:13" x14ac:dyDescent="0.3">
      <c r="A22" s="1" t="s">
        <v>17</v>
      </c>
      <c r="G22" s="4">
        <v>0.2</v>
      </c>
      <c r="H22">
        <f>505-$G22*H$21</f>
        <v>485</v>
      </c>
      <c r="I22">
        <f>530-$G22*I$21</f>
        <v>506</v>
      </c>
    </row>
    <row r="23" spans="1:13" x14ac:dyDescent="0.3">
      <c r="A23" t="s">
        <v>16</v>
      </c>
      <c r="C23">
        <v>44</v>
      </c>
      <c r="D23">
        <v>44</v>
      </c>
      <c r="E23">
        <v>44</v>
      </c>
      <c r="F23">
        <v>44</v>
      </c>
      <c r="G23" s="1" t="s">
        <v>112</v>
      </c>
      <c r="H23">
        <f>H22+15</f>
        <v>500</v>
      </c>
      <c r="I23">
        <f>I22+15</f>
        <v>521</v>
      </c>
    </row>
    <row r="24" spans="1:13" x14ac:dyDescent="0.3">
      <c r="A24" s="1" t="s">
        <v>108</v>
      </c>
      <c r="C24">
        <v>100</v>
      </c>
      <c r="D24">
        <v>100</v>
      </c>
      <c r="E24">
        <v>100</v>
      </c>
      <c r="F24">
        <v>100</v>
      </c>
      <c r="G24" s="5">
        <v>0.3</v>
      </c>
      <c r="H24">
        <f>505-$G24*H$21</f>
        <v>475</v>
      </c>
      <c r="I24">
        <f>530-$G24*I$21</f>
        <v>494</v>
      </c>
    </row>
    <row r="25" spans="1:13" x14ac:dyDescent="0.3">
      <c r="A25" s="1" t="s">
        <v>109</v>
      </c>
      <c r="F25" s="1"/>
      <c r="G25" s="1" t="s">
        <v>113</v>
      </c>
      <c r="H25">
        <f>H24+15</f>
        <v>490</v>
      </c>
      <c r="I25">
        <f>I24+15</f>
        <v>509</v>
      </c>
    </row>
    <row r="26" spans="1:13" x14ac:dyDescent="0.3">
      <c r="A26" t="s">
        <v>21</v>
      </c>
    </row>
    <row r="27" spans="1:13" x14ac:dyDescent="0.3">
      <c r="A27" t="s">
        <v>22</v>
      </c>
    </row>
    <row r="28" spans="1:13" x14ac:dyDescent="0.3">
      <c r="A28" t="s">
        <v>23</v>
      </c>
    </row>
    <row r="29" spans="1:13" x14ac:dyDescent="0.3">
      <c r="A29" t="s">
        <v>24</v>
      </c>
      <c r="D29">
        <v>1940</v>
      </c>
    </row>
    <row r="30" spans="1:13" x14ac:dyDescent="0.3">
      <c r="A30" t="s">
        <v>25</v>
      </c>
      <c r="C30">
        <v>700</v>
      </c>
      <c r="D30">
        <v>700</v>
      </c>
      <c r="E30">
        <v>700</v>
      </c>
      <c r="F30">
        <v>700</v>
      </c>
    </row>
    <row r="31" spans="1:13" x14ac:dyDescent="0.3">
      <c r="A31" t="s">
        <v>26</v>
      </c>
      <c r="C31">
        <v>2.4</v>
      </c>
      <c r="D31">
        <v>2.4</v>
      </c>
      <c r="E31">
        <v>2.4</v>
      </c>
      <c r="F31">
        <v>2.4</v>
      </c>
    </row>
    <row r="32" spans="1:13" x14ac:dyDescent="0.3">
      <c r="A32" t="s">
        <v>27</v>
      </c>
      <c r="C32">
        <v>2.5</v>
      </c>
      <c r="D32">
        <v>2.5</v>
      </c>
      <c r="E32">
        <v>2.5</v>
      </c>
      <c r="F32">
        <v>2.5</v>
      </c>
    </row>
    <row r="33" spans="1:9" x14ac:dyDescent="0.3">
      <c r="A33" t="s">
        <v>28</v>
      </c>
      <c r="B33" t="s">
        <v>28</v>
      </c>
      <c r="C33">
        <v>162</v>
      </c>
      <c r="D33">
        <v>172</v>
      </c>
      <c r="E33">
        <v>180</v>
      </c>
      <c r="F33">
        <v>190</v>
      </c>
      <c r="G33" s="3"/>
      <c r="H33" s="3"/>
      <c r="I33" s="3"/>
    </row>
    <row r="34" spans="1:9" x14ac:dyDescent="0.3">
      <c r="A34" t="s">
        <v>29</v>
      </c>
      <c r="B34" t="s">
        <v>29</v>
      </c>
      <c r="C34">
        <v>170</v>
      </c>
      <c r="D34">
        <v>178</v>
      </c>
      <c r="E34">
        <v>188</v>
      </c>
      <c r="F34">
        <v>193</v>
      </c>
      <c r="G34" s="3"/>
      <c r="H34" s="3"/>
      <c r="I34" s="3"/>
    </row>
    <row r="36" spans="1:9" x14ac:dyDescent="0.3">
      <c r="A36" t="s">
        <v>30</v>
      </c>
      <c r="B36" t="s">
        <v>31</v>
      </c>
    </row>
    <row r="37" spans="1:9" x14ac:dyDescent="0.3">
      <c r="A37" t="s">
        <v>67</v>
      </c>
      <c r="B37" s="1" t="s">
        <v>80</v>
      </c>
    </row>
    <row r="38" spans="1:9" x14ac:dyDescent="0.3">
      <c r="A38" t="s">
        <v>68</v>
      </c>
      <c r="B38" s="1" t="s">
        <v>79</v>
      </c>
    </row>
    <row r="39" spans="1:9" x14ac:dyDescent="0.3">
      <c r="A39" t="s">
        <v>69</v>
      </c>
      <c r="B39" s="1" t="s">
        <v>84</v>
      </c>
    </row>
    <row r="40" spans="1:9" x14ac:dyDescent="0.3">
      <c r="A40" t="s">
        <v>32</v>
      </c>
      <c r="B40" s="1" t="s">
        <v>101</v>
      </c>
    </row>
    <row r="41" spans="1:9" x14ac:dyDescent="0.3">
      <c r="A41" t="s">
        <v>33</v>
      </c>
      <c r="B41" s="1" t="s">
        <v>70</v>
      </c>
    </row>
    <row r="42" spans="1:9" x14ac:dyDescent="0.3">
      <c r="A42" t="s">
        <v>34</v>
      </c>
    </row>
    <row r="43" spans="1:9" x14ac:dyDescent="0.3">
      <c r="A43" t="s">
        <v>35</v>
      </c>
      <c r="B43">
        <v>2.5</v>
      </c>
    </row>
    <row r="44" spans="1:9" x14ac:dyDescent="0.3">
      <c r="A44" t="s">
        <v>36</v>
      </c>
      <c r="B44">
        <v>3</v>
      </c>
    </row>
    <row r="45" spans="1:9" x14ac:dyDescent="0.3">
      <c r="A45" t="s">
        <v>37</v>
      </c>
      <c r="B45" s="1" t="s">
        <v>110</v>
      </c>
    </row>
    <row r="46" spans="1:9" x14ac:dyDescent="0.3">
      <c r="A46" t="s">
        <v>38</v>
      </c>
      <c r="B46">
        <v>100</v>
      </c>
    </row>
    <row r="47" spans="1:9" x14ac:dyDescent="0.3">
      <c r="A47" t="s">
        <v>39</v>
      </c>
    </row>
    <row r="48" spans="1:9" x14ac:dyDescent="0.3">
      <c r="A48" t="s">
        <v>40</v>
      </c>
    </row>
    <row r="49" spans="1:2" x14ac:dyDescent="0.3">
      <c r="A49" t="s">
        <v>41</v>
      </c>
      <c r="B49" s="1" t="s">
        <v>95</v>
      </c>
    </row>
    <row r="50" spans="1:2" x14ac:dyDescent="0.3">
      <c r="A50" t="s">
        <v>42</v>
      </c>
    </row>
    <row r="51" spans="1:2" x14ac:dyDescent="0.3">
      <c r="A51" t="s">
        <v>102</v>
      </c>
    </row>
    <row r="52" spans="1:2" x14ac:dyDescent="0.3">
      <c r="A52" t="s">
        <v>103</v>
      </c>
    </row>
    <row r="53" spans="1:2" x14ac:dyDescent="0.3">
      <c r="A53" t="s">
        <v>104</v>
      </c>
    </row>
    <row r="54" spans="1:2" x14ac:dyDescent="0.3">
      <c r="A54" t="s">
        <v>105</v>
      </c>
    </row>
    <row r="55" spans="1:2" x14ac:dyDescent="0.3">
      <c r="A55" t="s">
        <v>106</v>
      </c>
    </row>
    <row r="56" spans="1:2" x14ac:dyDescent="0.3">
      <c r="A56" t="s">
        <v>107</v>
      </c>
    </row>
    <row r="57" spans="1:2" x14ac:dyDescent="0.3">
      <c r="A57" t="s">
        <v>43</v>
      </c>
      <c r="B57" s="1" t="s">
        <v>81</v>
      </c>
    </row>
    <row r="58" spans="1:2" x14ac:dyDescent="0.3">
      <c r="A58" t="s">
        <v>44</v>
      </c>
    </row>
    <row r="59" spans="1:2" x14ac:dyDescent="0.3">
      <c r="A59" t="s">
        <v>45</v>
      </c>
      <c r="B59">
        <v>31.6</v>
      </c>
    </row>
    <row r="60" spans="1:2" x14ac:dyDescent="0.3">
      <c r="A60" t="s">
        <v>46</v>
      </c>
      <c r="B60" s="1"/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</row>
    <row r="65" spans="1:3" x14ac:dyDescent="0.3">
      <c r="A65" t="s">
        <v>51</v>
      </c>
    </row>
    <row r="66" spans="1:3" x14ac:dyDescent="0.3">
      <c r="A66" t="s">
        <v>52</v>
      </c>
      <c r="B66" s="1" t="s">
        <v>94</v>
      </c>
    </row>
    <row r="67" spans="1:3" x14ac:dyDescent="0.3">
      <c r="A67" t="s">
        <v>53</v>
      </c>
      <c r="B67" s="1" t="s">
        <v>82</v>
      </c>
    </row>
    <row r="68" spans="1:3" x14ac:dyDescent="0.3">
      <c r="A68" t="s">
        <v>54</v>
      </c>
      <c r="B68" s="1"/>
    </row>
    <row r="69" spans="1:3" x14ac:dyDescent="0.3">
      <c r="A69" t="s">
        <v>55</v>
      </c>
    </row>
    <row r="70" spans="1:3" x14ac:dyDescent="0.3">
      <c r="A70" t="s">
        <v>56</v>
      </c>
      <c r="B70">
        <v>2</v>
      </c>
    </row>
    <row r="71" spans="1:3" x14ac:dyDescent="0.3">
      <c r="A71" t="s">
        <v>57</v>
      </c>
    </row>
    <row r="72" spans="1:3" x14ac:dyDescent="0.3">
      <c r="A72" t="s">
        <v>58</v>
      </c>
      <c r="B72" s="1"/>
    </row>
    <row r="73" spans="1:3" x14ac:dyDescent="0.3">
      <c r="A73" t="s">
        <v>59</v>
      </c>
      <c r="B73" s="1"/>
    </row>
    <row r="74" spans="1:3" x14ac:dyDescent="0.3">
      <c r="A74" t="s">
        <v>60</v>
      </c>
      <c r="B74" s="1"/>
    </row>
    <row r="75" spans="1:3" x14ac:dyDescent="0.3">
      <c r="A75" t="s">
        <v>61</v>
      </c>
      <c r="B75" s="1"/>
    </row>
    <row r="76" spans="1:3" x14ac:dyDescent="0.3">
      <c r="A76" t="s">
        <v>62</v>
      </c>
      <c r="B76" s="1"/>
    </row>
    <row r="77" spans="1:3" x14ac:dyDescent="0.3">
      <c r="A77" t="s">
        <v>63</v>
      </c>
      <c r="B77">
        <v>2266</v>
      </c>
      <c r="C77" s="1" t="s">
        <v>83</v>
      </c>
    </row>
    <row r="78" spans="1:3" x14ac:dyDescent="0.3">
      <c r="A78" t="s">
        <v>64</v>
      </c>
    </row>
    <row r="79" spans="1:3" x14ac:dyDescent="0.3">
      <c r="A79" t="s">
        <v>65</v>
      </c>
      <c r="B79" s="1"/>
    </row>
    <row r="80" spans="1:3" x14ac:dyDescent="0.3">
      <c r="A80" t="s">
        <v>66</v>
      </c>
      <c r="B80" s="1" t="s">
        <v>76</v>
      </c>
    </row>
    <row r="81" spans="1:2" x14ac:dyDescent="0.3">
      <c r="A81" t="s">
        <v>99</v>
      </c>
      <c r="B8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2025-12-07T02:08:30Z</dcterms:modified>
</cp:coreProperties>
</file>