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EC7342C-3BE2-F04B-AD9D-DD60997185E7}" xr6:coauthVersionLast="47" xr6:coauthVersionMax="47" xr10:uidLastSave="{00000000-0000-0000-0000-000000000000}"/>
  <bookViews>
    <workbookView xWindow="17900" yWindow="-205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G29" i="1"/>
  <c r="H29" i="1"/>
  <c r="I29" i="1"/>
  <c r="D30" i="1"/>
  <c r="E30" i="1"/>
  <c r="F30" i="1"/>
  <c r="G30" i="1"/>
  <c r="H30" i="1"/>
  <c r="I30" i="1"/>
  <c r="C30" i="1"/>
  <c r="C29" i="1"/>
</calcChain>
</file>

<file path=xl/sharedStrings.xml><?xml version="1.0" encoding="utf-8"?>
<sst xmlns="http://schemas.openxmlformats.org/spreadsheetml/2006/main" count="116" uniqueCount="114">
  <si>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</si>
  <si>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</si>
  <si>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</si>
  <si>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</si>
  <si>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</si>
  <si>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</si>
  <si>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</si>
  <si>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</si>
  <si>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</si>
  <si>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</si>
  <si>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</si>
  <si>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</si>
  <si>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</si>
  <si>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</si>
  <si>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</si>
  <si>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</si>
  <si>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</si>
  <si>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</si>
  <si>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</si>
  <si>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</si>
  <si>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</si>
  <si>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</si>
  <si>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</si>
  <si>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</si>
  <si>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</si>
  <si>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</si>
  <si>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</si>
  <si>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</si>
  <si>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</si>
  <si>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</si>
  <si>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</si>
  <si>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</si>
  <si>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</si>
  <si>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</si>
  <si>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</si>
  <si>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</si>
  <si>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</si>
  <si>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</si>
  <si>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</si>
  <si>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</si>
  <si>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</si>
  <si>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</si>
  <si>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</si>
  <si>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</si>
  <si>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</si>
  <si>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</si>
  <si>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</si>
  <si>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</si>
  <si>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</si>
  <si>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</si>
  <si>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</si>
  <si>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</si>
  <si>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</si>
  <si>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</si>
  <si>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</si>
  <si>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</si>
  <si>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</si>
  <si>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</si>
  <si>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</si>
  <si>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</si>
  <si>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</si>
  <si>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</si>
  <si>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</si>
  <si>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</si>
  <si>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</si>
  <si>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</si>
  <si>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</si>
  <si>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</si>
  <si>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</si>
  <si>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</si>
  <si>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</si>
  <si>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</si>
  <si>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</si>
  <si>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</si>
  <si>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</si>
  <si>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</si>
  <si>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</si>
  <si>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</si>
  <si>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</si>
  <si>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gravel</t>
  </si>
  <si>
    <t>drop bar</t>
  </si>
  <si>
    <t>internal</t>
  </si>
  <si>
    <t>USD</t>
  </si>
  <si>
    <t>Yoeleo</t>
  </si>
  <si>
    <t>https://www.yoeleobike.com/collections/gravel-frame/products/carbon-gravel-frame-g21</t>
  </si>
  <si>
    <t>threaded 86.5</t>
  </si>
  <si>
    <t>Rider Height</t>
  </si>
  <si>
    <t>160cm-168cm</t>
  </si>
  <si>
    <t>165cm-175cm</t>
  </si>
  <si>
    <t>172cm-180cm</t>
  </si>
  <si>
    <t>177cm-185cm</t>
  </si>
  <si>
    <t>182cm-190cm</t>
  </si>
  <si>
    <t>187cm-196cm</t>
  </si>
  <si>
    <t>193cm-201cm</t>
  </si>
  <si>
    <t>frame size</t>
  </si>
  <si>
    <t>optional</t>
  </si>
  <si>
    <t>tapered</t>
  </si>
  <si>
    <t>1.125 x 1.5</t>
  </si>
  <si>
    <t>not spec'd</t>
  </si>
  <si>
    <t>Xiamen, Fujian, China</t>
  </si>
  <si>
    <t>SEAT TUBE LENGTH(mm)</t>
  </si>
  <si>
    <t>TOP TUBE LENGTH(mm)</t>
  </si>
  <si>
    <t>REACH(mm)</t>
  </si>
  <si>
    <t>STACK(mm)</t>
  </si>
  <si>
    <t>HEAD TUBE LENGTH(mm)</t>
  </si>
  <si>
    <t>SEAT TUBE ANGLE</t>
  </si>
  <si>
    <t>HEAD TUBE ANGLE</t>
  </si>
  <si>
    <t>BOTTOM BRACKET DROP(mm)</t>
  </si>
  <si>
    <t>CHAIN STAY LENGTH(mm)</t>
  </si>
  <si>
    <t>FORK RAKE(mm)</t>
  </si>
  <si>
    <t>FORK LENGTH(mm)</t>
  </si>
  <si>
    <t>a8:i30</t>
  </si>
  <si>
    <t>G21 DB</t>
  </si>
  <si>
    <t>https://www.yoeleobike.com/cdn/shop/files/G21_77707dd5-9a4b-40a8-b792-cbf063285a19_610x_crop_center.png?v=1682411987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</si>
</sst>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6"/>
      <color rgb="FF323232"/>
      <name val="Arial"/>
      <family val="2"/>
    </font>
    <font>
      <b/>
      <sz val="16"/>
      <color rgb="FF00A9E0"/>
      <name val="Arial"/>
      <family val="2"/>
    </font>
    <font>
      <sz val="14"/>
      <color rgb="FF000000"/>
      <name val="Futura Medium"/>
    </font>
    <font>
      <sz val="14"/>
      <color rgb="FF323232"/>
      <name val="Futura Medium"/>
    </font>
    <font>
      <b/>
      <sz val="14"/>
      <color rgb="FF323232"/>
      <name val="Futura Medium"/>
    </font>
    <font>
      <b/>
      <sz val="14"/>
      <color rgb="FF000000"/>
      <name val="Arial"/>
      <family val="2"/>
    </font>
    <font>
      <b/>
      <sz val="14"/>
      <color rgb="FF00A9E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1" t="s">
        <v>83</v>
      </c>
    </row>
    <row r="2" spans="1:12" x14ac:dyDescent="0.3">
      <c r="A2" t="s">
        <v>1</v>
      </c>
      <c r="B2" s="1" t="s">
        <v>112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2">
        <v>45973</v>
      </c>
    </row>
    <row r="5" spans="1:12" x14ac:dyDescent="0.3">
      <c r="A5" t="s">
        <v>4</v>
      </c>
      <c r="B5" t="s">
        <v>84</v>
      </c>
    </row>
    <row r="6" spans="1:12" x14ac:dyDescent="0.3">
      <c r="B6" t="s">
        <v>113</v>
      </c>
    </row>
    <row r="7" spans="1:12" ht="22" x14ac:dyDescent="0.3">
      <c r="A7" t="s">
        <v>5</v>
      </c>
      <c r="B7" s="1" t="s">
        <v>111</v>
      </c>
      <c r="L7" s="5"/>
    </row>
    <row r="8" spans="1:12" x14ac:dyDescent="0.3">
      <c r="A8" t="s">
        <v>6</v>
      </c>
      <c r="B8" s="1" t="s">
        <v>94</v>
      </c>
      <c r="C8" s="6">
        <v>45</v>
      </c>
      <c r="D8" s="6">
        <v>49</v>
      </c>
      <c r="E8" s="6">
        <v>52</v>
      </c>
      <c r="F8" s="6">
        <v>54</v>
      </c>
      <c r="G8" s="6">
        <v>56</v>
      </c>
      <c r="H8" s="6">
        <v>58</v>
      </c>
      <c r="I8">
        <v>60</v>
      </c>
      <c r="L8" s="9"/>
    </row>
    <row r="9" spans="1:12" ht="22" x14ac:dyDescent="0.3">
      <c r="A9" t="s">
        <v>7</v>
      </c>
      <c r="B9" s="6" t="s">
        <v>100</v>
      </c>
      <c r="C9">
        <v>450</v>
      </c>
      <c r="D9">
        <v>490</v>
      </c>
      <c r="E9">
        <v>520</v>
      </c>
      <c r="F9">
        <v>540</v>
      </c>
      <c r="G9">
        <v>560</v>
      </c>
      <c r="H9">
        <v>580</v>
      </c>
      <c r="I9">
        <v>610</v>
      </c>
      <c r="J9" s="4"/>
      <c r="K9" s="10"/>
    </row>
    <row r="10" spans="1:12" x14ac:dyDescent="0.3">
      <c r="A10" t="s">
        <v>8</v>
      </c>
      <c r="B10" s="6" t="s">
        <v>101</v>
      </c>
      <c r="C10">
        <v>510</v>
      </c>
      <c r="D10">
        <v>515</v>
      </c>
      <c r="E10">
        <v>536.4</v>
      </c>
      <c r="F10">
        <v>551</v>
      </c>
      <c r="G10">
        <v>566</v>
      </c>
      <c r="H10">
        <v>577</v>
      </c>
      <c r="I10">
        <v>592</v>
      </c>
      <c r="K10" s="10"/>
    </row>
    <row r="11" spans="1:12" x14ac:dyDescent="0.3">
      <c r="A11" t="s">
        <v>14</v>
      </c>
      <c r="B11" s="6" t="s">
        <v>102</v>
      </c>
      <c r="C11">
        <v>373</v>
      </c>
      <c r="D11">
        <v>373</v>
      </c>
      <c r="E11">
        <v>379</v>
      </c>
      <c r="F11">
        <v>383</v>
      </c>
      <c r="G11">
        <v>387</v>
      </c>
      <c r="H11">
        <v>390</v>
      </c>
      <c r="I11">
        <v>396</v>
      </c>
      <c r="K11" s="10"/>
    </row>
    <row r="12" spans="1:12" x14ac:dyDescent="0.3">
      <c r="A12" t="s">
        <v>15</v>
      </c>
      <c r="B12" s="6" t="s">
        <v>103</v>
      </c>
      <c r="C12">
        <v>512</v>
      </c>
      <c r="D12">
        <v>531</v>
      </c>
      <c r="E12">
        <v>549</v>
      </c>
      <c r="F12">
        <v>566</v>
      </c>
      <c r="G12">
        <v>586</v>
      </c>
      <c r="H12">
        <v>611</v>
      </c>
      <c r="I12">
        <v>640</v>
      </c>
      <c r="K12" s="10"/>
    </row>
    <row r="13" spans="1:12" x14ac:dyDescent="0.3">
      <c r="A13" t="s">
        <v>13</v>
      </c>
      <c r="B13" s="6" t="s">
        <v>104</v>
      </c>
      <c r="C13">
        <v>79</v>
      </c>
      <c r="D13">
        <v>98.5</v>
      </c>
      <c r="E13">
        <v>107</v>
      </c>
      <c r="F13">
        <v>134</v>
      </c>
      <c r="G13">
        <v>145</v>
      </c>
      <c r="H13">
        <v>171</v>
      </c>
      <c r="I13">
        <v>200</v>
      </c>
      <c r="K13" s="10"/>
    </row>
    <row r="14" spans="1:12" x14ac:dyDescent="0.3">
      <c r="A14" t="s">
        <v>11</v>
      </c>
      <c r="B14" s="6" t="s">
        <v>105</v>
      </c>
      <c r="C14">
        <v>75</v>
      </c>
      <c r="D14">
        <v>75</v>
      </c>
      <c r="E14">
        <v>74</v>
      </c>
      <c r="F14">
        <v>73.5</v>
      </c>
      <c r="G14">
        <v>73</v>
      </c>
      <c r="H14">
        <v>73</v>
      </c>
      <c r="I14">
        <v>73</v>
      </c>
      <c r="K14" s="10"/>
    </row>
    <row r="15" spans="1:12" x14ac:dyDescent="0.3">
      <c r="A15" t="s">
        <v>10</v>
      </c>
      <c r="B15" s="6" t="s">
        <v>106</v>
      </c>
      <c r="C15">
        <v>69</v>
      </c>
      <c r="D15">
        <v>69.5</v>
      </c>
      <c r="E15">
        <v>70</v>
      </c>
      <c r="F15">
        <v>70</v>
      </c>
      <c r="G15">
        <v>72.2</v>
      </c>
      <c r="H15">
        <v>72.3</v>
      </c>
      <c r="I15">
        <v>72.599999999999994</v>
      </c>
      <c r="K15" s="10"/>
    </row>
    <row r="16" spans="1:12" x14ac:dyDescent="0.3">
      <c r="A16" t="s">
        <v>12</v>
      </c>
      <c r="B16" s="6" t="s">
        <v>107</v>
      </c>
      <c r="C16">
        <v>79</v>
      </c>
      <c r="D16">
        <v>79</v>
      </c>
      <c r="E16">
        <v>79</v>
      </c>
      <c r="F16">
        <v>79</v>
      </c>
      <c r="G16">
        <v>79</v>
      </c>
      <c r="H16">
        <v>79</v>
      </c>
      <c r="I16">
        <v>79</v>
      </c>
      <c r="K16" s="10"/>
    </row>
    <row r="17" spans="1:12" x14ac:dyDescent="0.3">
      <c r="A17" t="s">
        <v>9</v>
      </c>
      <c r="B17" s="6" t="s">
        <v>108</v>
      </c>
      <c r="C17">
        <v>433</v>
      </c>
      <c r="D17">
        <v>433</v>
      </c>
      <c r="E17">
        <v>433</v>
      </c>
      <c r="F17">
        <v>433</v>
      </c>
      <c r="G17">
        <v>433</v>
      </c>
      <c r="H17">
        <v>433</v>
      </c>
      <c r="I17">
        <v>433</v>
      </c>
      <c r="K17" s="10"/>
    </row>
    <row r="18" spans="1:12" x14ac:dyDescent="0.3">
      <c r="A18" t="s">
        <v>17</v>
      </c>
      <c r="B18" s="6" t="s">
        <v>109</v>
      </c>
      <c r="C18">
        <v>47</v>
      </c>
      <c r="D18">
        <v>47</v>
      </c>
      <c r="E18">
        <v>47</v>
      </c>
      <c r="F18">
        <v>47</v>
      </c>
      <c r="G18">
        <v>47</v>
      </c>
      <c r="H18">
        <v>47</v>
      </c>
      <c r="I18">
        <v>47</v>
      </c>
      <c r="J18" s="7"/>
      <c r="K18" s="10"/>
    </row>
    <row r="19" spans="1:12" x14ac:dyDescent="0.3">
      <c r="A19" t="s">
        <v>18</v>
      </c>
      <c r="B19" t="s">
        <v>110</v>
      </c>
      <c r="C19">
        <v>401.5</v>
      </c>
      <c r="D19">
        <v>401.5</v>
      </c>
      <c r="E19">
        <v>401.5</v>
      </c>
      <c r="F19">
        <v>401.5</v>
      </c>
      <c r="G19">
        <v>401.5</v>
      </c>
      <c r="H19">
        <v>401.5</v>
      </c>
      <c r="I19">
        <v>401.5</v>
      </c>
      <c r="K19" s="10"/>
    </row>
    <row r="20" spans="1:12" x14ac:dyDescent="0.3">
      <c r="A20" t="s">
        <v>16</v>
      </c>
      <c r="K20" s="10"/>
    </row>
    <row r="21" spans="1:12" x14ac:dyDescent="0.3">
      <c r="A21" t="s">
        <v>19</v>
      </c>
      <c r="C21" s="6"/>
      <c r="D21" s="6"/>
      <c r="E21" s="6"/>
      <c r="F21" s="6"/>
      <c r="G21" s="6"/>
      <c r="L21" s="10"/>
    </row>
    <row r="22" spans="1:12" ht="22" x14ac:dyDescent="0.3">
      <c r="A22" t="s">
        <v>23</v>
      </c>
      <c r="B22" s="1"/>
      <c r="C22" s="7"/>
      <c r="D22" s="7">
        <v>1150</v>
      </c>
      <c r="E22" s="7"/>
      <c r="F22" s="7"/>
      <c r="G22" s="7"/>
      <c r="L22" s="4"/>
    </row>
    <row r="23" spans="1:12" ht="22" x14ac:dyDescent="0.3">
      <c r="A23" t="s">
        <v>22</v>
      </c>
      <c r="C23" s="7"/>
      <c r="D23" s="7"/>
      <c r="E23" s="7"/>
      <c r="F23" s="7"/>
      <c r="G23" s="7"/>
      <c r="L23" s="4"/>
    </row>
    <row r="24" spans="1:12" ht="22" x14ac:dyDescent="0.3">
      <c r="A24" t="s">
        <v>21</v>
      </c>
      <c r="C24" s="7"/>
      <c r="D24" s="7"/>
      <c r="E24" s="7"/>
      <c r="F24" s="7"/>
      <c r="G24" s="7"/>
      <c r="L24" s="4"/>
    </row>
    <row r="25" spans="1:12" x14ac:dyDescent="0.3">
      <c r="A25" t="s">
        <v>20</v>
      </c>
      <c r="B25" s="8"/>
      <c r="C25" s="7"/>
      <c r="D25" s="7"/>
      <c r="E25" s="7"/>
      <c r="F25" s="7"/>
      <c r="G25" s="7"/>
    </row>
    <row r="26" spans="1:12" x14ac:dyDescent="0.3">
      <c r="A26" t="s">
        <v>24</v>
      </c>
      <c r="B26" s="8"/>
      <c r="C26" s="7">
        <v>700</v>
      </c>
      <c r="D26" s="7">
        <v>700</v>
      </c>
      <c r="E26" s="7">
        <v>700</v>
      </c>
      <c r="F26" s="7">
        <v>700</v>
      </c>
      <c r="G26" s="7">
        <v>700</v>
      </c>
      <c r="H26" s="7">
        <v>700</v>
      </c>
      <c r="I26" s="7">
        <v>700</v>
      </c>
    </row>
    <row r="27" spans="1:12" x14ac:dyDescent="0.3">
      <c r="A27" t="s">
        <v>25</v>
      </c>
      <c r="C27" s="7">
        <v>45</v>
      </c>
      <c r="D27" s="7">
        <v>45</v>
      </c>
      <c r="E27" s="7">
        <v>45</v>
      </c>
      <c r="F27" s="7">
        <v>45</v>
      </c>
      <c r="G27" s="7">
        <v>45</v>
      </c>
      <c r="H27" s="7">
        <v>45</v>
      </c>
      <c r="I27" s="7">
        <v>45</v>
      </c>
      <c r="J27" s="1" t="s">
        <v>98</v>
      </c>
    </row>
    <row r="28" spans="1:12" x14ac:dyDescent="0.3">
      <c r="A28" t="s">
        <v>26</v>
      </c>
      <c r="C28" s="7">
        <v>53</v>
      </c>
      <c r="D28" s="7">
        <v>53</v>
      </c>
      <c r="E28" s="7">
        <v>53</v>
      </c>
      <c r="F28" s="7">
        <v>53</v>
      </c>
      <c r="G28" s="7">
        <v>53</v>
      </c>
      <c r="H28" s="7">
        <v>53</v>
      </c>
      <c r="I28" s="7">
        <v>53</v>
      </c>
    </row>
    <row r="29" spans="1:12" x14ac:dyDescent="0.3">
      <c r="A29" t="s">
        <v>27</v>
      </c>
      <c r="C29" s="7">
        <f>VALUE(LEFT(C31,3))</f>
        <v>160</v>
      </c>
      <c r="D29" s="7">
        <f t="shared" ref="D29:I29" si="0">VALUE(LEFT(D31,3))</f>
        <v>165</v>
      </c>
      <c r="E29" s="7">
        <f t="shared" si="0"/>
        <v>172</v>
      </c>
      <c r="F29" s="7">
        <f t="shared" si="0"/>
        <v>177</v>
      </c>
      <c r="G29" s="7">
        <f t="shared" si="0"/>
        <v>182</v>
      </c>
      <c r="H29" s="7">
        <f t="shared" si="0"/>
        <v>187</v>
      </c>
      <c r="I29" s="7">
        <f t="shared" si="0"/>
        <v>193</v>
      </c>
    </row>
    <row r="30" spans="1:12" x14ac:dyDescent="0.3">
      <c r="A30" t="s">
        <v>28</v>
      </c>
      <c r="C30" s="7">
        <f>VALUE(MID(C31,7,3))</f>
        <v>168</v>
      </c>
      <c r="D30" s="7">
        <f t="shared" ref="D30:I30" si="1">VALUE(MID(D31,7,3))</f>
        <v>175</v>
      </c>
      <c r="E30" s="7">
        <f t="shared" si="1"/>
        <v>180</v>
      </c>
      <c r="F30" s="7">
        <f t="shared" si="1"/>
        <v>185</v>
      </c>
      <c r="G30" s="7">
        <f t="shared" si="1"/>
        <v>190</v>
      </c>
      <c r="H30" s="7">
        <f t="shared" si="1"/>
        <v>196</v>
      </c>
      <c r="I30" s="7">
        <f t="shared" si="1"/>
        <v>201</v>
      </c>
    </row>
    <row r="31" spans="1:12" ht="22" x14ac:dyDescent="0.3">
      <c r="C31" s="6" t="s">
        <v>87</v>
      </c>
      <c r="D31" s="6" t="s">
        <v>88</v>
      </c>
      <c r="E31" s="6" t="s">
        <v>89</v>
      </c>
      <c r="F31" s="6" t="s">
        <v>90</v>
      </c>
      <c r="G31" t="s">
        <v>91</v>
      </c>
      <c r="H31" s="4" t="s">
        <v>92</v>
      </c>
      <c r="I31" s="4" t="s">
        <v>93</v>
      </c>
      <c r="J31" s="6" t="s">
        <v>86</v>
      </c>
    </row>
    <row r="32" spans="1:12" x14ac:dyDescent="0.3">
      <c r="A32" t="s">
        <v>29</v>
      </c>
      <c r="B32" t="s">
        <v>30</v>
      </c>
    </row>
    <row r="33" spans="1:3" x14ac:dyDescent="0.3">
      <c r="A33" t="s">
        <v>66</v>
      </c>
      <c r="B33" s="1" t="s">
        <v>79</v>
      </c>
    </row>
    <row r="34" spans="1:3" x14ac:dyDescent="0.3">
      <c r="A34" t="s">
        <v>67</v>
      </c>
      <c r="B34" s="1" t="s">
        <v>80</v>
      </c>
    </row>
    <row r="35" spans="1:3" x14ac:dyDescent="0.3">
      <c r="A35" t="s">
        <v>68</v>
      </c>
      <c r="B35" t="s">
        <v>69</v>
      </c>
    </row>
    <row r="36" spans="1:3" x14ac:dyDescent="0.3">
      <c r="A36" t="s">
        <v>31</v>
      </c>
      <c r="B36" s="1" t="s">
        <v>78</v>
      </c>
      <c r="C36" s="1"/>
    </row>
    <row r="37" spans="1:3" x14ac:dyDescent="0.3">
      <c r="A37" t="s">
        <v>32</v>
      </c>
      <c r="B37" s="1"/>
    </row>
    <row r="38" spans="1:3" x14ac:dyDescent="0.3">
      <c r="A38" t="s">
        <v>33</v>
      </c>
    </row>
    <row r="39" spans="1:3" x14ac:dyDescent="0.3">
      <c r="A39" t="s">
        <v>34</v>
      </c>
      <c r="B39">
        <v>53</v>
      </c>
      <c r="C39" s="1"/>
    </row>
    <row r="40" spans="1:3" x14ac:dyDescent="0.3">
      <c r="A40" t="s">
        <v>35</v>
      </c>
      <c r="B40">
        <v>2.1</v>
      </c>
    </row>
    <row r="41" spans="1:3" x14ac:dyDescent="0.3">
      <c r="A41" t="s">
        <v>36</v>
      </c>
    </row>
    <row r="42" spans="1:3" x14ac:dyDescent="0.3">
      <c r="A42" t="s">
        <v>37</v>
      </c>
    </row>
    <row r="43" spans="1:3" x14ac:dyDescent="0.3">
      <c r="A43" t="s">
        <v>38</v>
      </c>
    </row>
    <row r="44" spans="1:3" x14ac:dyDescent="0.3">
      <c r="A44" t="s">
        <v>39</v>
      </c>
    </row>
    <row r="45" spans="1:3" x14ac:dyDescent="0.3">
      <c r="A45" t="s">
        <v>40</v>
      </c>
      <c r="B45">
        <v>142</v>
      </c>
    </row>
    <row r="46" spans="1:3" x14ac:dyDescent="0.3">
      <c r="A46" t="s">
        <v>41</v>
      </c>
      <c r="B46">
        <v>100</v>
      </c>
    </row>
    <row r="47" spans="1:3" x14ac:dyDescent="0.3">
      <c r="A47" t="s">
        <v>72</v>
      </c>
    </row>
    <row r="48" spans="1:3" x14ac:dyDescent="0.3">
      <c r="A48" t="s">
        <v>73</v>
      </c>
      <c r="B48">
        <v>1.5</v>
      </c>
    </row>
    <row r="49" spans="1:3" x14ac:dyDescent="0.3">
      <c r="A49" t="s">
        <v>74</v>
      </c>
      <c r="B49">
        <v>1.5</v>
      </c>
    </row>
    <row r="50" spans="1:3" x14ac:dyDescent="0.3">
      <c r="A50" t="s">
        <v>75</v>
      </c>
      <c r="B50" s="1" t="s">
        <v>96</v>
      </c>
    </row>
    <row r="51" spans="1:3" x14ac:dyDescent="0.3">
      <c r="A51" t="s">
        <v>76</v>
      </c>
      <c r="B51" s="1" t="s">
        <v>97</v>
      </c>
    </row>
    <row r="52" spans="1:3" x14ac:dyDescent="0.3">
      <c r="A52" t="s">
        <v>77</v>
      </c>
      <c r="B52" s="1" t="s">
        <v>78</v>
      </c>
    </row>
    <row r="53" spans="1:3" x14ac:dyDescent="0.3">
      <c r="A53" t="s">
        <v>42</v>
      </c>
      <c r="B53" s="1" t="s">
        <v>85</v>
      </c>
      <c r="C53" s="1"/>
    </row>
    <row r="54" spans="1:3" x14ac:dyDescent="0.3">
      <c r="A54" t="s">
        <v>43</v>
      </c>
    </row>
    <row r="55" spans="1:3" x14ac:dyDescent="0.3">
      <c r="A55" t="s">
        <v>44</v>
      </c>
    </row>
    <row r="56" spans="1:3" x14ac:dyDescent="0.3">
      <c r="A56" t="s">
        <v>45</v>
      </c>
      <c r="B56" s="1" t="s">
        <v>70</v>
      </c>
    </row>
    <row r="57" spans="1:3" x14ac:dyDescent="0.3">
      <c r="A57" t="s">
        <v>46</v>
      </c>
      <c r="B57">
        <v>44</v>
      </c>
    </row>
    <row r="58" spans="1:3" x14ac:dyDescent="0.3">
      <c r="A58" t="s">
        <v>47</v>
      </c>
      <c r="B58">
        <v>50</v>
      </c>
    </row>
    <row r="59" spans="1:3" x14ac:dyDescent="0.3">
      <c r="A59" t="s">
        <v>48</v>
      </c>
    </row>
    <row r="60" spans="1:3" x14ac:dyDescent="0.3">
      <c r="A60" t="s">
        <v>49</v>
      </c>
    </row>
    <row r="61" spans="1:3" x14ac:dyDescent="0.3">
      <c r="A61" t="s">
        <v>50</v>
      </c>
    </row>
    <row r="62" spans="1:3" x14ac:dyDescent="0.3">
      <c r="A62" t="s">
        <v>51</v>
      </c>
      <c r="B62" s="1" t="s">
        <v>81</v>
      </c>
    </row>
    <row r="63" spans="1:3" x14ac:dyDescent="0.3">
      <c r="A63" t="s">
        <v>52</v>
      </c>
      <c r="B63" s="1"/>
    </row>
    <row r="64" spans="1:3" x14ac:dyDescent="0.3">
      <c r="A64" t="s">
        <v>53</v>
      </c>
    </row>
    <row r="65" spans="1:2" x14ac:dyDescent="0.3">
      <c r="A65" t="s">
        <v>54</v>
      </c>
      <c r="B65" s="1"/>
    </row>
    <row r="66" spans="1:2" x14ac:dyDescent="0.3">
      <c r="A66" t="s">
        <v>55</v>
      </c>
      <c r="B66">
        <v>2</v>
      </c>
    </row>
    <row r="67" spans="1:2" x14ac:dyDescent="0.3">
      <c r="A67" t="s">
        <v>56</v>
      </c>
    </row>
    <row r="68" spans="1:2" x14ac:dyDescent="0.3">
      <c r="A68" t="s">
        <v>57</v>
      </c>
      <c r="B68" s="1">
        <v>1</v>
      </c>
    </row>
    <row r="69" spans="1:2" x14ac:dyDescent="0.3">
      <c r="A69" t="s">
        <v>58</v>
      </c>
      <c r="B69" s="1" t="s">
        <v>95</v>
      </c>
    </row>
    <row r="70" spans="1:2" x14ac:dyDescent="0.3">
      <c r="A70" t="s">
        <v>59</v>
      </c>
      <c r="B70" s="1" t="s">
        <v>70</v>
      </c>
    </row>
    <row r="71" spans="1:2" x14ac:dyDescent="0.3">
      <c r="A71" t="s">
        <v>60</v>
      </c>
      <c r="B71" s="1"/>
    </row>
    <row r="72" spans="1:2" x14ac:dyDescent="0.3">
      <c r="A72" t="s">
        <v>61</v>
      </c>
      <c r="B72" s="1"/>
    </row>
    <row r="73" spans="1:2" x14ac:dyDescent="0.3">
      <c r="A73" t="s">
        <v>62</v>
      </c>
      <c r="B73">
        <v>1420</v>
      </c>
    </row>
    <row r="74" spans="1:2" x14ac:dyDescent="0.3">
      <c r="A74" t="s">
        <v>63</v>
      </c>
    </row>
    <row r="75" spans="1:2" x14ac:dyDescent="0.3">
      <c r="A75" t="s">
        <v>64</v>
      </c>
      <c r="B75" s="1"/>
    </row>
    <row r="76" spans="1:2" x14ac:dyDescent="0.3">
      <c r="A76" t="s">
        <v>65</v>
      </c>
      <c r="B76" s="1" t="s">
        <v>82</v>
      </c>
    </row>
    <row r="77" spans="1:2" x14ac:dyDescent="0.3">
      <c r="A77" t="s">
        <v>71</v>
      </c>
      <c r="B77" s="3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2025-11-12T14:44:51Z</dcterms:modified>
</cp:coreProperties>
</file>