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0E6D9DA-89AB-844F-82E1-D31C6D8F01F2}" xr6:coauthVersionLast="47" xr6:coauthVersionMax="47" xr10:uidLastSave="{00000000-0000-0000-0000-000000000000}"/>
  <bookViews>
    <workbookView xWindow="2680" yWindow="500" windowWidth="25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2" i="1"/>
  <c r="G30" i="1" s="1"/>
  <c r="G33" i="1"/>
  <c r="G31" i="1" s="1"/>
  <c r="D20" i="1"/>
  <c r="E20" i="1"/>
  <c r="F20" i="1"/>
  <c r="G20" i="1"/>
  <c r="C20" i="1"/>
  <c r="C33" i="1"/>
  <c r="D30" i="1" s="1"/>
  <c r="C31" i="1" s="1"/>
  <c r="D33" i="1"/>
  <c r="E33" i="1"/>
  <c r="F33" i="1"/>
  <c r="D32" i="1"/>
  <c r="E32" i="1"/>
  <c r="F32" i="1"/>
  <c r="C32" i="1"/>
  <c r="C30" i="1" s="1"/>
  <c r="E30" i="1" l="1"/>
  <c r="D31" i="1" s="1"/>
  <c r="F30" i="1"/>
  <c r="E31" i="1" s="1"/>
</calcChain>
</file>

<file path=xl/sharedStrings.xml><?xml version="1.0" encoding="utf-8"?>
<sst xmlns="http://schemas.openxmlformats.org/spreadsheetml/2006/main" count="117" uniqueCount="113">
  <si>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</si>
  <si>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</si>
  <si>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</si>
  <si>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</si>
  <si>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</si>
  <si>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</si>
  <si>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</si>
  <si>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</si>
  <si>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</si>
  <si>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</si>
  <si>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</si>
  <si>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</si>
  <si>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</si>
  <si>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</si>
  <si>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</si>
  <si>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</si>
  <si>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</si>
  <si>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</si>
  <si>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</si>
  <si>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</si>
  <si>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</si>
  <si>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</si>
  <si>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</si>
  <si>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</si>
  <si>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</si>
  <si>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</si>
  <si>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</si>
  <si>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</si>
  <si>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</si>
  <si>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</si>
  <si>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</si>
  <si>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</si>
  <si>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</si>
  <si>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</si>
  <si>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</si>
  <si>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</si>
  <si>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</si>
  <si>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</si>
  <si>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</si>
  <si>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</si>
  <si>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</si>
  <si>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</si>
  <si>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</si>
  <si>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</si>
  <si>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</si>
  <si>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</si>
  <si>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</si>
  <si>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</si>
  <si>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</si>
  <si>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</si>
  <si>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</si>
  <si>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</si>
  <si>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</si>
  <si>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</si>
  <si>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</si>
  <si>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</si>
  <si>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</si>
  <si>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</si>
  <si>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</si>
  <si>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</si>
  <si>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</si>
  <si>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</si>
  <si>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</si>
  <si>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</si>
  <si>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</si>
  <si>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</si>
  <si>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</si>
  <si>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</si>
  <si>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</si>
  <si>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</si>
  <si>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</si>
  <si>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</si>
  <si>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</si>
  <si>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</si>
  <si>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</si>
  <si>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usd</t>
  </si>
  <si>
    <t>Reach</t>
  </si>
  <si>
    <t>Stack</t>
  </si>
  <si>
    <t>both</t>
  </si>
  <si>
    <t>Measurement</t>
  </si>
  <si>
    <t>BB Drop</t>
  </si>
  <si>
    <t>Chain Stay Length</t>
  </si>
  <si>
    <t>Crank Arm Length</t>
  </si>
  <si>
    <t>Effective Top Tube Length</t>
  </si>
  <si>
    <t>Fork Offset</t>
  </si>
  <si>
    <t>Head Tube Angle</t>
  </si>
  <si>
    <t>Head Tube Length</t>
  </si>
  <si>
    <t>Seat Tube</t>
  </si>
  <si>
    <t>Seat Tube Angle</t>
  </si>
  <si>
    <t>Wheel Base</t>
  </si>
  <si>
    <t>State</t>
  </si>
  <si>
    <t>https://www.statebicycle.com/collections/carbon-all-road-gravel-bikes</t>
  </si>
  <si>
    <t>carbon</t>
  </si>
  <si>
    <t>threaded</t>
  </si>
  <si>
    <t>internal</t>
  </si>
  <si>
    <t>Carbon All-Road V2</t>
  </si>
  <si>
    <t>XS (49cm)</t>
  </si>
  <si>
    <t>S (52cm)</t>
  </si>
  <si>
    <t>M (54cm)</t>
  </si>
  <si>
    <t>L (56cm)</t>
  </si>
  <si>
    <t>XL (58cm)</t>
  </si>
  <si>
    <t>5’1” to 5’6”</t>
  </si>
  <si>
    <t>5’5” to 5’9”</t>
  </si>
  <si>
    <t>5’8” to 5’11”</t>
  </si>
  <si>
    <t>5’10” to 6’1”</t>
  </si>
  <si>
    <t>6’0” to 6’4”</t>
  </si>
  <si>
    <t>Standover Height (700×38C)</t>
  </si>
  <si>
    <t>29.88”</t>
  </si>
  <si>
    <t>30.94”</t>
  </si>
  <si>
    <t>31.61”</t>
  </si>
  <si>
    <t>32.40”</t>
  </si>
  <si>
    <t>33.19”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</si>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</sst>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49" workbookViewId="0">
      <selection activeCell="B72" sqref="B7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90</v>
      </c>
    </row>
    <row r="2" spans="1:11" x14ac:dyDescent="0.3">
      <c r="A2" s="1" t="s">
        <v>1</v>
      </c>
      <c r="B2" s="1" t="s">
        <v>95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45901</v>
      </c>
    </row>
    <row r="5" spans="1:11" x14ac:dyDescent="0.3">
      <c r="A5" s="1" t="s">
        <v>4</v>
      </c>
      <c r="B5" s="1" t="s">
        <v>91</v>
      </c>
    </row>
    <row r="6" spans="1:11" x14ac:dyDescent="0.3"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112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6" t="s">
        <v>79</v>
      </c>
      <c r="C8" s="6" t="s">
        <v>96</v>
      </c>
      <c r="D8" s="6" t="s">
        <v>97</v>
      </c>
      <c r="E8" s="6" t="s">
        <v>98</v>
      </c>
      <c r="F8" s="6" t="s">
        <v>99</v>
      </c>
      <c r="G8" s="6" t="s">
        <v>100</v>
      </c>
    </row>
    <row r="9" spans="1:11" x14ac:dyDescent="0.3">
      <c r="A9" s="1" t="s">
        <v>13</v>
      </c>
      <c r="B9" s="6" t="s">
        <v>80</v>
      </c>
      <c r="C9" s="7">
        <v>78</v>
      </c>
      <c r="D9" s="7">
        <v>78</v>
      </c>
      <c r="E9" s="7">
        <v>78</v>
      </c>
      <c r="F9" s="7">
        <v>78</v>
      </c>
      <c r="G9" s="7">
        <v>78</v>
      </c>
    </row>
    <row r="10" spans="1:11" x14ac:dyDescent="0.3">
      <c r="A10" s="1" t="s">
        <v>12</v>
      </c>
      <c r="B10" s="6" t="s">
        <v>81</v>
      </c>
      <c r="C10" s="7">
        <v>435</v>
      </c>
      <c r="D10" s="7">
        <v>435</v>
      </c>
      <c r="E10" s="7">
        <v>435</v>
      </c>
      <c r="F10" s="7">
        <v>435</v>
      </c>
      <c r="G10" s="7">
        <v>435</v>
      </c>
    </row>
    <row r="11" spans="1:11" x14ac:dyDescent="0.3">
      <c r="A11" s="1" t="s">
        <v>19</v>
      </c>
      <c r="B11" s="6" t="s">
        <v>82</v>
      </c>
      <c r="C11" s="7">
        <v>165</v>
      </c>
      <c r="D11" s="7">
        <v>165</v>
      </c>
      <c r="E11" s="7">
        <v>170</v>
      </c>
      <c r="F11" s="7">
        <v>170</v>
      </c>
      <c r="G11" s="7">
        <v>175</v>
      </c>
    </row>
    <row r="12" spans="1:11" x14ac:dyDescent="0.3">
      <c r="A12" s="1" t="s">
        <v>8</v>
      </c>
      <c r="B12" s="6" t="s">
        <v>83</v>
      </c>
      <c r="C12" s="7">
        <v>541</v>
      </c>
      <c r="D12" s="7">
        <v>555</v>
      </c>
      <c r="E12" s="7">
        <v>570</v>
      </c>
      <c r="F12" s="7">
        <v>584</v>
      </c>
      <c r="G12" s="7">
        <v>597</v>
      </c>
    </row>
    <row r="13" spans="1:11" x14ac:dyDescent="0.3">
      <c r="A13" s="1" t="s">
        <v>18</v>
      </c>
      <c r="B13" s="6" t="s">
        <v>84</v>
      </c>
      <c r="C13" s="7">
        <v>50</v>
      </c>
      <c r="D13" s="7">
        <v>50</v>
      </c>
      <c r="E13" s="7">
        <v>50</v>
      </c>
      <c r="F13" s="7">
        <v>50</v>
      </c>
      <c r="G13" s="7">
        <v>50</v>
      </c>
    </row>
    <row r="14" spans="1:11" x14ac:dyDescent="0.3">
      <c r="A14" s="1" t="s">
        <v>9</v>
      </c>
      <c r="B14" s="6" t="s">
        <v>86</v>
      </c>
      <c r="C14" s="7">
        <v>90</v>
      </c>
      <c r="D14" s="7">
        <v>105</v>
      </c>
      <c r="E14" s="7">
        <v>125</v>
      </c>
      <c r="F14" s="7">
        <v>145</v>
      </c>
      <c r="G14" s="7">
        <v>165</v>
      </c>
    </row>
    <row r="15" spans="1:11" x14ac:dyDescent="0.3">
      <c r="A15" s="1" t="s">
        <v>11</v>
      </c>
      <c r="B15" s="6" t="s">
        <v>85</v>
      </c>
      <c r="C15" s="7">
        <v>71.2</v>
      </c>
      <c r="D15" s="7">
        <v>71.599999999999994</v>
      </c>
      <c r="E15" s="7">
        <v>71.8</v>
      </c>
      <c r="F15" s="7">
        <v>72.2</v>
      </c>
      <c r="G15" s="7">
        <v>72.3</v>
      </c>
    </row>
    <row r="16" spans="1:11" x14ac:dyDescent="0.3">
      <c r="A16" s="1" t="s">
        <v>17</v>
      </c>
      <c r="B16" s="6" t="s">
        <v>76</v>
      </c>
      <c r="C16" s="7">
        <v>391</v>
      </c>
      <c r="D16" s="7">
        <v>396</v>
      </c>
      <c r="E16" s="7">
        <v>400</v>
      </c>
      <c r="F16" s="7">
        <v>404</v>
      </c>
      <c r="G16" s="7">
        <v>407</v>
      </c>
    </row>
    <row r="17" spans="1:12" x14ac:dyDescent="0.3">
      <c r="A17" s="1" t="s">
        <v>7</v>
      </c>
      <c r="B17" s="6" t="s">
        <v>87</v>
      </c>
      <c r="C17" s="7">
        <v>490</v>
      </c>
      <c r="D17" s="7">
        <v>520</v>
      </c>
      <c r="E17" s="7">
        <v>540</v>
      </c>
      <c r="F17" s="7">
        <v>560</v>
      </c>
      <c r="G17" s="7">
        <v>580</v>
      </c>
    </row>
    <row r="18" spans="1:12" x14ac:dyDescent="0.3">
      <c r="A18" s="1" t="s">
        <v>10</v>
      </c>
      <c r="B18" s="6" t="s">
        <v>88</v>
      </c>
      <c r="C18" s="7">
        <v>74.099999999999994</v>
      </c>
      <c r="D18" s="7">
        <v>73.7</v>
      </c>
      <c r="E18" s="7">
        <v>73.2</v>
      </c>
      <c r="F18" s="7">
        <v>72.8</v>
      </c>
      <c r="G18" s="7">
        <v>72.5</v>
      </c>
    </row>
    <row r="19" spans="1:12" x14ac:dyDescent="0.3">
      <c r="A19" s="1" t="s">
        <v>16</v>
      </c>
      <c r="B19" s="6" t="s">
        <v>77</v>
      </c>
      <c r="C19" s="7">
        <v>527</v>
      </c>
      <c r="D19" s="7">
        <v>542</v>
      </c>
      <c r="E19" s="7">
        <v>562</v>
      </c>
      <c r="F19" s="7">
        <v>582</v>
      </c>
      <c r="G19" s="7">
        <v>602</v>
      </c>
    </row>
    <row r="20" spans="1:12" x14ac:dyDescent="0.3">
      <c r="A20" s="1" t="s">
        <v>15</v>
      </c>
      <c r="B20" s="6" t="s">
        <v>106</v>
      </c>
      <c r="C20" s="1">
        <f>VALUE(LEFT(H20,5)) * 25.4</f>
        <v>758.95199999999988</v>
      </c>
      <c r="D20" s="1">
        <f t="shared" ref="D20:G20" si="0">VALUE(LEFT(I20,5)) * 25.4</f>
        <v>785.87599999999998</v>
      </c>
      <c r="E20" s="1">
        <f t="shared" si="0"/>
        <v>802.89399999999989</v>
      </c>
      <c r="F20" s="1">
        <f t="shared" si="0"/>
        <v>822.95999999999992</v>
      </c>
      <c r="G20" s="1">
        <f t="shared" si="0"/>
        <v>843.02599999999984</v>
      </c>
      <c r="H20" s="7" t="s">
        <v>107</v>
      </c>
      <c r="I20" s="7" t="s">
        <v>108</v>
      </c>
      <c r="J20" s="7" t="s">
        <v>109</v>
      </c>
      <c r="K20" s="7" t="s">
        <v>110</v>
      </c>
      <c r="L20" s="7" t="s">
        <v>111</v>
      </c>
    </row>
    <row r="21" spans="1:12" x14ac:dyDescent="0.3">
      <c r="A21" s="1" t="s">
        <v>14</v>
      </c>
      <c r="B21" s="6" t="s">
        <v>89</v>
      </c>
      <c r="C21" s="7">
        <v>1025</v>
      </c>
      <c r="D21" s="7">
        <v>1032</v>
      </c>
      <c r="E21" s="7">
        <v>1040</v>
      </c>
      <c r="F21" s="7">
        <v>1046</v>
      </c>
      <c r="G21" s="7">
        <v>1055</v>
      </c>
    </row>
    <row r="22" spans="1:12" x14ac:dyDescent="0.3">
      <c r="A22" s="1" t="s">
        <v>22</v>
      </c>
    </row>
    <row r="23" spans="1:12" x14ac:dyDescent="0.3">
      <c r="A23" s="1" t="s">
        <v>72</v>
      </c>
    </row>
    <row r="24" spans="1:12" x14ac:dyDescent="0.3">
      <c r="A24" s="1" t="s">
        <v>20</v>
      </c>
    </row>
    <row r="25" spans="1:12" x14ac:dyDescent="0.3">
      <c r="A25" s="1" t="s">
        <v>21</v>
      </c>
    </row>
    <row r="26" spans="1:12" x14ac:dyDescent="0.3">
      <c r="A26" s="1" t="s">
        <v>23</v>
      </c>
    </row>
    <row r="27" spans="1:12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2" x14ac:dyDescent="0.3">
      <c r="A28" s="1" t="s">
        <v>25</v>
      </c>
      <c r="C28" s="4">
        <v>47</v>
      </c>
      <c r="D28" s="4">
        <v>47</v>
      </c>
      <c r="E28" s="4">
        <v>47</v>
      </c>
      <c r="F28" s="4">
        <v>47</v>
      </c>
      <c r="G28" s="4">
        <v>47</v>
      </c>
      <c r="H28" s="4"/>
      <c r="I28" s="4"/>
      <c r="J28" s="4"/>
      <c r="K28" s="4"/>
    </row>
    <row r="29" spans="1:12" x14ac:dyDescent="0.3">
      <c r="A29" s="1" t="s">
        <v>26</v>
      </c>
      <c r="C29" s="1">
        <v>58</v>
      </c>
      <c r="D29" s="1">
        <v>58</v>
      </c>
      <c r="E29" s="1">
        <v>58</v>
      </c>
      <c r="F29" s="1">
        <v>58</v>
      </c>
      <c r="G29" s="1">
        <v>58</v>
      </c>
    </row>
    <row r="30" spans="1:12" x14ac:dyDescent="0.3">
      <c r="A30" s="1" t="s">
        <v>27</v>
      </c>
      <c r="C30" s="1">
        <f>C32</f>
        <v>154.94</v>
      </c>
      <c r="D30" s="1">
        <f>AVERAGE(D32,C33)</f>
        <v>166.37</v>
      </c>
      <c r="E30" s="1">
        <f t="shared" ref="E30:G30" si="1">AVERAGE(E32,D33)</f>
        <v>173.99</v>
      </c>
      <c r="F30" s="1">
        <f t="shared" si="1"/>
        <v>179.07</v>
      </c>
      <c r="G30" s="1">
        <f t="shared" si="1"/>
        <v>184.15</v>
      </c>
    </row>
    <row r="31" spans="1:12" x14ac:dyDescent="0.3">
      <c r="A31" s="1" t="s">
        <v>28</v>
      </c>
      <c r="C31" s="1">
        <f>D30</f>
        <v>166.37</v>
      </c>
      <c r="D31" s="1">
        <f t="shared" ref="D31:F31" si="2">E30</f>
        <v>173.99</v>
      </c>
      <c r="E31" s="1">
        <f t="shared" si="2"/>
        <v>179.07</v>
      </c>
      <c r="F31" s="1">
        <f t="shared" si="2"/>
        <v>184.15</v>
      </c>
      <c r="G31" s="1">
        <f>G33</f>
        <v>193.04</v>
      </c>
    </row>
    <row r="32" spans="1:12" x14ac:dyDescent="0.3">
      <c r="A32" s="1" t="s">
        <v>73</v>
      </c>
      <c r="C32" s="1">
        <f>C34*2.54</f>
        <v>154.94</v>
      </c>
      <c r="D32" s="1">
        <f t="shared" ref="D32:F33" si="3">D34*2.54</f>
        <v>165.1</v>
      </c>
      <c r="E32" s="1">
        <f t="shared" si="3"/>
        <v>172.72</v>
      </c>
      <c r="F32" s="1">
        <f t="shared" si="3"/>
        <v>177.8</v>
      </c>
      <c r="G32" s="1">
        <f t="shared" ref="G32" si="4">G34*2.54</f>
        <v>182.88</v>
      </c>
    </row>
    <row r="33" spans="1:8" x14ac:dyDescent="0.3">
      <c r="A33" s="1" t="s">
        <v>74</v>
      </c>
      <c r="C33" s="1">
        <f>C35*2.54</f>
        <v>167.64000000000001</v>
      </c>
      <c r="D33" s="1">
        <f t="shared" si="3"/>
        <v>175.26</v>
      </c>
      <c r="E33" s="1">
        <f t="shared" si="3"/>
        <v>180.34</v>
      </c>
      <c r="F33" s="1">
        <f t="shared" si="3"/>
        <v>185.42000000000002</v>
      </c>
      <c r="G33" s="1">
        <f t="shared" ref="G33" si="5">G35*2.54</f>
        <v>193.04</v>
      </c>
    </row>
    <row r="34" spans="1:8" x14ac:dyDescent="0.3">
      <c r="C34" s="1">
        <v>61</v>
      </c>
      <c r="D34" s="1">
        <v>65</v>
      </c>
      <c r="E34" s="1">
        <v>68</v>
      </c>
      <c r="F34" s="1">
        <v>70</v>
      </c>
      <c r="G34" s="1">
        <v>72</v>
      </c>
    </row>
    <row r="35" spans="1:8" x14ac:dyDescent="0.3">
      <c r="A35" s="1" t="s">
        <v>29</v>
      </c>
      <c r="B35" s="1" t="s">
        <v>30</v>
      </c>
      <c r="C35" s="1">
        <v>66</v>
      </c>
      <c r="D35" s="1">
        <v>69</v>
      </c>
      <c r="E35" s="1">
        <v>71</v>
      </c>
      <c r="F35" s="1">
        <v>73</v>
      </c>
      <c r="G35" s="1">
        <v>76</v>
      </c>
      <c r="H35" s="4"/>
    </row>
    <row r="36" spans="1:8" x14ac:dyDescent="0.3">
      <c r="A36" s="1" t="s">
        <v>66</v>
      </c>
      <c r="B36" s="1" t="s">
        <v>67</v>
      </c>
      <c r="C36" s="7" t="s">
        <v>101</v>
      </c>
      <c r="D36" s="7" t="s">
        <v>102</v>
      </c>
      <c r="E36" s="7" t="s">
        <v>103</v>
      </c>
      <c r="F36" s="7" t="s">
        <v>104</v>
      </c>
      <c r="G36" s="7" t="s">
        <v>105</v>
      </c>
    </row>
    <row r="37" spans="1:8" x14ac:dyDescent="0.3">
      <c r="A37" s="1" t="s">
        <v>68</v>
      </c>
      <c r="B37" s="1" t="s">
        <v>78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92</v>
      </c>
    </row>
    <row r="40" spans="1:8" x14ac:dyDescent="0.3">
      <c r="A40" s="1" t="s">
        <v>32</v>
      </c>
      <c r="B40" s="1" t="s">
        <v>71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58</v>
      </c>
    </row>
    <row r="43" spans="1:8" x14ac:dyDescent="0.3">
      <c r="A43" s="1" t="s">
        <v>35</v>
      </c>
      <c r="B43" s="5">
        <v>2.4</v>
      </c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  <c r="B50" s="1" t="s">
        <v>93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27.2</v>
      </c>
    </row>
    <row r="53" spans="1:2" x14ac:dyDescent="0.3">
      <c r="A53" s="1" t="s">
        <v>45</v>
      </c>
      <c r="B53" s="1" t="s">
        <v>71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94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  <c r="B62" s="1" t="s">
        <v>71</v>
      </c>
    </row>
    <row r="63" spans="1:2" x14ac:dyDescent="0.3">
      <c r="A63" s="1" t="s">
        <v>55</v>
      </c>
      <c r="B63" s="1">
        <v>2</v>
      </c>
    </row>
    <row r="64" spans="1:2" x14ac:dyDescent="0.3">
      <c r="A64" s="1" t="s">
        <v>56</v>
      </c>
      <c r="B64" s="1">
        <v>1</v>
      </c>
    </row>
    <row r="65" spans="1:2" x14ac:dyDescent="0.3">
      <c r="A65" s="1" t="s">
        <v>57</v>
      </c>
      <c r="B65" s="1" t="s">
        <v>71</v>
      </c>
    </row>
    <row r="66" spans="1:2" x14ac:dyDescent="0.3">
      <c r="A66" s="1" t="s">
        <v>58</v>
      </c>
      <c r="B66" s="1" t="s">
        <v>71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  <c r="B70" s="1">
        <v>1299</v>
      </c>
    </row>
    <row r="71" spans="1:2" x14ac:dyDescent="0.3">
      <c r="A71" s="1" t="s">
        <v>63</v>
      </c>
      <c r="B71" s="1">
        <v>2299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2025-09-02T00:57:18Z</dcterms:modified>
</cp:coreProperties>
</file>