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175E849-5D41-8E42-86AF-09EF92F9395B}" xr6:coauthVersionLast="47" xr6:coauthVersionMax="47" xr10:uidLastSave="{00000000-0000-0000-0000-000000000000}"/>
  <bookViews>
    <workbookView xWindow="29640" yWindow="-23760" windowWidth="28340" windowHeight="22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E14" i="1"/>
  <c r="F14" i="1"/>
  <c r="G14" i="1"/>
  <c r="D15" i="1"/>
  <c r="E15" i="1"/>
  <c r="F15" i="1"/>
  <c r="G15" i="1"/>
  <c r="C15" i="1"/>
  <c r="C14" i="1"/>
  <c r="D9" i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C10" i="1"/>
  <c r="C11" i="1"/>
  <c r="C12" i="1"/>
  <c r="C13" i="1"/>
  <c r="C16" i="1"/>
  <c r="C17" i="1"/>
  <c r="C18" i="1"/>
  <c r="C19" i="1"/>
  <c r="C20" i="1"/>
  <c r="C21" i="1"/>
  <c r="C9" i="1"/>
</calcChain>
</file>

<file path=xl/sharedStrings.xml><?xml version="1.0" encoding="utf-8"?>
<sst xmlns="http://schemas.openxmlformats.org/spreadsheetml/2006/main" count="115" uniqueCount="112">
  <si>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</si>
  <si>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</si>
  <si>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</si>
  <si>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</si>
  <si>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</si>
  <si>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</si>
  <si>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</si>
  <si>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</si>
  <si>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</si>
  <si>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</si>
  <si>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</si>
  <si>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</si>
  <si>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</si>
  <si>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</si>
  <si>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</si>
  <si>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</si>
  <si>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</si>
  <si>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</si>
  <si>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</si>
  <si>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</si>
  <si>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</si>
  <si>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</si>
  <si>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</si>
  <si>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</si>
  <si>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</si>
  <si>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</si>
  <si>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</si>
  <si>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</si>
  <si>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</si>
  <si>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</si>
  <si>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</si>
  <si>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</si>
  <si>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</si>
  <si>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</si>
  <si>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</si>
  <si>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</si>
  <si>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</si>
  <si>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</si>
  <si>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</si>
  <si>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</si>
  <si>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</si>
  <si>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</si>
  <si>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</si>
  <si>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</si>
  <si>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</si>
  <si>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</si>
  <si>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</si>
  <si>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</si>
  <si>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</si>
  <si>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</si>
  <si>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</si>
  <si>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</si>
  <si>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</si>
  <si>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</si>
  <si>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</si>
  <si>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</si>
  <si>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</si>
  <si>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</si>
  <si>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</si>
  <si>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</si>
  <si>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</si>
  <si>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</si>
  <si>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</si>
  <si>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</si>
  <si>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</si>
  <si>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</si>
  <si>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trail</t>
  </si>
  <si>
    <t>class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</si>
  <si>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</si>
  <si>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</si>
  <si>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</si>
  <si>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</si>
  <si>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</si>
  <si>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</si>
  <si>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</si>
  <si>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</si>
  <si>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</si>
  <si>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</si>
  <si>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</si>
  <si>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gravel</t>
  </si>
  <si>
    <t>yes</t>
  </si>
  <si>
    <t>carbon</t>
  </si>
  <si>
    <t>front_center</t>
  </si>
  <si>
    <t>https://handslingbikes.com/collections/carbon-gravel-bikes</t>
  </si>
  <si>
    <t>Handsling</t>
  </si>
  <si>
    <t>threaded</t>
  </si>
  <si>
    <t>t47</t>
  </si>
  <si>
    <t>optional</t>
  </si>
  <si>
    <t>USD</t>
  </si>
  <si>
    <t>Oakhanger, Hampshire, United Kingdom</t>
  </si>
  <si>
    <t>CEXevo</t>
  </si>
  <si>
    <t>50cm</t>
  </si>
  <si>
    <t>52cm</t>
  </si>
  <si>
    <t>54cm</t>
  </si>
  <si>
    <t>56cm</t>
  </si>
  <si>
    <t>58cm</t>
  </si>
  <si>
    <t>Seat Tube (BB centre to top)</t>
  </si>
  <si>
    <t>Top Tube Length</t>
  </si>
  <si>
    <t>Reach</t>
  </si>
  <si>
    <t>Standover Height</t>
  </si>
  <si>
    <t>Head Tube Length</t>
  </si>
  <si>
    <t>Seat Tube Angle</t>
  </si>
  <si>
    <t>Head Tube Angle</t>
  </si>
  <si>
    <t>Bottom Bracket Drop</t>
  </si>
  <si>
    <t>Chainstay Length</t>
  </si>
  <si>
    <t>Front Centre (BB to Front Fork Dropout)</t>
  </si>
  <si>
    <t>Wheelbase</t>
  </si>
  <si>
    <t>Fork Offset</t>
  </si>
  <si>
    <t>Fork Height</t>
  </si>
  <si>
    <t>https://handslingbikes.com/cdn/shop/files/Handsling_CEXevo_SRAM_APEX_XPLR_AXS_Gravel_Bike_5870d455-9700-4e0e-974b-2da3d5638997.jpg?v=1746097691&amp;width=1000</t>
  </si>
  <si>
    <t>a8:g32</t>
  </si>
  <si>
    <t>this is stack and not standover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</si>
</sst>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808080"/>
      <name val="Arial"/>
      <family val="2"/>
    </font>
    <font>
      <sz val="14"/>
      <name val="Futura Medium"/>
    </font>
    <font>
      <sz val="14"/>
      <name val="Futura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"/>
  <sheetViews>
    <sheetView tabSelected="1" topLeftCell="A6" workbookViewId="0">
      <selection activeCell="H18" sqref="H18"/>
    </sheetView>
  </sheetViews>
  <sheetFormatPr baseColWidth="10" defaultRowHeight="20" x14ac:dyDescent="0.3"/>
  <cols>
    <col min="1" max="2" width="19.6640625" customWidth="1"/>
  </cols>
  <sheetData>
    <row r="1" spans="1:21" x14ac:dyDescent="0.3">
      <c r="A1" t="s">
        <v>0</v>
      </c>
      <c r="B1" s="1" t="s">
        <v>84</v>
      </c>
    </row>
    <row r="2" spans="1:21" x14ac:dyDescent="0.3">
      <c r="A2" t="s">
        <v>1</v>
      </c>
      <c r="B2" s="1" t="s">
        <v>90</v>
      </c>
    </row>
    <row r="3" spans="1:21" x14ac:dyDescent="0.3">
      <c r="A3" t="s">
        <v>2</v>
      </c>
      <c r="B3">
        <v>2025</v>
      </c>
    </row>
    <row r="4" spans="1:21" x14ac:dyDescent="0.3">
      <c r="A4" t="s">
        <v>3</v>
      </c>
      <c r="B4" s="3">
        <v>45972</v>
      </c>
    </row>
    <row r="5" spans="1:21" x14ac:dyDescent="0.3">
      <c r="A5" t="s">
        <v>4</v>
      </c>
      <c r="B5" t="s">
        <v>83</v>
      </c>
    </row>
    <row r="6" spans="1:21" x14ac:dyDescent="0.3">
      <c r="B6" t="s">
        <v>109</v>
      </c>
    </row>
    <row r="7" spans="1:21" x14ac:dyDescent="0.3">
      <c r="A7" t="s">
        <v>5</v>
      </c>
      <c r="B7" s="1" t="s">
        <v>110</v>
      </c>
      <c r="H7" s="1"/>
    </row>
    <row r="8" spans="1:21" x14ac:dyDescent="0.3">
      <c r="A8" t="s">
        <v>6</v>
      </c>
      <c r="B8" s="4" t="s">
        <v>90</v>
      </c>
      <c r="C8" s="4" t="s">
        <v>91</v>
      </c>
      <c r="D8" s="4" t="s">
        <v>92</v>
      </c>
      <c r="E8" s="4" t="s">
        <v>93</v>
      </c>
      <c r="F8" s="4" t="s">
        <v>94</v>
      </c>
      <c r="G8" s="4" t="s">
        <v>95</v>
      </c>
      <c r="I8" s="4"/>
      <c r="J8" s="4"/>
      <c r="K8" s="4"/>
      <c r="L8" s="4"/>
      <c r="M8" s="5"/>
      <c r="N8" s="6"/>
      <c r="O8" s="6"/>
      <c r="P8" s="6"/>
      <c r="Q8" s="5"/>
      <c r="R8" s="5"/>
      <c r="S8" s="5"/>
      <c r="T8" s="5"/>
      <c r="U8" s="5"/>
    </row>
    <row r="9" spans="1:21" x14ac:dyDescent="0.3">
      <c r="A9" t="s">
        <v>11</v>
      </c>
      <c r="B9" s="4" t="s">
        <v>96</v>
      </c>
      <c r="C9">
        <f>I9*10</f>
        <v>500</v>
      </c>
      <c r="D9">
        <f t="shared" ref="D9:G21" si="0">J9*10</f>
        <v>520</v>
      </c>
      <c r="E9">
        <f t="shared" si="0"/>
        <v>540</v>
      </c>
      <c r="F9">
        <f t="shared" si="0"/>
        <v>560</v>
      </c>
      <c r="G9">
        <f t="shared" si="0"/>
        <v>580</v>
      </c>
      <c r="H9" s="5"/>
      <c r="I9" s="4">
        <v>50</v>
      </c>
      <c r="J9" s="4">
        <v>52</v>
      </c>
      <c r="K9" s="4">
        <v>54</v>
      </c>
      <c r="L9" s="4">
        <v>56</v>
      </c>
      <c r="M9" s="5">
        <v>58</v>
      </c>
      <c r="N9" s="6"/>
      <c r="O9" s="6"/>
      <c r="P9" s="5"/>
      <c r="Q9" s="5"/>
      <c r="R9" s="5"/>
      <c r="S9" s="5"/>
      <c r="T9" s="5"/>
    </row>
    <row r="10" spans="1:21" x14ac:dyDescent="0.3">
      <c r="A10" s="1" t="s">
        <v>7</v>
      </c>
      <c r="B10" s="4" t="s">
        <v>97</v>
      </c>
      <c r="C10">
        <f t="shared" ref="C10:C21" si="1">I10*10</f>
        <v>515</v>
      </c>
      <c r="D10">
        <f t="shared" si="0"/>
        <v>535</v>
      </c>
      <c r="E10">
        <f t="shared" si="0"/>
        <v>555</v>
      </c>
      <c r="F10">
        <f t="shared" si="0"/>
        <v>575</v>
      </c>
      <c r="G10">
        <f t="shared" si="0"/>
        <v>595</v>
      </c>
      <c r="H10" s="5"/>
      <c r="I10" s="4">
        <v>51.5</v>
      </c>
      <c r="J10" s="4">
        <v>53.5</v>
      </c>
      <c r="K10" s="4">
        <v>55.5</v>
      </c>
      <c r="L10" s="4">
        <v>57.5</v>
      </c>
      <c r="M10" s="5">
        <v>59.5</v>
      </c>
      <c r="N10" s="6"/>
      <c r="O10" s="6"/>
      <c r="P10" s="5"/>
      <c r="Q10" s="5"/>
      <c r="R10" s="5"/>
      <c r="S10" s="5"/>
      <c r="T10" s="5"/>
    </row>
    <row r="11" spans="1:21" x14ac:dyDescent="0.3">
      <c r="A11" t="s">
        <v>16</v>
      </c>
      <c r="B11" s="4" t="s">
        <v>98</v>
      </c>
      <c r="C11">
        <f t="shared" si="1"/>
        <v>360</v>
      </c>
      <c r="D11">
        <f t="shared" si="0"/>
        <v>370</v>
      </c>
      <c r="E11">
        <f t="shared" si="0"/>
        <v>380</v>
      </c>
      <c r="F11">
        <f t="shared" si="0"/>
        <v>390</v>
      </c>
      <c r="G11">
        <f t="shared" si="0"/>
        <v>400</v>
      </c>
      <c r="H11" s="5"/>
      <c r="I11" s="4">
        <v>36</v>
      </c>
      <c r="J11" s="4">
        <v>37</v>
      </c>
      <c r="K11" s="4">
        <v>38</v>
      </c>
      <c r="L11" s="4">
        <v>39</v>
      </c>
      <c r="M11" s="5">
        <v>40</v>
      </c>
      <c r="N11" s="6"/>
      <c r="O11" s="6"/>
      <c r="P11" s="5"/>
      <c r="Q11" s="5"/>
      <c r="R11" s="5"/>
      <c r="S11" s="5"/>
      <c r="T11" s="5"/>
    </row>
    <row r="12" spans="1:21" x14ac:dyDescent="0.3">
      <c r="A12" t="s">
        <v>17</v>
      </c>
      <c r="B12" s="4" t="s">
        <v>99</v>
      </c>
      <c r="C12">
        <f t="shared" si="1"/>
        <v>540</v>
      </c>
      <c r="D12">
        <f t="shared" si="0"/>
        <v>555</v>
      </c>
      <c r="E12">
        <f t="shared" si="0"/>
        <v>570</v>
      </c>
      <c r="F12">
        <f t="shared" si="0"/>
        <v>585</v>
      </c>
      <c r="G12">
        <f t="shared" si="0"/>
        <v>595</v>
      </c>
      <c r="H12" s="5" t="s">
        <v>111</v>
      </c>
      <c r="I12" s="4">
        <v>54</v>
      </c>
      <c r="J12" s="4">
        <v>55.5</v>
      </c>
      <c r="K12" s="4">
        <v>57</v>
      </c>
      <c r="L12" s="4">
        <v>58.5</v>
      </c>
      <c r="M12" s="5">
        <v>59.5</v>
      </c>
      <c r="N12" s="6"/>
      <c r="O12" s="6"/>
      <c r="P12" s="5"/>
      <c r="Q12" s="5"/>
      <c r="R12" s="5"/>
      <c r="S12" s="5"/>
      <c r="T12" s="5"/>
    </row>
    <row r="13" spans="1:21" x14ac:dyDescent="0.3">
      <c r="A13" t="s">
        <v>9</v>
      </c>
      <c r="B13" s="4" t="s">
        <v>100</v>
      </c>
      <c r="C13">
        <f t="shared" si="1"/>
        <v>120</v>
      </c>
      <c r="D13">
        <f t="shared" si="0"/>
        <v>130</v>
      </c>
      <c r="E13">
        <f t="shared" si="0"/>
        <v>145</v>
      </c>
      <c r="F13">
        <f t="shared" si="0"/>
        <v>160</v>
      </c>
      <c r="G13">
        <f t="shared" si="0"/>
        <v>175</v>
      </c>
      <c r="H13" s="5"/>
      <c r="I13" s="4">
        <v>12</v>
      </c>
      <c r="J13" s="4">
        <v>13</v>
      </c>
      <c r="K13" s="4">
        <v>14.5</v>
      </c>
      <c r="L13" s="4">
        <v>16</v>
      </c>
      <c r="M13" s="5">
        <v>17.5</v>
      </c>
      <c r="N13" s="6"/>
      <c r="O13" s="6"/>
      <c r="P13" s="5"/>
      <c r="Q13" s="5"/>
      <c r="R13" s="5"/>
      <c r="S13" s="5"/>
      <c r="T13" s="5"/>
    </row>
    <row r="14" spans="1:21" ht="21" x14ac:dyDescent="0.3">
      <c r="A14" t="s">
        <v>10</v>
      </c>
      <c r="B14" s="4" t="s">
        <v>101</v>
      </c>
      <c r="C14">
        <f>I14</f>
        <v>73.5</v>
      </c>
      <c r="D14">
        <f t="shared" ref="D14:G15" si="2">J14</f>
        <v>73.5</v>
      </c>
      <c r="E14">
        <f t="shared" si="2"/>
        <v>73</v>
      </c>
      <c r="F14">
        <f t="shared" si="2"/>
        <v>72.5</v>
      </c>
      <c r="G14">
        <f t="shared" si="2"/>
        <v>72.5</v>
      </c>
      <c r="H14" s="5"/>
      <c r="I14" s="4">
        <v>73.5</v>
      </c>
      <c r="J14" s="4">
        <v>73.5</v>
      </c>
      <c r="K14" s="4">
        <v>73</v>
      </c>
      <c r="L14" s="4">
        <v>72.5</v>
      </c>
      <c r="M14" s="5">
        <v>72.5</v>
      </c>
      <c r="N14" s="2"/>
      <c r="O14" s="2"/>
    </row>
    <row r="15" spans="1:21" ht="21" x14ac:dyDescent="0.3">
      <c r="A15" t="s">
        <v>8</v>
      </c>
      <c r="B15" s="4" t="s">
        <v>102</v>
      </c>
      <c r="C15">
        <f>I15</f>
        <v>70.5</v>
      </c>
      <c r="D15">
        <f t="shared" si="2"/>
        <v>71</v>
      </c>
      <c r="E15">
        <f t="shared" si="2"/>
        <v>71.5</v>
      </c>
      <c r="F15">
        <f t="shared" si="2"/>
        <v>72</v>
      </c>
      <c r="G15">
        <f t="shared" si="2"/>
        <v>73</v>
      </c>
      <c r="H15" s="5"/>
      <c r="I15" s="4">
        <v>70.5</v>
      </c>
      <c r="J15" s="4">
        <v>71</v>
      </c>
      <c r="K15" s="4">
        <v>71.5</v>
      </c>
      <c r="L15" s="4">
        <v>72</v>
      </c>
      <c r="M15" s="5">
        <v>73</v>
      </c>
      <c r="N15" s="2"/>
      <c r="O15" s="2"/>
    </row>
    <row r="16" spans="1:21" ht="21" x14ac:dyDescent="0.3">
      <c r="A16" t="s">
        <v>13</v>
      </c>
      <c r="B16" s="4" t="s">
        <v>103</v>
      </c>
      <c r="C16">
        <f t="shared" si="1"/>
        <v>65</v>
      </c>
      <c r="D16">
        <f t="shared" si="0"/>
        <v>65</v>
      </c>
      <c r="E16">
        <f t="shared" si="0"/>
        <v>65</v>
      </c>
      <c r="F16">
        <f t="shared" si="0"/>
        <v>65</v>
      </c>
      <c r="G16">
        <f t="shared" si="0"/>
        <v>65</v>
      </c>
      <c r="H16" s="5"/>
      <c r="I16" s="4">
        <v>6.5</v>
      </c>
      <c r="J16" s="4">
        <v>6.5</v>
      </c>
      <c r="K16" s="4">
        <v>6.5</v>
      </c>
      <c r="L16" s="4">
        <v>6.5</v>
      </c>
      <c r="M16" s="5">
        <v>6.5</v>
      </c>
      <c r="N16" s="2"/>
      <c r="O16" s="2"/>
    </row>
    <row r="17" spans="1:16" ht="21" x14ac:dyDescent="0.3">
      <c r="A17" s="1" t="s">
        <v>12</v>
      </c>
      <c r="B17" s="4" t="s">
        <v>104</v>
      </c>
      <c r="C17">
        <f t="shared" si="1"/>
        <v>425</v>
      </c>
      <c r="D17">
        <f t="shared" si="0"/>
        <v>425</v>
      </c>
      <c r="E17">
        <f t="shared" si="0"/>
        <v>425</v>
      </c>
      <c r="F17">
        <f t="shared" si="0"/>
        <v>425</v>
      </c>
      <c r="G17">
        <f t="shared" si="0"/>
        <v>425</v>
      </c>
      <c r="H17" s="5"/>
      <c r="I17" s="4">
        <v>42.5</v>
      </c>
      <c r="J17" s="4">
        <v>42.5</v>
      </c>
      <c r="K17" s="4">
        <v>42.5</v>
      </c>
      <c r="L17" s="4">
        <v>42.5</v>
      </c>
      <c r="M17" s="5">
        <v>42.5</v>
      </c>
      <c r="N17" s="2"/>
      <c r="O17" s="2"/>
    </row>
    <row r="18" spans="1:16" ht="21" x14ac:dyDescent="0.3">
      <c r="A18" s="1" t="s">
        <v>82</v>
      </c>
      <c r="B18" s="4" t="s">
        <v>105</v>
      </c>
      <c r="C18">
        <f t="shared" si="1"/>
        <v>580</v>
      </c>
      <c r="D18">
        <f t="shared" si="0"/>
        <v>600</v>
      </c>
      <c r="E18">
        <f t="shared" si="0"/>
        <v>610</v>
      </c>
      <c r="F18">
        <f t="shared" si="0"/>
        <v>620</v>
      </c>
      <c r="G18">
        <f t="shared" si="0"/>
        <v>630</v>
      </c>
      <c r="H18" s="5"/>
      <c r="I18" s="4">
        <v>58</v>
      </c>
      <c r="J18" s="4">
        <v>60</v>
      </c>
      <c r="K18" s="4">
        <v>61</v>
      </c>
      <c r="L18" s="4">
        <v>62</v>
      </c>
      <c r="M18" s="5">
        <v>63</v>
      </c>
      <c r="N18" s="2"/>
      <c r="O18" s="2"/>
    </row>
    <row r="19" spans="1:16" ht="21" x14ac:dyDescent="0.3">
      <c r="A19" s="1" t="s">
        <v>14</v>
      </c>
      <c r="B19" s="4" t="s">
        <v>106</v>
      </c>
      <c r="C19">
        <f t="shared" si="1"/>
        <v>995</v>
      </c>
      <c r="D19">
        <f t="shared" si="0"/>
        <v>1005</v>
      </c>
      <c r="E19">
        <f t="shared" si="0"/>
        <v>1020</v>
      </c>
      <c r="F19">
        <f t="shared" si="0"/>
        <v>1035</v>
      </c>
      <c r="G19">
        <f t="shared" si="0"/>
        <v>1055</v>
      </c>
      <c r="H19" s="5"/>
      <c r="I19" s="4">
        <v>99.5</v>
      </c>
      <c r="J19" s="4">
        <v>100.5</v>
      </c>
      <c r="K19" s="4">
        <v>102</v>
      </c>
      <c r="L19" s="4">
        <v>103.5</v>
      </c>
      <c r="M19" s="5">
        <v>105.5</v>
      </c>
      <c r="N19" s="2"/>
      <c r="O19" s="2"/>
    </row>
    <row r="20" spans="1:16" ht="21" x14ac:dyDescent="0.3">
      <c r="A20" t="s">
        <v>19</v>
      </c>
      <c r="B20" s="4" t="s">
        <v>107</v>
      </c>
      <c r="C20">
        <f t="shared" si="1"/>
        <v>45</v>
      </c>
      <c r="D20">
        <f t="shared" si="0"/>
        <v>45</v>
      </c>
      <c r="E20">
        <f t="shared" si="0"/>
        <v>45</v>
      </c>
      <c r="F20">
        <f t="shared" si="0"/>
        <v>45</v>
      </c>
      <c r="G20">
        <f t="shared" si="0"/>
        <v>45</v>
      </c>
      <c r="I20" s="4">
        <v>4.5</v>
      </c>
      <c r="J20" s="4">
        <v>4.5</v>
      </c>
      <c r="K20" s="4">
        <v>4.5</v>
      </c>
      <c r="L20" s="4">
        <v>4.5</v>
      </c>
      <c r="M20" s="1">
        <v>4.5</v>
      </c>
      <c r="N20" s="2"/>
      <c r="O20" s="2"/>
    </row>
    <row r="21" spans="1:16" ht="21" x14ac:dyDescent="0.3">
      <c r="A21" t="s">
        <v>18</v>
      </c>
      <c r="B21" t="s">
        <v>108</v>
      </c>
      <c r="C21">
        <f t="shared" si="1"/>
        <v>395</v>
      </c>
      <c r="D21">
        <f t="shared" si="0"/>
        <v>395</v>
      </c>
      <c r="E21">
        <f t="shared" si="0"/>
        <v>395</v>
      </c>
      <c r="F21">
        <f t="shared" si="0"/>
        <v>395</v>
      </c>
      <c r="G21">
        <f t="shared" si="0"/>
        <v>395</v>
      </c>
      <c r="I21">
        <v>39.5</v>
      </c>
      <c r="J21">
        <v>39.5</v>
      </c>
      <c r="K21">
        <v>39.5</v>
      </c>
      <c r="L21">
        <v>39.5</v>
      </c>
      <c r="M21">
        <v>39.5</v>
      </c>
      <c r="N21" s="2"/>
      <c r="O21" s="2"/>
    </row>
    <row r="22" spans="1:16" ht="21" x14ac:dyDescent="0.3">
      <c r="A22" t="s">
        <v>15</v>
      </c>
      <c r="L22" s="2"/>
      <c r="M22" s="2"/>
      <c r="N22" s="2"/>
      <c r="O22" s="2"/>
    </row>
    <row r="23" spans="1:16" ht="21" x14ac:dyDescent="0.3">
      <c r="A23" s="1" t="s">
        <v>66</v>
      </c>
      <c r="M23" s="2"/>
      <c r="N23" s="2"/>
      <c r="O23" s="2"/>
      <c r="P23" s="2"/>
    </row>
    <row r="24" spans="1:16" x14ac:dyDescent="0.3">
      <c r="A24" t="s">
        <v>20</v>
      </c>
    </row>
    <row r="25" spans="1:16" x14ac:dyDescent="0.3">
      <c r="A25" t="s">
        <v>21</v>
      </c>
    </row>
    <row r="26" spans="1:16" x14ac:dyDescent="0.3">
      <c r="A26" t="s">
        <v>22</v>
      </c>
    </row>
    <row r="27" spans="1:16" x14ac:dyDescent="0.3">
      <c r="A27" t="s">
        <v>23</v>
      </c>
    </row>
    <row r="28" spans="1:16" x14ac:dyDescent="0.3">
      <c r="A28" t="s">
        <v>24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16" x14ac:dyDescent="0.3">
      <c r="A29" t="s">
        <v>25</v>
      </c>
      <c r="C29">
        <v>45</v>
      </c>
      <c r="D29">
        <v>45</v>
      </c>
      <c r="E29">
        <v>45</v>
      </c>
      <c r="F29">
        <v>45</v>
      </c>
      <c r="G29">
        <v>45</v>
      </c>
      <c r="I29" s="1" t="s">
        <v>87</v>
      </c>
    </row>
    <row r="30" spans="1:16" x14ac:dyDescent="0.3">
      <c r="A30" t="s">
        <v>26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16" x14ac:dyDescent="0.3">
      <c r="A31" t="s">
        <v>27</v>
      </c>
      <c r="C31">
        <v>165</v>
      </c>
      <c r="D31">
        <v>170</v>
      </c>
      <c r="E31">
        <v>175</v>
      </c>
      <c r="F31">
        <v>180</v>
      </c>
      <c r="G31">
        <v>185</v>
      </c>
    </row>
    <row r="32" spans="1:16" x14ac:dyDescent="0.3">
      <c r="A32" t="s">
        <v>28</v>
      </c>
      <c r="C32">
        <v>170</v>
      </c>
      <c r="D32">
        <v>175</v>
      </c>
      <c r="E32">
        <v>180</v>
      </c>
      <c r="F32">
        <v>185</v>
      </c>
      <c r="G32">
        <v>190</v>
      </c>
    </row>
    <row r="33" spans="1:6" x14ac:dyDescent="0.3">
      <c r="C33" s="5"/>
      <c r="D33" s="5"/>
      <c r="E33" s="5"/>
      <c r="F33" s="5"/>
    </row>
    <row r="34" spans="1:6" x14ac:dyDescent="0.3">
      <c r="A34" t="s">
        <v>29</v>
      </c>
      <c r="B34" t="s">
        <v>30</v>
      </c>
    </row>
    <row r="35" spans="1:6" x14ac:dyDescent="0.3">
      <c r="A35" t="s">
        <v>67</v>
      </c>
      <c r="B35" s="1" t="s">
        <v>79</v>
      </c>
    </row>
    <row r="36" spans="1:6" x14ac:dyDescent="0.3">
      <c r="A36" t="s">
        <v>68</v>
      </c>
      <c r="B36" t="s">
        <v>69</v>
      </c>
    </row>
    <row r="37" spans="1:6" x14ac:dyDescent="0.3">
      <c r="A37" t="s">
        <v>70</v>
      </c>
      <c r="B37" s="1" t="s">
        <v>71</v>
      </c>
    </row>
    <row r="38" spans="1:6" x14ac:dyDescent="0.3">
      <c r="A38" t="s">
        <v>31</v>
      </c>
      <c r="B38" s="1" t="s">
        <v>81</v>
      </c>
      <c r="C38" s="1"/>
    </row>
    <row r="39" spans="1:6" x14ac:dyDescent="0.3">
      <c r="A39" t="s">
        <v>32</v>
      </c>
      <c r="B39" s="1"/>
    </row>
    <row r="40" spans="1:6" x14ac:dyDescent="0.3">
      <c r="A40" t="s">
        <v>33</v>
      </c>
    </row>
    <row r="41" spans="1:6" x14ac:dyDescent="0.3">
      <c r="A41" t="s">
        <v>34</v>
      </c>
      <c r="B41">
        <v>45</v>
      </c>
      <c r="C41" s="1"/>
    </row>
    <row r="42" spans="1:6" x14ac:dyDescent="0.3">
      <c r="A42" t="s">
        <v>35</v>
      </c>
    </row>
    <row r="43" spans="1:6" x14ac:dyDescent="0.3">
      <c r="A43" t="s">
        <v>36</v>
      </c>
    </row>
    <row r="44" spans="1:6" x14ac:dyDescent="0.3">
      <c r="A44" t="s">
        <v>37</v>
      </c>
      <c r="B44" s="1"/>
    </row>
    <row r="45" spans="1:6" x14ac:dyDescent="0.3">
      <c r="A45" t="s">
        <v>38</v>
      </c>
    </row>
    <row r="46" spans="1:6" x14ac:dyDescent="0.3">
      <c r="A46" t="s">
        <v>39</v>
      </c>
    </row>
    <row r="47" spans="1:6" x14ac:dyDescent="0.3">
      <c r="A47" t="s">
        <v>40</v>
      </c>
      <c r="B47">
        <v>142</v>
      </c>
    </row>
    <row r="48" spans="1:6" x14ac:dyDescent="0.3">
      <c r="A48" t="s">
        <v>41</v>
      </c>
      <c r="B48">
        <v>100</v>
      </c>
    </row>
    <row r="49" spans="1:3" x14ac:dyDescent="0.3">
      <c r="A49" t="s">
        <v>73</v>
      </c>
    </row>
    <row r="50" spans="1:3" x14ac:dyDescent="0.3">
      <c r="A50" t="s">
        <v>74</v>
      </c>
    </row>
    <row r="51" spans="1:3" x14ac:dyDescent="0.3">
      <c r="A51" t="s">
        <v>75</v>
      </c>
    </row>
    <row r="52" spans="1:3" x14ac:dyDescent="0.3">
      <c r="A52" t="s">
        <v>76</v>
      </c>
    </row>
    <row r="53" spans="1:3" x14ac:dyDescent="0.3">
      <c r="A53" t="s">
        <v>77</v>
      </c>
    </row>
    <row r="54" spans="1:3" x14ac:dyDescent="0.3">
      <c r="A54" t="s">
        <v>78</v>
      </c>
      <c r="B54" s="1" t="s">
        <v>81</v>
      </c>
    </row>
    <row r="55" spans="1:3" x14ac:dyDescent="0.3">
      <c r="A55" t="s">
        <v>42</v>
      </c>
      <c r="B55" s="1" t="s">
        <v>85</v>
      </c>
      <c r="C55" s="1" t="s">
        <v>86</v>
      </c>
    </row>
    <row r="56" spans="1:3" x14ac:dyDescent="0.3">
      <c r="A56" t="s">
        <v>43</v>
      </c>
    </row>
    <row r="57" spans="1:3" x14ac:dyDescent="0.3">
      <c r="A57" t="s">
        <v>44</v>
      </c>
      <c r="B57">
        <v>27.2</v>
      </c>
    </row>
    <row r="58" spans="1:3" x14ac:dyDescent="0.3">
      <c r="A58" t="s">
        <v>45</v>
      </c>
      <c r="B58" s="1" t="s">
        <v>80</v>
      </c>
    </row>
    <row r="59" spans="1:3" x14ac:dyDescent="0.3">
      <c r="A59" t="s">
        <v>46</v>
      </c>
    </row>
    <row r="60" spans="1:3" x14ac:dyDescent="0.3">
      <c r="A60" t="s">
        <v>47</v>
      </c>
    </row>
    <row r="61" spans="1:3" x14ac:dyDescent="0.3">
      <c r="A61" t="s">
        <v>48</v>
      </c>
    </row>
    <row r="62" spans="1:3" x14ac:dyDescent="0.3">
      <c r="A62" t="s">
        <v>49</v>
      </c>
    </row>
    <row r="63" spans="1:3" x14ac:dyDescent="0.3">
      <c r="A63" t="s">
        <v>50</v>
      </c>
    </row>
    <row r="64" spans="1:3" x14ac:dyDescent="0.3">
      <c r="A64" t="s">
        <v>51</v>
      </c>
      <c r="B64" s="1"/>
    </row>
    <row r="65" spans="1:3" x14ac:dyDescent="0.3">
      <c r="A65" t="s">
        <v>52</v>
      </c>
      <c r="B65" s="1"/>
    </row>
    <row r="66" spans="1:3" x14ac:dyDescent="0.3">
      <c r="A66" t="s">
        <v>53</v>
      </c>
      <c r="B66" s="1"/>
    </row>
    <row r="67" spans="1:3" x14ac:dyDescent="0.3">
      <c r="A67" t="s">
        <v>54</v>
      </c>
    </row>
    <row r="68" spans="1:3" x14ac:dyDescent="0.3">
      <c r="A68" t="s">
        <v>55</v>
      </c>
      <c r="B68">
        <v>2</v>
      </c>
    </row>
    <row r="69" spans="1:3" x14ac:dyDescent="0.3">
      <c r="A69" t="s">
        <v>56</v>
      </c>
      <c r="B69">
        <v>1</v>
      </c>
      <c r="C69" s="1"/>
    </row>
    <row r="70" spans="1:3" x14ac:dyDescent="0.3">
      <c r="A70" t="s">
        <v>57</v>
      </c>
      <c r="B70" s="1">
        <v>1</v>
      </c>
      <c r="C70" s="1"/>
    </row>
    <row r="71" spans="1:3" x14ac:dyDescent="0.3">
      <c r="A71" t="s">
        <v>58</v>
      </c>
      <c r="B71" s="1"/>
    </row>
    <row r="72" spans="1:3" x14ac:dyDescent="0.3">
      <c r="A72" t="s">
        <v>59</v>
      </c>
      <c r="B72" s="1" t="s">
        <v>80</v>
      </c>
    </row>
    <row r="73" spans="1:3" x14ac:dyDescent="0.3">
      <c r="A73" t="s">
        <v>60</v>
      </c>
      <c r="B73" s="1"/>
    </row>
    <row r="74" spans="1:3" x14ac:dyDescent="0.3">
      <c r="A74" t="s">
        <v>61</v>
      </c>
      <c r="B74" s="1"/>
    </row>
    <row r="75" spans="1:3" x14ac:dyDescent="0.3">
      <c r="A75" t="s">
        <v>62</v>
      </c>
      <c r="B75">
        <v>2234</v>
      </c>
    </row>
    <row r="76" spans="1:3" x14ac:dyDescent="0.3">
      <c r="A76" t="s">
        <v>63</v>
      </c>
      <c r="B76">
        <v>3351</v>
      </c>
    </row>
    <row r="77" spans="1:3" x14ac:dyDescent="0.3">
      <c r="A77" t="s">
        <v>64</v>
      </c>
      <c r="B77" s="1"/>
    </row>
    <row r="78" spans="1:3" x14ac:dyDescent="0.3">
      <c r="A78" t="s">
        <v>65</v>
      </c>
      <c r="B78" s="1" t="s">
        <v>88</v>
      </c>
    </row>
    <row r="79" spans="1:3" x14ac:dyDescent="0.3">
      <c r="A79" t="s">
        <v>72</v>
      </c>
      <c r="B79" s="1" t="s">
        <v>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2025-11-11T12:57:11Z</dcterms:modified>
</cp:coreProperties>
</file>