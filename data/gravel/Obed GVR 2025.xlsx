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3C28F5B-A559-B745-A777-936F562D1B74}" xr6:coauthVersionLast="47" xr6:coauthVersionMax="47" xr10:uidLastSave="{00000000-0000-0000-0000-000000000000}"/>
  <bookViews>
    <workbookView xWindow="196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G9" i="1"/>
  <c r="F9" i="1"/>
  <c r="D9" i="1"/>
  <c r="E9" i="1"/>
  <c r="C9" i="1"/>
</calcChain>
</file>

<file path=xl/sharedStrings.xml><?xml version="1.0" encoding="utf-8"?>
<sst xmlns="http://schemas.openxmlformats.org/spreadsheetml/2006/main" count="120" uniqueCount="116">
  <si>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</si>
  <si>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</si>
  <si>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</si>
  <si>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</si>
  <si>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</si>
  <si>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</si>
  <si>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</si>
  <si>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</si>
  <si>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</si>
  <si>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</si>
  <si>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</si>
  <si>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</si>
  <si>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</si>
  <si>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</si>
  <si>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</si>
  <si>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</si>
  <si>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</si>
  <si>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</si>
  <si>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</si>
  <si>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</si>
  <si>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</si>
  <si>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</si>
  <si>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</si>
  <si>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</si>
  <si>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</si>
  <si>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</si>
  <si>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</si>
  <si>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</si>
  <si>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</si>
  <si>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</si>
  <si>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</si>
  <si>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</si>
  <si>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</si>
  <si>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</si>
  <si>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</si>
  <si>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</si>
  <si>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</si>
  <si>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</si>
  <si>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</si>
  <si>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</si>
  <si>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</si>
  <si>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</si>
  <si>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</si>
  <si>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</si>
  <si>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</si>
  <si>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</si>
  <si>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</si>
  <si>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</si>
  <si>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</si>
  <si>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</si>
  <si>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</si>
  <si>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</si>
  <si>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</si>
  <si>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</si>
  <si>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</si>
  <si>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</si>
  <si>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</si>
  <si>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</si>
  <si>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</si>
  <si>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</si>
  <si>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</si>
  <si>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</si>
  <si>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</si>
  <si>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</si>
  <si>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</si>
  <si>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</si>
  <si>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</si>
  <si>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</si>
  <si>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</si>
  <si>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</si>
  <si>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</si>
  <si>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</si>
  <si>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</si>
  <si>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</si>
  <si>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</si>
  <si>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</si>
  <si>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</si>
  <si>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</si>
  <si>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</si>
  <si>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</si>
  <si>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</si>
  <si>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</si>
  <si>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</si>
  <si>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</si>
  <si>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</si>
  <si>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</si>
  <si>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</si>
  <si>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</si>
  <si>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</si>
  <si>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</si>
  <si>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</si>
  <si>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</si>
  <si>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</si>
  <si>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GVR</t>
  </si>
  <si>
    <t>https://obedbikes.com/collections/gvr</t>
  </si>
  <si>
    <t>USD</t>
  </si>
  <si>
    <t>XL</t>
  </si>
  <si>
    <t>Top Tube Length</t>
  </si>
  <si>
    <t>51.8cm</t>
  </si>
  <si>
    <t>52.7cm</t>
  </si>
  <si>
    <t>54.4cm</t>
  </si>
  <si>
    <t>56cm</t>
  </si>
  <si>
    <t>58cm</t>
  </si>
  <si>
    <t>74.5cm</t>
  </si>
  <si>
    <t>76.9cm</t>
  </si>
  <si>
    <t>80.7cm</t>
  </si>
  <si>
    <t>83.7cm</t>
  </si>
  <si>
    <t>86.3cm</t>
  </si>
  <si>
    <t>Fork axle to crown</t>
  </si>
  <si>
    <t>Fork rake</t>
  </si>
  <si>
    <t>a8:g32</t>
  </si>
  <si>
    <t>threaded 68</t>
  </si>
  <si>
    <t>optional</t>
  </si>
  <si>
    <t>https://obedbikes.com/cdn/shop/files/feature-GVR-grx-825.png?v=1722522811&amp;width=900</t>
  </si>
  <si>
    <t>location</t>
  </si>
  <si>
    <t>Chattanooga, Tennessee,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</si>
</sst>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48" workbookViewId="0">
      <selection activeCell="A73" sqref="A73:B73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93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94</v>
      </c>
    </row>
    <row r="6" spans="1:12">
      <c r="B6" t="s">
        <v>113</v>
      </c>
    </row>
    <row r="7" spans="1:12">
      <c r="A7" t="s">
        <v>5</v>
      </c>
      <c r="B7" s="1" t="s">
        <v>110</v>
      </c>
    </row>
    <row r="8" spans="1:12" ht="21">
      <c r="A8" t="s">
        <v>6</v>
      </c>
      <c r="C8" s="1" t="s">
        <v>71</v>
      </c>
      <c r="D8" s="2" t="s">
        <v>72</v>
      </c>
      <c r="E8" s="2" t="s">
        <v>73</v>
      </c>
      <c r="F8" s="2" t="s">
        <v>74</v>
      </c>
      <c r="G8" t="s">
        <v>96</v>
      </c>
    </row>
    <row r="9" spans="1:12" ht="21">
      <c r="A9" t="s">
        <v>9</v>
      </c>
      <c r="B9" s="3" t="s">
        <v>97</v>
      </c>
      <c r="C9">
        <f>VALUE(LEFT(H9,4))*10</f>
        <v>518</v>
      </c>
      <c r="D9">
        <f t="shared" ref="D9:E9" si="0">VALUE(LEFT(I9,4))*10</f>
        <v>527</v>
      </c>
      <c r="E9">
        <f t="shared" si="0"/>
        <v>544</v>
      </c>
      <c r="F9">
        <f>VALUE(LEFT(K9,2))*10</f>
        <v>560</v>
      </c>
      <c r="G9">
        <f>VALUE(LEFT(L9,2))*10</f>
        <v>580</v>
      </c>
      <c r="H9" s="3" t="s">
        <v>98</v>
      </c>
      <c r="I9" s="3" t="s">
        <v>99</v>
      </c>
      <c r="J9" s="3" t="s">
        <v>100</v>
      </c>
      <c r="K9" t="s">
        <v>101</v>
      </c>
      <c r="L9" t="s">
        <v>102</v>
      </c>
    </row>
    <row r="10" spans="1:12" ht="21">
      <c r="A10" t="s">
        <v>10</v>
      </c>
      <c r="B10" s="3" t="s">
        <v>78</v>
      </c>
      <c r="C10" s="3">
        <v>115</v>
      </c>
      <c r="D10" s="3">
        <v>128</v>
      </c>
      <c r="E10" s="3">
        <v>146</v>
      </c>
      <c r="F10">
        <v>170</v>
      </c>
      <c r="G10">
        <v>192</v>
      </c>
    </row>
    <row r="11" spans="1:12" ht="21">
      <c r="A11" t="s">
        <v>8</v>
      </c>
      <c r="B11" s="3" t="s">
        <v>81</v>
      </c>
      <c r="C11" s="3">
        <v>74.5</v>
      </c>
      <c r="D11" s="3">
        <v>74.5</v>
      </c>
      <c r="E11" s="3">
        <v>74</v>
      </c>
      <c r="F11" s="3">
        <v>73.5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70.5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72</v>
      </c>
      <c r="D13" s="3">
        <v>72</v>
      </c>
      <c r="E13" s="3">
        <v>71</v>
      </c>
      <c r="F13">
        <v>68</v>
      </c>
      <c r="G13">
        <v>67</v>
      </c>
    </row>
    <row r="14" spans="1:12" ht="21">
      <c r="A14" t="s">
        <v>15</v>
      </c>
      <c r="B14" s="3" t="s">
        <v>82</v>
      </c>
      <c r="C14" s="3">
        <v>425</v>
      </c>
      <c r="D14" s="3">
        <v>425</v>
      </c>
      <c r="E14" s="3">
        <v>425</v>
      </c>
      <c r="F14">
        <v>425</v>
      </c>
      <c r="G14">
        <v>425</v>
      </c>
    </row>
    <row r="15" spans="1:12" ht="21">
      <c r="A15" t="s">
        <v>14</v>
      </c>
      <c r="B15" s="3" t="s">
        <v>69</v>
      </c>
      <c r="C15" s="3">
        <v>1010</v>
      </c>
      <c r="D15" s="3">
        <v>1016</v>
      </c>
      <c r="E15" s="3">
        <v>1014</v>
      </c>
      <c r="F15">
        <v>1026</v>
      </c>
      <c r="G15">
        <v>1043</v>
      </c>
    </row>
    <row r="16" spans="1:12">
      <c r="A16" s="1" t="s">
        <v>67</v>
      </c>
      <c r="B16" t="s">
        <v>84</v>
      </c>
      <c r="C16">
        <v>596</v>
      </c>
      <c r="D16">
        <v>601</v>
      </c>
      <c r="E16">
        <v>600</v>
      </c>
      <c r="F16">
        <v>611</v>
      </c>
      <c r="G16">
        <v>628</v>
      </c>
    </row>
    <row r="17" spans="1:12">
      <c r="A17" t="s">
        <v>19</v>
      </c>
      <c r="B17" t="s">
        <v>85</v>
      </c>
      <c r="C17">
        <f>VALUE(LEFT(H17,4))*10</f>
        <v>745</v>
      </c>
      <c r="D17">
        <f t="shared" ref="D17:G17" si="1">VALUE(LEFT(I17,4))*10</f>
        <v>769</v>
      </c>
      <c r="E17">
        <f t="shared" si="1"/>
        <v>807</v>
      </c>
      <c r="F17">
        <f t="shared" si="1"/>
        <v>837</v>
      </c>
      <c r="G17">
        <f t="shared" si="1"/>
        <v>863</v>
      </c>
      <c r="H17" t="s">
        <v>103</v>
      </c>
      <c r="I17" t="s">
        <v>104</v>
      </c>
      <c r="J17" t="s">
        <v>105</v>
      </c>
      <c r="K17" t="s">
        <v>106</v>
      </c>
      <c r="L17" t="s">
        <v>107</v>
      </c>
    </row>
    <row r="18" spans="1:12">
      <c r="A18" t="s">
        <v>24</v>
      </c>
      <c r="B18" t="s">
        <v>108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109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460</v>
      </c>
      <c r="D20">
        <v>490</v>
      </c>
      <c r="E20">
        <v>520</v>
      </c>
      <c r="F20">
        <v>550</v>
      </c>
      <c r="G20">
        <v>580</v>
      </c>
    </row>
    <row r="21" spans="1:12">
      <c r="A21" t="s">
        <v>18</v>
      </c>
      <c r="B21" t="s">
        <v>77</v>
      </c>
      <c r="C21">
        <v>370</v>
      </c>
      <c r="D21">
        <v>375</v>
      </c>
      <c r="E21">
        <v>380</v>
      </c>
      <c r="F21">
        <v>385</v>
      </c>
      <c r="G21" s="1">
        <v>395</v>
      </c>
    </row>
    <row r="22" spans="1:12">
      <c r="A22" t="s">
        <v>17</v>
      </c>
      <c r="B22" t="s">
        <v>76</v>
      </c>
      <c r="C22">
        <v>534</v>
      </c>
      <c r="D22">
        <v>548</v>
      </c>
      <c r="E22">
        <v>570</v>
      </c>
      <c r="F22">
        <v>590</v>
      </c>
      <c r="G22" s="1">
        <v>610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12">
      <c r="A30" t="s">
        <v>26</v>
      </c>
      <c r="C30">
        <v>49</v>
      </c>
      <c r="D30">
        <v>49</v>
      </c>
      <c r="E30">
        <v>49</v>
      </c>
      <c r="F30">
        <v>49</v>
      </c>
      <c r="G30">
        <v>49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/>
    </row>
    <row r="40" spans="1:6">
      <c r="A40" t="s">
        <v>34</v>
      </c>
    </row>
    <row r="41" spans="1:6">
      <c r="A41" t="s">
        <v>35</v>
      </c>
      <c r="B41">
        <v>49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111</v>
      </c>
    </row>
    <row r="50" spans="1:2">
      <c r="A50" t="s">
        <v>44</v>
      </c>
    </row>
    <row r="51" spans="1:2">
      <c r="A51" t="s">
        <v>45</v>
      </c>
      <c r="B51">
        <v>31.6</v>
      </c>
    </row>
    <row r="52" spans="1:2">
      <c r="A52" t="s">
        <v>46</v>
      </c>
      <c r="B52" s="1" t="s">
        <v>68</v>
      </c>
    </row>
    <row r="53" spans="1:2">
      <c r="A53" t="s">
        <v>47</v>
      </c>
      <c r="B53">
        <v>46</v>
      </c>
    </row>
    <row r="54" spans="1:2">
      <c r="A54" t="s">
        <v>48</v>
      </c>
      <c r="B54" s="1">
        <v>50</v>
      </c>
    </row>
    <row r="55" spans="1:2">
      <c r="A55" t="s">
        <v>49</v>
      </c>
      <c r="B55" s="1">
        <v>160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 t="s">
        <v>112</v>
      </c>
    </row>
    <row r="65" spans="1:2">
      <c r="A65" t="s">
        <v>59</v>
      </c>
      <c r="B65" s="1"/>
    </row>
    <row r="66" spans="1:2">
      <c r="A66" t="s">
        <v>60</v>
      </c>
      <c r="B66" s="1" t="s">
        <v>112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112</v>
      </c>
    </row>
    <row r="69" spans="1:2">
      <c r="A69" t="s">
        <v>63</v>
      </c>
    </row>
    <row r="70" spans="1:2">
      <c r="A70" t="s">
        <v>64</v>
      </c>
      <c r="B70">
        <v>3799</v>
      </c>
    </row>
    <row r="71" spans="1:2">
      <c r="A71" t="s">
        <v>65</v>
      </c>
      <c r="B71" s="1"/>
    </row>
    <row r="72" spans="1:2">
      <c r="A72" t="s">
        <v>66</v>
      </c>
      <c r="B72" s="1" t="s">
        <v>95</v>
      </c>
    </row>
    <row r="73" spans="1:2">
      <c r="A73" t="s">
        <v>114</v>
      </c>
      <c r="B73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2025-10-17T22:05:45Z</dcterms:modified>
</cp:coreProperties>
</file>