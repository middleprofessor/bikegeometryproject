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80FBB64-6083-6B42-9185-5CBC9EB2EAC6}" xr6:coauthVersionLast="47" xr6:coauthVersionMax="47" xr10:uidLastSave="{00000000-0000-0000-0000-000000000000}"/>
  <bookViews>
    <workbookView xWindow="34960" yWindow="-2084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1" l="1"/>
  <c r="G31" i="1"/>
  <c r="F31" i="1"/>
  <c r="E31" i="1"/>
  <c r="D31" i="1"/>
  <c r="C31" i="1"/>
  <c r="G30" i="1"/>
  <c r="H30" i="1"/>
  <c r="F30" i="1"/>
  <c r="E30" i="1"/>
  <c r="D30" i="1"/>
  <c r="C30" i="1"/>
  <c r="D20" i="1"/>
  <c r="E20" i="1"/>
  <c r="F20" i="1"/>
  <c r="G20" i="1"/>
  <c r="H20" i="1"/>
  <c r="C20" i="1"/>
</calcChain>
</file>

<file path=xl/sharedStrings.xml><?xml version="1.0" encoding="utf-8"?>
<sst xmlns="http://schemas.openxmlformats.org/spreadsheetml/2006/main" count="142" uniqueCount="136">
  <si>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</si>
  <si>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</si>
  <si>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</si>
  <si>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</si>
  <si>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</si>
  <si>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</si>
  <si>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</si>
  <si>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</si>
  <si>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</si>
  <si>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chainstay_length</t>
  </si>
  <si>
    <t>head_tube_angle</t>
  </si>
  <si>
    <t>seat_tube_angle</t>
  </si>
  <si>
    <t>bottom_bracket_drop</t>
  </si>
  <si>
    <t>head_tube_length</t>
  </si>
  <si>
    <t>reach</t>
  </si>
  <si>
    <t>stack</t>
  </si>
  <si>
    <t>wheelbase</t>
  </si>
  <si>
    <t>fork_offset_rake</t>
  </si>
  <si>
    <t>axle_crown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</si>
  <si>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</si>
  <si>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</si>
  <si>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</si>
  <si>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</si>
  <si>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</si>
  <si>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</si>
  <si>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</si>
  <si>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</si>
  <si>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</si>
  <si>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</si>
  <si>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</si>
  <si>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</si>
  <si>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</si>
  <si>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</si>
  <si>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</si>
  <si>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</si>
  <si>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</si>
  <si>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</si>
  <si>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</si>
  <si>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</si>
  <si>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</si>
  <si>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</si>
  <si>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</si>
  <si>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</si>
  <si>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</si>
  <si>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</si>
  <si>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</si>
  <si>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</si>
  <si>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</si>
  <si>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</si>
  <si>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</si>
  <si>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</si>
  <si>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</si>
  <si>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</si>
  <si>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</si>
  <si>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</si>
  <si>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</si>
  <si>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</si>
  <si>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</si>
  <si>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</si>
  <si>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</si>
  <si>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</si>
  <si>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</si>
  <si>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</si>
  <si>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</si>
  <si>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</si>
  <si>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</si>
  <si>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</si>
  <si>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</si>
  <si>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</si>
  <si>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yes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</si>
  <si>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</si>
  <si>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</si>
  <si>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</si>
  <si>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</si>
  <si>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</si>
  <si>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</si>
  <si>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</si>
  <si>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gravel</t>
  </si>
  <si>
    <t>drop bar</t>
  </si>
  <si>
    <t>Simpatico</t>
  </si>
  <si>
    <t>SIZE</t>
  </si>
  <si>
    <t>Reach</t>
  </si>
  <si>
    <t>Stack</t>
  </si>
  <si>
    <t>Top Tube (effective)</t>
  </si>
  <si>
    <t>Seat Tube C-T</t>
  </si>
  <si>
    <t>Head Angle</t>
  </si>
  <si>
    <t>Seat Angle</t>
  </si>
  <si>
    <t>Head Tube</t>
  </si>
  <si>
    <t>Chainstay</t>
  </si>
  <si>
    <t>Front Centre</t>
  </si>
  <si>
    <t>BB Drop</t>
  </si>
  <si>
    <t>Fork Rake / Offset</t>
  </si>
  <si>
    <t>Fork Length (A2C)</t>
  </si>
  <si>
    <t>Wheel Size</t>
  </si>
  <si>
    <t>Tyre Max Width</t>
  </si>
  <si>
    <t>Seatpost Length</t>
  </si>
  <si>
    <t>Handlebar Width</t>
  </si>
  <si>
    <t>front_center</t>
  </si>
  <si>
    <t>trail</t>
  </si>
  <si>
    <t>seatpost_length</t>
  </si>
  <si>
    <t>titanium</t>
  </si>
  <si>
    <t>t47</t>
  </si>
  <si>
    <t>AUD</t>
  </si>
  <si>
    <t>Melbourne, Australia</t>
  </si>
  <si>
    <t xml:space="preserve"> </t>
  </si>
  <si>
    <t>Wheelbase</t>
  </si>
  <si>
    <t>635-720</t>
  </si>
  <si>
    <t>670-750</t>
  </si>
  <si>
    <t>720-800</t>
  </si>
  <si>
    <t>740-820</t>
  </si>
  <si>
    <t>60-80</t>
  </si>
  <si>
    <t>90-110</t>
  </si>
  <si>
    <t>saddle_height</t>
  </si>
  <si>
    <t>rigid</t>
  </si>
  <si>
    <t>N1 Gravel</t>
  </si>
  <si>
    <t>https://simpaticobikes.com/product/simpatico-n1-gravel-bike/</t>
  </si>
  <si>
    <t>https://simpaticobikes.com/wp-content/uploads/2024/02/9A6A6AE5-15AF-40F2-AF8E-191DFB75898E.jpeg</t>
  </si>
  <si>
    <t>Standover with 44mm tyres</t>
  </si>
  <si>
    <t>Recommended seat height</t>
  </si>
  <si>
    <t>695-785</t>
  </si>
  <si>
    <t>800-865</t>
  </si>
  <si>
    <t>BB Height</t>
  </si>
  <si>
    <t>Trail with 44mm tyre</t>
  </si>
  <si>
    <t>Recommended Stem Length</t>
  </si>
  <si>
    <t>60-90</t>
  </si>
  <si>
    <t>70-100</t>
  </si>
  <si>
    <t>90-120</t>
  </si>
  <si>
    <t>Recommended Crank Length</t>
  </si>
  <si>
    <t>155-165</t>
  </si>
  <si>
    <t>160-170</t>
  </si>
  <si>
    <t>165-172.5</t>
  </si>
  <si>
    <t>bb_height</t>
  </si>
  <si>
    <t>45 2x</t>
  </si>
  <si>
    <t>threaded</t>
  </si>
  <si>
    <t>carbon</t>
  </si>
  <si>
    <t>a8:h35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</si>
</sst>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4"/>
      <color rgb="FF000000"/>
      <name val="Futura"/>
    </font>
    <font>
      <sz val="14"/>
      <color rgb="FF000000"/>
      <name val="Futura"/>
      <family val="2"/>
    </font>
    <font>
      <sz val="16"/>
      <color rgb="FF323232"/>
      <name val="Arial"/>
      <family val="2"/>
    </font>
    <font>
      <b/>
      <sz val="16"/>
      <color rgb="FF00A9E0"/>
      <name val="Arial"/>
      <family val="2"/>
    </font>
    <font>
      <sz val="14"/>
      <color rgb="FF000000"/>
      <name val="Futura Medium"/>
    </font>
    <font>
      <sz val="14"/>
      <color rgb="FF323232"/>
      <name val="Futura Medium"/>
    </font>
    <font>
      <b/>
      <sz val="14"/>
      <color rgb="FF000000"/>
      <name val="Arial"/>
      <family val="2"/>
    </font>
    <font>
      <b/>
      <sz val="14"/>
      <color rgb="FF00A9E0"/>
      <name val="Arial"/>
      <family val="2"/>
    </font>
    <font>
      <sz val="14"/>
      <color rgb="FF0A0A0A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Fill="1"/>
    <xf numFmtId="0" fontId="4" fillId="0" borderId="0" xfId="0" applyFont="1" applyFill="1"/>
    <xf numFmtId="0" fontId="7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"/>
  <sheetViews>
    <sheetView tabSelected="1" workbookViewId="0">
      <selection activeCell="B8" sqref="B8"/>
    </sheetView>
  </sheetViews>
  <sheetFormatPr baseColWidth="10" defaultRowHeight="20" x14ac:dyDescent="0.3"/>
  <cols>
    <col min="1" max="2" width="19.6640625" customWidth="1"/>
  </cols>
  <sheetData>
    <row r="1" spans="1:13" x14ac:dyDescent="0.3">
      <c r="A1" t="s">
        <v>0</v>
      </c>
      <c r="B1" s="1" t="s">
        <v>79</v>
      </c>
    </row>
    <row r="2" spans="1:13" x14ac:dyDescent="0.3">
      <c r="A2" t="s">
        <v>1</v>
      </c>
      <c r="B2" s="1" t="s">
        <v>114</v>
      </c>
    </row>
    <row r="3" spans="1:13" x14ac:dyDescent="0.3">
      <c r="A3" t="s">
        <v>2</v>
      </c>
      <c r="B3">
        <v>2025</v>
      </c>
    </row>
    <row r="4" spans="1:13" x14ac:dyDescent="0.3">
      <c r="A4" t="s">
        <v>3</v>
      </c>
      <c r="B4" s="2">
        <v>45975</v>
      </c>
    </row>
    <row r="5" spans="1:13" x14ac:dyDescent="0.3">
      <c r="A5" t="s">
        <v>4</v>
      </c>
      <c r="B5" t="s">
        <v>115</v>
      </c>
    </row>
    <row r="6" spans="1:13" x14ac:dyDescent="0.3">
      <c r="B6" t="s">
        <v>116</v>
      </c>
    </row>
    <row r="7" spans="1:13" ht="22" x14ac:dyDescent="0.3">
      <c r="A7" t="s">
        <v>5</v>
      </c>
      <c r="B7" s="1" t="s">
        <v>135</v>
      </c>
      <c r="L7" s="4"/>
    </row>
    <row r="8" spans="1:13" x14ac:dyDescent="0.3">
      <c r="A8" t="s">
        <v>6</v>
      </c>
      <c r="B8" s="1" t="s">
        <v>80</v>
      </c>
      <c r="C8" s="5">
        <v>48</v>
      </c>
      <c r="D8" s="5">
        <v>51</v>
      </c>
      <c r="E8" s="5">
        <v>54</v>
      </c>
      <c r="F8" s="5">
        <v>56</v>
      </c>
      <c r="G8" s="5">
        <v>58</v>
      </c>
      <c r="H8" s="5">
        <v>61</v>
      </c>
      <c r="I8" t="s">
        <v>104</v>
      </c>
      <c r="J8" t="s">
        <v>104</v>
      </c>
      <c r="K8" t="s">
        <v>104</v>
      </c>
      <c r="L8" s="7" t="s">
        <v>104</v>
      </c>
      <c r="M8" t="s">
        <v>104</v>
      </c>
    </row>
    <row r="9" spans="1:13" ht="22" x14ac:dyDescent="0.3">
      <c r="A9" t="s">
        <v>14</v>
      </c>
      <c r="B9" s="5" t="s">
        <v>81</v>
      </c>
      <c r="C9">
        <v>375</v>
      </c>
      <c r="D9">
        <v>382</v>
      </c>
      <c r="E9">
        <v>388</v>
      </c>
      <c r="F9">
        <v>397</v>
      </c>
      <c r="G9">
        <v>405</v>
      </c>
      <c r="H9">
        <v>415</v>
      </c>
      <c r="J9" s="3"/>
      <c r="K9" s="8"/>
    </row>
    <row r="10" spans="1:13" x14ac:dyDescent="0.3">
      <c r="A10" t="s">
        <v>15</v>
      </c>
      <c r="B10" s="5" t="s">
        <v>82</v>
      </c>
      <c r="C10">
        <v>530</v>
      </c>
      <c r="D10">
        <v>547</v>
      </c>
      <c r="E10">
        <v>560</v>
      </c>
      <c r="F10">
        <v>579</v>
      </c>
      <c r="G10">
        <v>600</v>
      </c>
      <c r="H10">
        <v>625</v>
      </c>
      <c r="K10" s="8"/>
    </row>
    <row r="11" spans="1:13" x14ac:dyDescent="0.3">
      <c r="A11" t="s">
        <v>8</v>
      </c>
      <c r="B11" s="5" t="s">
        <v>83</v>
      </c>
      <c r="C11">
        <v>512</v>
      </c>
      <c r="D11">
        <v>539</v>
      </c>
      <c r="E11">
        <v>549</v>
      </c>
      <c r="F11">
        <v>568</v>
      </c>
      <c r="G11">
        <v>570</v>
      </c>
      <c r="H11">
        <v>600</v>
      </c>
      <c r="K11" s="8"/>
    </row>
    <row r="12" spans="1:13" s="10" customFormat="1" x14ac:dyDescent="0.3">
      <c r="A12" s="10" t="s">
        <v>7</v>
      </c>
      <c r="B12" s="11" t="s">
        <v>84</v>
      </c>
      <c r="C12" s="10">
        <v>466</v>
      </c>
      <c r="D12" s="10">
        <v>496</v>
      </c>
      <c r="E12" s="10">
        <v>521</v>
      </c>
      <c r="F12" s="10">
        <v>546</v>
      </c>
      <c r="G12" s="10">
        <v>566</v>
      </c>
      <c r="H12" s="10">
        <v>586</v>
      </c>
      <c r="K12" s="12"/>
    </row>
    <row r="13" spans="1:13" s="10" customFormat="1" x14ac:dyDescent="0.3">
      <c r="A13" s="10" t="s">
        <v>10</v>
      </c>
      <c r="B13" s="11" t="s">
        <v>85</v>
      </c>
      <c r="C13" s="10">
        <v>70.900000000000006</v>
      </c>
      <c r="D13" s="10">
        <v>71.2</v>
      </c>
      <c r="E13" s="10">
        <v>71.5</v>
      </c>
      <c r="F13" s="10">
        <v>71.8</v>
      </c>
      <c r="G13" s="10">
        <v>71.8</v>
      </c>
      <c r="H13" s="10">
        <v>72</v>
      </c>
      <c r="K13" s="12"/>
    </row>
    <row r="14" spans="1:13" s="10" customFormat="1" x14ac:dyDescent="0.3">
      <c r="A14" s="10" t="s">
        <v>11</v>
      </c>
      <c r="B14" s="11" t="s">
        <v>86</v>
      </c>
      <c r="C14" s="10">
        <v>75.900000000000006</v>
      </c>
      <c r="D14" s="10">
        <v>74</v>
      </c>
      <c r="E14" s="10">
        <v>74</v>
      </c>
      <c r="F14" s="10">
        <v>73.5</v>
      </c>
      <c r="G14" s="10">
        <v>73.5</v>
      </c>
      <c r="H14" s="10">
        <v>73.5</v>
      </c>
      <c r="K14" s="12"/>
    </row>
    <row r="15" spans="1:13" s="10" customFormat="1" x14ac:dyDescent="0.3">
      <c r="A15" s="10" t="s">
        <v>13</v>
      </c>
      <c r="B15" s="11" t="s">
        <v>87</v>
      </c>
      <c r="C15" s="10">
        <v>100</v>
      </c>
      <c r="D15" s="10">
        <v>115</v>
      </c>
      <c r="E15" s="10">
        <v>130</v>
      </c>
      <c r="F15" s="10">
        <v>148</v>
      </c>
      <c r="G15" s="10">
        <v>165</v>
      </c>
      <c r="H15" s="10">
        <v>176</v>
      </c>
      <c r="K15" s="12"/>
    </row>
    <row r="16" spans="1:13" x14ac:dyDescent="0.3">
      <c r="A16" t="s">
        <v>9</v>
      </c>
      <c r="B16" s="5" t="s">
        <v>88</v>
      </c>
      <c r="C16">
        <v>425</v>
      </c>
      <c r="D16">
        <v>425</v>
      </c>
      <c r="E16">
        <v>425</v>
      </c>
      <c r="F16">
        <v>425</v>
      </c>
      <c r="G16">
        <v>430</v>
      </c>
      <c r="H16">
        <v>430</v>
      </c>
      <c r="K16" s="8"/>
    </row>
    <row r="17" spans="1:14" x14ac:dyDescent="0.3">
      <c r="A17" t="s">
        <v>16</v>
      </c>
      <c r="B17" s="5" t="s">
        <v>105</v>
      </c>
      <c r="C17">
        <v>1008</v>
      </c>
      <c r="D17">
        <v>1014</v>
      </c>
      <c r="E17">
        <v>1023</v>
      </c>
      <c r="F17">
        <v>1036</v>
      </c>
      <c r="G17">
        <v>1052</v>
      </c>
      <c r="H17">
        <v>1070</v>
      </c>
      <c r="K17" s="8"/>
    </row>
    <row r="18" spans="1:14" x14ac:dyDescent="0.3">
      <c r="A18" s="1" t="s">
        <v>97</v>
      </c>
      <c r="B18" s="5" t="s">
        <v>89</v>
      </c>
      <c r="C18">
        <v>598</v>
      </c>
      <c r="D18">
        <v>600</v>
      </c>
      <c r="E18">
        <v>608</v>
      </c>
      <c r="F18">
        <v>621</v>
      </c>
      <c r="G18">
        <v>634</v>
      </c>
      <c r="H18">
        <v>652</v>
      </c>
      <c r="K18" s="8"/>
    </row>
    <row r="19" spans="1:14" x14ac:dyDescent="0.3">
      <c r="A19" t="s">
        <v>19</v>
      </c>
      <c r="B19" t="s">
        <v>117</v>
      </c>
      <c r="C19">
        <v>749</v>
      </c>
      <c r="D19">
        <v>772</v>
      </c>
      <c r="E19">
        <v>794</v>
      </c>
      <c r="F19">
        <v>816</v>
      </c>
      <c r="G19">
        <v>832</v>
      </c>
      <c r="H19">
        <v>854</v>
      </c>
      <c r="J19" s="6"/>
      <c r="K19" s="8"/>
    </row>
    <row r="20" spans="1:14" x14ac:dyDescent="0.3">
      <c r="A20" s="1" t="s">
        <v>112</v>
      </c>
      <c r="B20" t="s">
        <v>118</v>
      </c>
      <c r="C20">
        <f>AVERAGE(VALUE(LEFT(I20,3)), VALUE(RIGHT(I20,3)))</f>
        <v>677.5</v>
      </c>
      <c r="D20">
        <f t="shared" ref="D20:H20" si="0">AVERAGE(VALUE(LEFT(J20,3)), VALUE(RIGHT(J20,3)))</f>
        <v>710</v>
      </c>
      <c r="E20">
        <f t="shared" si="0"/>
        <v>740</v>
      </c>
      <c r="F20">
        <f t="shared" si="0"/>
        <v>760</v>
      </c>
      <c r="G20">
        <f t="shared" si="0"/>
        <v>780</v>
      </c>
      <c r="H20">
        <f t="shared" si="0"/>
        <v>832.5</v>
      </c>
      <c r="I20" t="s">
        <v>106</v>
      </c>
      <c r="J20" t="s">
        <v>107</v>
      </c>
      <c r="K20" t="s">
        <v>119</v>
      </c>
      <c r="L20" t="s">
        <v>108</v>
      </c>
      <c r="M20" t="s">
        <v>109</v>
      </c>
      <c r="N20" t="s">
        <v>120</v>
      </c>
    </row>
    <row r="21" spans="1:14" ht="21" customHeight="1" x14ac:dyDescent="0.3">
      <c r="A21" t="s">
        <v>12</v>
      </c>
      <c r="B21" t="s">
        <v>90</v>
      </c>
      <c r="C21" s="5">
        <v>77</v>
      </c>
      <c r="D21" s="5">
        <v>74</v>
      </c>
      <c r="E21" s="5">
        <v>72</v>
      </c>
      <c r="F21" s="5">
        <v>72</v>
      </c>
      <c r="G21" s="5">
        <v>78</v>
      </c>
      <c r="H21">
        <v>78</v>
      </c>
      <c r="K21" s="8"/>
    </row>
    <row r="22" spans="1:14" ht="21" customHeight="1" x14ac:dyDescent="0.3">
      <c r="A22" s="1" t="s">
        <v>131</v>
      </c>
      <c r="B22" s="1" t="s">
        <v>121</v>
      </c>
      <c r="C22" s="6">
        <v>284</v>
      </c>
      <c r="D22" s="6">
        <v>284</v>
      </c>
      <c r="E22" s="6">
        <v>286</v>
      </c>
      <c r="F22" s="6">
        <v>286</v>
      </c>
      <c r="G22" s="6">
        <v>281</v>
      </c>
      <c r="H22">
        <v>278</v>
      </c>
      <c r="K22" s="8"/>
    </row>
    <row r="23" spans="1:14" x14ac:dyDescent="0.3">
      <c r="A23" t="s">
        <v>17</v>
      </c>
      <c r="B23" t="s">
        <v>91</v>
      </c>
      <c r="C23" s="6">
        <v>55</v>
      </c>
      <c r="D23" s="6">
        <v>55</v>
      </c>
      <c r="E23" s="6">
        <v>50</v>
      </c>
      <c r="F23" s="6">
        <v>50</v>
      </c>
      <c r="G23" s="6">
        <v>50</v>
      </c>
      <c r="H23">
        <v>49</v>
      </c>
      <c r="K23" s="8"/>
    </row>
    <row r="24" spans="1:14" x14ac:dyDescent="0.3">
      <c r="A24" s="1" t="s">
        <v>98</v>
      </c>
      <c r="B24" t="s">
        <v>122</v>
      </c>
      <c r="C24" s="6">
        <v>64</v>
      </c>
      <c r="D24" s="6">
        <v>64</v>
      </c>
      <c r="E24" s="6">
        <v>66</v>
      </c>
      <c r="F24" s="6">
        <v>65</v>
      </c>
      <c r="G24" s="6">
        <v>64</v>
      </c>
      <c r="H24">
        <v>64</v>
      </c>
      <c r="L24" s="8"/>
    </row>
    <row r="25" spans="1:14" ht="22" x14ac:dyDescent="0.3">
      <c r="A25" t="s">
        <v>18</v>
      </c>
      <c r="B25" s="6" t="s">
        <v>92</v>
      </c>
      <c r="C25" s="6">
        <v>395</v>
      </c>
      <c r="D25" s="6">
        <v>395</v>
      </c>
      <c r="E25" s="6">
        <v>400</v>
      </c>
      <c r="F25" s="6">
        <v>400</v>
      </c>
      <c r="G25" s="6">
        <v>400</v>
      </c>
      <c r="H25">
        <v>415</v>
      </c>
      <c r="L25" s="3"/>
    </row>
    <row r="26" spans="1:14" ht="22" x14ac:dyDescent="0.3">
      <c r="A26" t="s">
        <v>24</v>
      </c>
      <c r="B26" s="6" t="s">
        <v>93</v>
      </c>
      <c r="C26" s="6">
        <v>700</v>
      </c>
      <c r="D26" s="6">
        <v>700</v>
      </c>
      <c r="E26" s="6">
        <v>700</v>
      </c>
      <c r="F26" s="6">
        <v>700</v>
      </c>
      <c r="G26" s="6">
        <v>700</v>
      </c>
      <c r="H26" s="6">
        <v>700</v>
      </c>
      <c r="I26" s="1"/>
      <c r="L26" s="3"/>
    </row>
    <row r="27" spans="1:14" ht="22" x14ac:dyDescent="0.3">
      <c r="A27" t="s">
        <v>26</v>
      </c>
      <c r="B27" t="s">
        <v>94</v>
      </c>
      <c r="C27" s="6">
        <v>45</v>
      </c>
      <c r="D27" s="6">
        <v>45</v>
      </c>
      <c r="E27" s="6">
        <v>45</v>
      </c>
      <c r="F27" s="6">
        <v>45</v>
      </c>
      <c r="G27" s="6">
        <v>45</v>
      </c>
      <c r="H27" s="6">
        <v>45</v>
      </c>
      <c r="L27" s="3"/>
    </row>
    <row r="28" spans="1:14" x14ac:dyDescent="0.3">
      <c r="A28" s="1" t="s">
        <v>99</v>
      </c>
      <c r="B28" t="s">
        <v>95</v>
      </c>
      <c r="C28" s="6">
        <v>350</v>
      </c>
      <c r="D28" s="6">
        <v>350</v>
      </c>
      <c r="E28" s="6">
        <v>350</v>
      </c>
      <c r="F28" s="6">
        <v>350</v>
      </c>
      <c r="G28" s="6">
        <v>350</v>
      </c>
      <c r="H28" s="6">
        <v>400</v>
      </c>
    </row>
    <row r="29" spans="1:14" x14ac:dyDescent="0.3">
      <c r="A29" t="s">
        <v>21</v>
      </c>
      <c r="B29" t="s">
        <v>96</v>
      </c>
      <c r="C29">
        <v>380</v>
      </c>
      <c r="D29">
        <v>400</v>
      </c>
      <c r="E29">
        <v>400</v>
      </c>
      <c r="F29">
        <v>400</v>
      </c>
      <c r="G29">
        <v>400</v>
      </c>
      <c r="H29">
        <v>420</v>
      </c>
      <c r="I29" s="6"/>
    </row>
    <row r="30" spans="1:14" x14ac:dyDescent="0.3">
      <c r="A30" t="s">
        <v>22</v>
      </c>
      <c r="B30" t="s">
        <v>123</v>
      </c>
      <c r="C30">
        <f>AVERAGE(VALUE(LEFT(I30,2)), VALUE(RIGHT(I30,2)))</f>
        <v>70</v>
      </c>
      <c r="D30">
        <f t="shared" ref="D30" si="1">AVERAGE(VALUE(LEFT(J30,2)), VALUE(RIGHT(J30,2)))</f>
        <v>75</v>
      </c>
      <c r="E30">
        <f>AVERAGE(VALUE(LEFT(K30,2)), VALUE(RIGHT(K30,3)))</f>
        <v>85</v>
      </c>
      <c r="F30">
        <f>AVERAGE(VALUE(LEFT(L30,2)), VALUE(RIGHT(L30,3)))</f>
        <v>100</v>
      </c>
      <c r="G30">
        <f>AVERAGE(VALUE(LEFT(M30,2)), VALUE(RIGHT(M30,3)))</f>
        <v>105</v>
      </c>
      <c r="H30">
        <f>AVERAGE(VALUE(LEFT(N30,3)), VALUE(RIGHT(N30,3)))</f>
        <v>120</v>
      </c>
      <c r="I30" s="6" t="s">
        <v>110</v>
      </c>
      <c r="J30" s="6" t="s">
        <v>124</v>
      </c>
      <c r="K30" s="6" t="s">
        <v>125</v>
      </c>
      <c r="L30" s="6" t="s">
        <v>111</v>
      </c>
      <c r="M30" s="6" t="s">
        <v>126</v>
      </c>
      <c r="N30" s="6">
        <v>120</v>
      </c>
    </row>
    <row r="31" spans="1:14" x14ac:dyDescent="0.3">
      <c r="A31" t="s">
        <v>20</v>
      </c>
      <c r="B31" t="s">
        <v>127</v>
      </c>
      <c r="C31">
        <f>AVERAGE(VALUE(LEFT(I31,3)), VALUE(RIGHT(I31,3)))</f>
        <v>160</v>
      </c>
      <c r="D31">
        <f t="shared" ref="D31:H31" si="2">AVERAGE(VALUE(LEFT(J31,3)), VALUE(RIGHT(J31,3)))</f>
        <v>165</v>
      </c>
      <c r="E31">
        <f>AVERAGE(VALUE(LEFT(K31,3)), VALUE(RIGHT(K31,5)))</f>
        <v>168.75</v>
      </c>
      <c r="F31">
        <f>AVERAGE(VALUE(LEFT(L31,3)), VALUE(RIGHT(L31,5)))</f>
        <v>168.75</v>
      </c>
      <c r="G31">
        <f>AVERAGE(VALUE(LEFT(M31,3)), VALUE(RIGHT(M31,5)))</f>
        <v>168.75</v>
      </c>
      <c r="H31">
        <f>AVERAGE(VALUE(LEFT(N31,3)), VALUE(RIGHT(N31,5)))</f>
        <v>175</v>
      </c>
      <c r="I31" t="s">
        <v>128</v>
      </c>
      <c r="J31" t="s">
        <v>129</v>
      </c>
      <c r="K31" t="s">
        <v>130</v>
      </c>
      <c r="L31" t="s">
        <v>130</v>
      </c>
      <c r="M31" t="s">
        <v>130</v>
      </c>
      <c r="N31">
        <v>175</v>
      </c>
    </row>
    <row r="32" spans="1:14" x14ac:dyDescent="0.3">
      <c r="A32" t="s">
        <v>23</v>
      </c>
      <c r="I32" s="6"/>
      <c r="J32" s="1"/>
    </row>
    <row r="33" spans="1:10" x14ac:dyDescent="0.3">
      <c r="A33" t="s">
        <v>25</v>
      </c>
      <c r="C33" s="6">
        <v>44</v>
      </c>
      <c r="D33" s="6">
        <v>44</v>
      </c>
      <c r="E33" s="6">
        <v>44</v>
      </c>
      <c r="F33" s="6">
        <v>44</v>
      </c>
      <c r="G33" s="6">
        <v>44</v>
      </c>
      <c r="H33" s="6">
        <v>44</v>
      </c>
      <c r="I33" s="6"/>
      <c r="J33" s="1"/>
    </row>
    <row r="34" spans="1:10" x14ac:dyDescent="0.3">
      <c r="A34" t="s">
        <v>27</v>
      </c>
      <c r="C34" s="6"/>
      <c r="D34" s="6"/>
      <c r="E34" s="6"/>
      <c r="F34" s="6"/>
      <c r="G34" s="6"/>
      <c r="H34" s="6"/>
      <c r="I34" s="6"/>
    </row>
    <row r="35" spans="1:10" x14ac:dyDescent="0.3">
      <c r="A35" t="s">
        <v>28</v>
      </c>
      <c r="C35" s="6"/>
      <c r="D35" s="6"/>
      <c r="E35" s="6"/>
      <c r="F35" s="6"/>
      <c r="G35" s="6"/>
      <c r="H35" s="6"/>
      <c r="I35" s="6"/>
    </row>
    <row r="36" spans="1:10" ht="22" x14ac:dyDescent="0.3">
      <c r="C36" s="5"/>
      <c r="D36" s="5"/>
      <c r="E36" s="5"/>
      <c r="F36" s="5"/>
      <c r="H36" s="3"/>
      <c r="I36" s="3"/>
      <c r="J36" s="5"/>
    </row>
    <row r="37" spans="1:10" x14ac:dyDescent="0.3">
      <c r="A37" t="s">
        <v>29</v>
      </c>
      <c r="B37" t="s">
        <v>30</v>
      </c>
    </row>
    <row r="38" spans="1:10" x14ac:dyDescent="0.3">
      <c r="A38" t="s">
        <v>66</v>
      </c>
      <c r="B38" s="1" t="s">
        <v>77</v>
      </c>
    </row>
    <row r="39" spans="1:10" x14ac:dyDescent="0.3">
      <c r="A39" t="s">
        <v>67</v>
      </c>
      <c r="B39" s="1" t="s">
        <v>78</v>
      </c>
    </row>
    <row r="40" spans="1:10" x14ac:dyDescent="0.3">
      <c r="A40" t="s">
        <v>68</v>
      </c>
      <c r="B40" s="1" t="s">
        <v>113</v>
      </c>
    </row>
    <row r="41" spans="1:10" x14ac:dyDescent="0.3">
      <c r="A41" t="s">
        <v>31</v>
      </c>
      <c r="B41" s="1" t="s">
        <v>100</v>
      </c>
      <c r="C41" s="1"/>
    </row>
    <row r="42" spans="1:10" x14ac:dyDescent="0.3">
      <c r="A42" t="s">
        <v>32</v>
      </c>
      <c r="B42" s="1" t="s">
        <v>69</v>
      </c>
    </row>
    <row r="43" spans="1:10" x14ac:dyDescent="0.3">
      <c r="A43" t="s">
        <v>33</v>
      </c>
    </row>
    <row r="44" spans="1:10" x14ac:dyDescent="0.3">
      <c r="A44" t="s">
        <v>34</v>
      </c>
      <c r="B44">
        <v>48</v>
      </c>
      <c r="C44" s="1" t="s">
        <v>132</v>
      </c>
    </row>
    <row r="45" spans="1:10" x14ac:dyDescent="0.3">
      <c r="A45" t="s">
        <v>35</v>
      </c>
    </row>
    <row r="46" spans="1:10" x14ac:dyDescent="0.3">
      <c r="A46" t="s">
        <v>36</v>
      </c>
    </row>
    <row r="47" spans="1:10" x14ac:dyDescent="0.3">
      <c r="A47" t="s">
        <v>37</v>
      </c>
    </row>
    <row r="48" spans="1:10" x14ac:dyDescent="0.3">
      <c r="A48" t="s">
        <v>38</v>
      </c>
    </row>
    <row r="49" spans="1:3" x14ac:dyDescent="0.3">
      <c r="A49" t="s">
        <v>39</v>
      </c>
    </row>
    <row r="50" spans="1:3" x14ac:dyDescent="0.3">
      <c r="A50" t="s">
        <v>40</v>
      </c>
      <c r="B50">
        <v>142</v>
      </c>
    </row>
    <row r="51" spans="1:3" x14ac:dyDescent="0.3">
      <c r="A51" t="s">
        <v>41</v>
      </c>
      <c r="B51">
        <v>100</v>
      </c>
    </row>
    <row r="52" spans="1:3" x14ac:dyDescent="0.3">
      <c r="A52" t="s">
        <v>71</v>
      </c>
    </row>
    <row r="53" spans="1:3" x14ac:dyDescent="0.3">
      <c r="A53" t="s">
        <v>72</v>
      </c>
    </row>
    <row r="54" spans="1:3" x14ac:dyDescent="0.3">
      <c r="A54" t="s">
        <v>73</v>
      </c>
    </row>
    <row r="55" spans="1:3" x14ac:dyDescent="0.3">
      <c r="A55" t="s">
        <v>74</v>
      </c>
      <c r="B55" s="1"/>
    </row>
    <row r="56" spans="1:3" x14ac:dyDescent="0.3">
      <c r="A56" t="s">
        <v>75</v>
      </c>
      <c r="B56" s="1"/>
    </row>
    <row r="57" spans="1:3" x14ac:dyDescent="0.3">
      <c r="A57" t="s">
        <v>76</v>
      </c>
      <c r="B57" s="1" t="s">
        <v>134</v>
      </c>
    </row>
    <row r="58" spans="1:3" x14ac:dyDescent="0.3">
      <c r="A58" t="s">
        <v>42</v>
      </c>
      <c r="B58" s="1" t="s">
        <v>133</v>
      </c>
      <c r="C58" s="1" t="s">
        <v>101</v>
      </c>
    </row>
    <row r="59" spans="1:3" x14ac:dyDescent="0.3">
      <c r="A59" t="s">
        <v>43</v>
      </c>
    </row>
    <row r="60" spans="1:3" x14ac:dyDescent="0.3">
      <c r="A60" t="s">
        <v>44</v>
      </c>
      <c r="B60">
        <v>27.2</v>
      </c>
    </row>
    <row r="61" spans="1:3" x14ac:dyDescent="0.3">
      <c r="A61" t="s">
        <v>45</v>
      </c>
      <c r="B61" s="1"/>
    </row>
    <row r="62" spans="1:3" x14ac:dyDescent="0.3">
      <c r="A62" t="s">
        <v>46</v>
      </c>
    </row>
    <row r="63" spans="1:3" x14ac:dyDescent="0.3">
      <c r="A63" t="s">
        <v>47</v>
      </c>
    </row>
    <row r="64" spans="1:3" x14ac:dyDescent="0.3">
      <c r="A64" t="s">
        <v>48</v>
      </c>
    </row>
    <row r="65" spans="1:2" x14ac:dyDescent="0.3">
      <c r="A65" t="s">
        <v>49</v>
      </c>
    </row>
    <row r="66" spans="1:2" x14ac:dyDescent="0.3">
      <c r="A66" t="s">
        <v>50</v>
      </c>
    </row>
    <row r="67" spans="1:2" x14ac:dyDescent="0.3">
      <c r="A67" t="s">
        <v>51</v>
      </c>
      <c r="B67" s="1"/>
    </row>
    <row r="68" spans="1:2" x14ac:dyDescent="0.3">
      <c r="A68" t="s">
        <v>52</v>
      </c>
      <c r="B68" s="1"/>
    </row>
    <row r="69" spans="1:2" x14ac:dyDescent="0.3">
      <c r="A69" t="s">
        <v>53</v>
      </c>
    </row>
    <row r="70" spans="1:2" x14ac:dyDescent="0.3">
      <c r="A70" t="s">
        <v>54</v>
      </c>
      <c r="B70" s="1"/>
    </row>
    <row r="71" spans="1:2" x14ac:dyDescent="0.3">
      <c r="A71" t="s">
        <v>55</v>
      </c>
      <c r="B71">
        <v>2</v>
      </c>
    </row>
    <row r="72" spans="1:2" x14ac:dyDescent="0.3">
      <c r="A72" t="s">
        <v>56</v>
      </c>
      <c r="B72">
        <v>1</v>
      </c>
    </row>
    <row r="73" spans="1:2" x14ac:dyDescent="0.3">
      <c r="A73" t="s">
        <v>57</v>
      </c>
      <c r="B73" s="1"/>
    </row>
    <row r="74" spans="1:2" x14ac:dyDescent="0.3">
      <c r="A74" t="s">
        <v>58</v>
      </c>
      <c r="B74" s="1"/>
    </row>
    <row r="75" spans="1:2" x14ac:dyDescent="0.3">
      <c r="A75" t="s">
        <v>59</v>
      </c>
      <c r="B75" s="1"/>
    </row>
    <row r="76" spans="1:2" x14ac:dyDescent="0.3">
      <c r="A76" t="s">
        <v>60</v>
      </c>
      <c r="B76" s="1"/>
    </row>
    <row r="77" spans="1:2" x14ac:dyDescent="0.3">
      <c r="A77" t="s">
        <v>61</v>
      </c>
      <c r="B77" s="1"/>
    </row>
    <row r="78" spans="1:2" x14ac:dyDescent="0.3">
      <c r="A78" t="s">
        <v>62</v>
      </c>
      <c r="B78">
        <v>3799</v>
      </c>
    </row>
    <row r="79" spans="1:2" x14ac:dyDescent="0.3">
      <c r="A79" t="s">
        <v>63</v>
      </c>
      <c r="B79">
        <v>8499</v>
      </c>
    </row>
    <row r="80" spans="1:2" x14ac:dyDescent="0.3">
      <c r="A80" t="s">
        <v>64</v>
      </c>
      <c r="B80" s="1"/>
    </row>
    <row r="81" spans="1:2" x14ac:dyDescent="0.3">
      <c r="A81" t="s">
        <v>65</v>
      </c>
      <c r="B81" s="1" t="s">
        <v>102</v>
      </c>
    </row>
    <row r="82" spans="1:2" x14ac:dyDescent="0.3">
      <c r="A82" t="s">
        <v>70</v>
      </c>
      <c r="B82" s="9" t="s">
        <v>103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2025-11-14T12:49:16Z</dcterms:modified>
</cp:coreProperties>
</file>