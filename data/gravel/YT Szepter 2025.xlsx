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FAA1EE2-1596-F040-9858-D1DAD926C2A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F23" i="1"/>
  <c r="G23" i="1"/>
  <c r="C23" i="1"/>
</calcChain>
</file>

<file path=xl/sharedStrings.xml><?xml version="1.0" encoding="utf-8"?>
<sst xmlns="http://schemas.openxmlformats.org/spreadsheetml/2006/main" count="116" uniqueCount="104">
  <si>
    <t>brand</t>
  </si>
  <si>
    <t>YT</t>
  </si>
  <si>
    <t>model</t>
  </si>
  <si>
    <t xml:space="preserve">Szepter </t>
  </si>
  <si>
    <t>model_year</t>
  </si>
  <si>
    <t>2023</t>
  </si>
  <si>
    <t>input_date</t>
  </si>
  <si>
    <t>url</t>
  </si>
  <si>
    <t>data_range</t>
  </si>
  <si>
    <t>a8:g32</t>
  </si>
  <si>
    <t>frame_size</t>
  </si>
  <si>
    <t>frame size</t>
  </si>
  <si>
    <t>S</t>
  </si>
  <si>
    <t>M</t>
  </si>
  <si>
    <t>L</t>
  </si>
  <si>
    <t>XL</t>
  </si>
  <si>
    <t>XXL</t>
  </si>
  <si>
    <t>top_tube_effective_length</t>
  </si>
  <si>
    <t>Toptube</t>
  </si>
  <si>
    <t>reach</t>
  </si>
  <si>
    <t>Reach</t>
  </si>
  <si>
    <t>stack</t>
  </si>
  <si>
    <t>Stack</t>
  </si>
  <si>
    <t>seat_tube_length</t>
  </si>
  <si>
    <t>Seattube</t>
  </si>
  <si>
    <t>chainstay_length</t>
  </si>
  <si>
    <t>Chainstay</t>
  </si>
  <si>
    <t>head_tube_angle</t>
  </si>
  <si>
    <t>Headtube Angle</t>
  </si>
  <si>
    <t>seat_tube_angle</t>
  </si>
  <si>
    <t>Seattube Angle (Eff)</t>
  </si>
  <si>
    <t>bottom_bracket_drop</t>
  </si>
  <si>
    <t>Bb Drop</t>
  </si>
  <si>
    <t>wheelbase</t>
  </si>
  <si>
    <t>Wheelbase</t>
  </si>
  <si>
    <t>head_tube_length</t>
  </si>
  <si>
    <t>Headtube</t>
  </si>
  <si>
    <t>bottom_bracket_height</t>
  </si>
  <si>
    <t>Bb Height</t>
  </si>
  <si>
    <t>standover</t>
  </si>
  <si>
    <t>Standover Height</t>
  </si>
  <si>
    <t>seatpost_insertion</t>
  </si>
  <si>
    <t>Seatpost Insertion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</si>
  <si>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</si>
  <si>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</si>
  <si>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</si>
  <si>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</si>
  <si>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</si>
  <si>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</si>
  <si>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</si>
  <si>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</si>
  <si>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</si>
  <si>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</si>
  <si>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</si>
  <si>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</si>
  <si>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</si>
  <si>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</si>
  <si>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</si>
  <si>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</si>
  <si>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</si>
  <si>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</si>
  <si>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</si>
  <si>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</si>
  <si>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</si>
  <si>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</si>
  <si>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</si>
  <si>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</si>
  <si>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</si>
  <si>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</si>
  <si>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</si>
  <si>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</si>
  <si>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</si>
  <si>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</si>
  <si>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</si>
  <si>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</si>
  <si>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</si>
  <si>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</si>
  <si>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</si>
  <si>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</si>
  <si>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</si>
  <si>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</si>
  <si>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</si>
  <si>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</si>
  <si>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</si>
  <si>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</si>
  <si>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</si>
  <si>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</si>
  <si>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</si>
  <si>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</si>
  <si>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</si>
  <si>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</si>
  <si>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</si>
  <si>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</si>
  <si>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</si>
  <si>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</si>
  <si>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</si>
  <si>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</si>
  <si>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internal</t>
  </si>
  <si>
    <t>yes</t>
  </si>
  <si>
    <t>suspension</t>
  </si>
  <si>
    <t>5% sag</t>
  </si>
  <si>
    <t>press fit</t>
  </si>
  <si>
    <t>no</t>
  </si>
  <si>
    <t>https://www.yt-industries.com/en-us/Bikes/Gravel-Szepter/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</si>
</sst>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20" workbookViewId="0">
      <selection activeCell="B45" sqref="B4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  <c r="B5" t="s">
        <v>103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558</v>
      </c>
      <c r="D9">
        <v>578</v>
      </c>
      <c r="E9">
        <v>593</v>
      </c>
      <c r="F9">
        <v>613</v>
      </c>
      <c r="G9">
        <v>628</v>
      </c>
    </row>
    <row r="10" spans="1:7" x14ac:dyDescent="0.3">
      <c r="A10" t="s">
        <v>19</v>
      </c>
      <c r="B10" t="s">
        <v>20</v>
      </c>
      <c r="C10">
        <v>384</v>
      </c>
      <c r="D10">
        <v>398</v>
      </c>
      <c r="E10">
        <v>407</v>
      </c>
      <c r="F10">
        <v>422</v>
      </c>
      <c r="G10">
        <v>433</v>
      </c>
    </row>
    <row r="11" spans="1:7" x14ac:dyDescent="0.3">
      <c r="A11" t="s">
        <v>21</v>
      </c>
      <c r="B11" t="s">
        <v>22</v>
      </c>
      <c r="C11">
        <v>568</v>
      </c>
      <c r="D11">
        <v>587</v>
      </c>
      <c r="E11">
        <v>611</v>
      </c>
      <c r="F11">
        <v>630</v>
      </c>
      <c r="G11">
        <v>644</v>
      </c>
    </row>
    <row r="12" spans="1:7" x14ac:dyDescent="0.3">
      <c r="A12" t="s">
        <v>23</v>
      </c>
      <c r="B12" t="s">
        <v>24</v>
      </c>
      <c r="C12">
        <v>450</v>
      </c>
      <c r="D12">
        <v>480</v>
      </c>
      <c r="E12">
        <v>500</v>
      </c>
      <c r="F12">
        <v>530</v>
      </c>
      <c r="G12">
        <v>550</v>
      </c>
    </row>
    <row r="13" spans="1:7" x14ac:dyDescent="0.3">
      <c r="A13" t="s">
        <v>25</v>
      </c>
      <c r="B13" t="s">
        <v>26</v>
      </c>
      <c r="C13">
        <v>425</v>
      </c>
      <c r="D13">
        <v>425</v>
      </c>
      <c r="E13">
        <v>425</v>
      </c>
      <c r="F13">
        <v>425</v>
      </c>
      <c r="G13">
        <v>425</v>
      </c>
    </row>
    <row r="14" spans="1:7" x14ac:dyDescent="0.3">
      <c r="A14" t="s">
        <v>27</v>
      </c>
      <c r="B14" t="s">
        <v>28</v>
      </c>
      <c r="C14">
        <v>69.3</v>
      </c>
      <c r="D14">
        <v>69.400000000000006</v>
      </c>
      <c r="E14">
        <v>69.400000000000006</v>
      </c>
      <c r="F14">
        <v>69.400000000000006</v>
      </c>
      <c r="G14">
        <v>69.400000000000006</v>
      </c>
    </row>
    <row r="15" spans="1:7" x14ac:dyDescent="0.3">
      <c r="A15" t="s">
        <v>29</v>
      </c>
      <c r="B15" t="s">
        <v>30</v>
      </c>
      <c r="C15">
        <v>74.3</v>
      </c>
      <c r="D15">
        <v>74.400000000000006</v>
      </c>
      <c r="E15">
        <v>74.400000000000006</v>
      </c>
      <c r="F15">
        <v>74.400000000000006</v>
      </c>
      <c r="G15">
        <v>74.400000000000006</v>
      </c>
    </row>
    <row r="16" spans="1:7" x14ac:dyDescent="0.3">
      <c r="A16" t="s">
        <v>31</v>
      </c>
      <c r="B16" t="s">
        <v>32</v>
      </c>
      <c r="C16">
        <v>61</v>
      </c>
      <c r="D16">
        <v>61</v>
      </c>
      <c r="E16">
        <v>62</v>
      </c>
      <c r="F16">
        <v>62</v>
      </c>
      <c r="G16">
        <v>62</v>
      </c>
    </row>
    <row r="17" spans="1:8" x14ac:dyDescent="0.3">
      <c r="A17" t="s">
        <v>33</v>
      </c>
      <c r="B17" t="s">
        <v>34</v>
      </c>
      <c r="C17">
        <v>1054</v>
      </c>
      <c r="D17">
        <v>1076</v>
      </c>
      <c r="E17">
        <v>1095</v>
      </c>
      <c r="F17">
        <v>1115</v>
      </c>
      <c r="G17">
        <v>1132</v>
      </c>
    </row>
    <row r="18" spans="1:8" x14ac:dyDescent="0.3">
      <c r="A18" t="s">
        <v>35</v>
      </c>
      <c r="B18" t="s">
        <v>36</v>
      </c>
      <c r="C18">
        <v>125</v>
      </c>
      <c r="D18">
        <v>145</v>
      </c>
      <c r="E18">
        <v>170</v>
      </c>
      <c r="F18">
        <v>190</v>
      </c>
      <c r="G18">
        <v>205</v>
      </c>
    </row>
    <row r="19" spans="1:8" x14ac:dyDescent="0.3">
      <c r="A19" t="s">
        <v>37</v>
      </c>
      <c r="B19" t="s">
        <v>38</v>
      </c>
      <c r="C19">
        <v>290</v>
      </c>
      <c r="D19">
        <v>290</v>
      </c>
      <c r="E19">
        <v>290</v>
      </c>
      <c r="F19">
        <v>290</v>
      </c>
      <c r="G19">
        <v>290</v>
      </c>
    </row>
    <row r="20" spans="1:8" x14ac:dyDescent="0.3">
      <c r="A20" t="s">
        <v>39</v>
      </c>
      <c r="B20" t="s">
        <v>40</v>
      </c>
      <c r="C20">
        <v>740</v>
      </c>
      <c r="D20">
        <v>764</v>
      </c>
      <c r="E20">
        <v>779</v>
      </c>
      <c r="F20">
        <v>796</v>
      </c>
      <c r="G20">
        <v>809</v>
      </c>
    </row>
    <row r="21" spans="1:8" x14ac:dyDescent="0.3">
      <c r="A21" t="s">
        <v>41</v>
      </c>
      <c r="B21" t="s">
        <v>42</v>
      </c>
      <c r="C21">
        <v>205</v>
      </c>
      <c r="D21">
        <v>225</v>
      </c>
      <c r="E21">
        <v>245</v>
      </c>
      <c r="F21">
        <v>275</v>
      </c>
      <c r="G21">
        <v>275</v>
      </c>
    </row>
    <row r="22" spans="1:8" x14ac:dyDescent="0.3">
      <c r="A22" t="s">
        <v>43</v>
      </c>
      <c r="B22" t="s">
        <v>43</v>
      </c>
      <c r="C22">
        <v>51</v>
      </c>
      <c r="D22">
        <v>51</v>
      </c>
      <c r="E22">
        <v>51</v>
      </c>
      <c r="F22">
        <v>51</v>
      </c>
      <c r="G22">
        <v>51</v>
      </c>
    </row>
    <row r="23" spans="1:8" x14ac:dyDescent="0.3">
      <c r="A23" t="s">
        <v>44</v>
      </c>
      <c r="B23" t="s">
        <v>44</v>
      </c>
      <c r="C23">
        <f>435-0.05*40</f>
        <v>433</v>
      </c>
      <c r="D23">
        <f t="shared" ref="D23:G23" si="0">435-0.05*40</f>
        <v>433</v>
      </c>
      <c r="E23">
        <f t="shared" si="0"/>
        <v>433</v>
      </c>
      <c r="F23">
        <f t="shared" si="0"/>
        <v>433</v>
      </c>
      <c r="G23">
        <f t="shared" si="0"/>
        <v>433</v>
      </c>
      <c r="H23" s="1" t="s">
        <v>100</v>
      </c>
    </row>
    <row r="24" spans="1:8" x14ac:dyDescent="0.3">
      <c r="A24" t="s">
        <v>45</v>
      </c>
      <c r="B24" t="s">
        <v>45</v>
      </c>
      <c r="C24">
        <v>170</v>
      </c>
      <c r="D24">
        <v>172.5</v>
      </c>
      <c r="E24">
        <v>172.5</v>
      </c>
      <c r="F24">
        <v>175</v>
      </c>
      <c r="G24">
        <v>175</v>
      </c>
    </row>
    <row r="25" spans="1:8" x14ac:dyDescent="0.3">
      <c r="A25" t="s">
        <v>46</v>
      </c>
      <c r="B25" t="s">
        <v>46</v>
      </c>
    </row>
    <row r="26" spans="1:8" x14ac:dyDescent="0.3">
      <c r="A26" t="s">
        <v>47</v>
      </c>
      <c r="B26" t="s">
        <v>47</v>
      </c>
      <c r="C26">
        <v>70</v>
      </c>
      <c r="D26">
        <v>70</v>
      </c>
      <c r="E26">
        <v>70</v>
      </c>
      <c r="F26">
        <v>70</v>
      </c>
      <c r="G26">
        <v>70</v>
      </c>
    </row>
    <row r="27" spans="1:8" x14ac:dyDescent="0.3">
      <c r="A27" t="s">
        <v>48</v>
      </c>
    </row>
    <row r="28" spans="1:8" x14ac:dyDescent="0.3">
      <c r="A28" t="s">
        <v>49</v>
      </c>
      <c r="B28" t="s">
        <v>49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8" x14ac:dyDescent="0.3">
      <c r="A29" t="s">
        <v>50</v>
      </c>
      <c r="B29" t="s">
        <v>50</v>
      </c>
      <c r="C29">
        <v>42</v>
      </c>
      <c r="D29">
        <v>42</v>
      </c>
      <c r="E29">
        <v>42</v>
      </c>
      <c r="F29">
        <v>42</v>
      </c>
      <c r="G29">
        <v>42</v>
      </c>
    </row>
    <row r="30" spans="1:8" x14ac:dyDescent="0.3">
      <c r="A30" t="s">
        <v>51</v>
      </c>
      <c r="B30" t="s">
        <v>51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8" x14ac:dyDescent="0.3">
      <c r="A31" t="s">
        <v>52</v>
      </c>
      <c r="B31" t="s">
        <v>52</v>
      </c>
      <c r="C31">
        <v>154</v>
      </c>
      <c r="D31">
        <v>164.5</v>
      </c>
      <c r="E31">
        <v>174.5</v>
      </c>
      <c r="F31">
        <v>183.5</v>
      </c>
      <c r="G31">
        <v>192.5</v>
      </c>
    </row>
    <row r="32" spans="1:8" x14ac:dyDescent="0.3">
      <c r="A32" t="s">
        <v>53</v>
      </c>
      <c r="B32" t="s">
        <v>53</v>
      </c>
      <c r="C32">
        <v>164.5</v>
      </c>
      <c r="D32">
        <v>174.5</v>
      </c>
      <c r="E32">
        <v>183.5</v>
      </c>
      <c r="F32">
        <v>192.5</v>
      </c>
      <c r="G32">
        <v>202</v>
      </c>
    </row>
    <row r="34" spans="1:2" x14ac:dyDescent="0.3">
      <c r="A34" t="s">
        <v>54</v>
      </c>
      <c r="B34" t="s">
        <v>55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94</v>
      </c>
      <c r="B36" t="s">
        <v>95</v>
      </c>
    </row>
    <row r="37" spans="1:2" x14ac:dyDescent="0.3">
      <c r="A37" t="s">
        <v>96</v>
      </c>
      <c r="B37" s="1" t="s">
        <v>99</v>
      </c>
    </row>
    <row r="38" spans="1:2" x14ac:dyDescent="0.3">
      <c r="A38" t="s">
        <v>56</v>
      </c>
      <c r="B38" t="s">
        <v>57</v>
      </c>
    </row>
    <row r="39" spans="1:2" x14ac:dyDescent="0.3">
      <c r="A39" t="s">
        <v>58</v>
      </c>
      <c r="B39" s="1" t="s">
        <v>102</v>
      </c>
    </row>
    <row r="40" spans="1:2" x14ac:dyDescent="0.3">
      <c r="A40" t="s">
        <v>59</v>
      </c>
    </row>
    <row r="41" spans="1:2" x14ac:dyDescent="0.3">
      <c r="A41" t="s">
        <v>60</v>
      </c>
      <c r="B41">
        <v>45</v>
      </c>
    </row>
    <row r="42" spans="1:2" x14ac:dyDescent="0.3">
      <c r="A42" t="s">
        <v>61</v>
      </c>
    </row>
    <row r="43" spans="1:2" x14ac:dyDescent="0.3">
      <c r="A43" t="s">
        <v>62</v>
      </c>
      <c r="B43">
        <v>40</v>
      </c>
    </row>
    <row r="44" spans="1:2" x14ac:dyDescent="0.3">
      <c r="A44" t="s">
        <v>63</v>
      </c>
      <c r="B44">
        <v>40</v>
      </c>
    </row>
    <row r="45" spans="1:2" x14ac:dyDescent="0.3">
      <c r="A45" t="s">
        <v>64</v>
      </c>
    </row>
    <row r="46" spans="1:2" x14ac:dyDescent="0.3">
      <c r="A46" t="s">
        <v>65</v>
      </c>
    </row>
    <row r="47" spans="1:2" x14ac:dyDescent="0.3">
      <c r="A47" t="s">
        <v>66</v>
      </c>
      <c r="B47">
        <v>142</v>
      </c>
    </row>
    <row r="48" spans="1:2" x14ac:dyDescent="0.3">
      <c r="A48" t="s">
        <v>67</v>
      </c>
      <c r="B48">
        <v>100</v>
      </c>
    </row>
    <row r="49" spans="1:2" x14ac:dyDescent="0.3">
      <c r="A49" t="s">
        <v>68</v>
      </c>
      <c r="B49" s="1" t="s">
        <v>101</v>
      </c>
    </row>
    <row r="50" spans="1:2" x14ac:dyDescent="0.3">
      <c r="A50" t="s">
        <v>69</v>
      </c>
    </row>
    <row r="51" spans="1:2" x14ac:dyDescent="0.3">
      <c r="A51" t="s">
        <v>70</v>
      </c>
      <c r="B51">
        <v>30.9</v>
      </c>
    </row>
    <row r="52" spans="1:2" x14ac:dyDescent="0.3">
      <c r="A52" t="s">
        <v>71</v>
      </c>
    </row>
    <row r="53" spans="1:2" x14ac:dyDescent="0.3">
      <c r="A53" t="s">
        <v>72</v>
      </c>
    </row>
    <row r="54" spans="1:2" x14ac:dyDescent="0.3">
      <c r="A54" t="s">
        <v>73</v>
      </c>
    </row>
    <row r="55" spans="1:2" x14ac:dyDescent="0.3">
      <c r="A55" t="s">
        <v>74</v>
      </c>
    </row>
    <row r="56" spans="1:2" x14ac:dyDescent="0.3">
      <c r="A56" t="s">
        <v>75</v>
      </c>
    </row>
    <row r="57" spans="1:2" x14ac:dyDescent="0.3">
      <c r="A57" t="s">
        <v>76</v>
      </c>
    </row>
    <row r="58" spans="1:2" x14ac:dyDescent="0.3">
      <c r="A58" t="s">
        <v>77</v>
      </c>
    </row>
    <row r="59" spans="1:2" x14ac:dyDescent="0.3">
      <c r="A59" t="s">
        <v>78</v>
      </c>
      <c r="B59" s="1" t="s">
        <v>97</v>
      </c>
    </row>
    <row r="60" spans="1:2" x14ac:dyDescent="0.3">
      <c r="A60" t="s">
        <v>79</v>
      </c>
    </row>
    <row r="61" spans="1:2" x14ac:dyDescent="0.3">
      <c r="A61" t="s">
        <v>80</v>
      </c>
      <c r="B61" s="1" t="s">
        <v>98</v>
      </c>
    </row>
    <row r="62" spans="1:2" x14ac:dyDescent="0.3">
      <c r="A62" t="s">
        <v>81</v>
      </c>
      <c r="B62">
        <v>2</v>
      </c>
    </row>
    <row r="63" spans="1:2" x14ac:dyDescent="0.3">
      <c r="A63" t="s">
        <v>82</v>
      </c>
    </row>
    <row r="64" spans="1:2" x14ac:dyDescent="0.3">
      <c r="A64" t="s">
        <v>83</v>
      </c>
      <c r="B64" s="1" t="s">
        <v>98</v>
      </c>
    </row>
    <row r="65" spans="1:1" x14ac:dyDescent="0.3">
      <c r="A65" t="s">
        <v>84</v>
      </c>
    </row>
    <row r="66" spans="1:1" x14ac:dyDescent="0.3">
      <c r="A66" t="s">
        <v>85</v>
      </c>
    </row>
    <row r="67" spans="1:1" x14ac:dyDescent="0.3">
      <c r="A67" t="s">
        <v>86</v>
      </c>
    </row>
    <row r="68" spans="1:1" x14ac:dyDescent="0.3">
      <c r="A68" t="s">
        <v>87</v>
      </c>
    </row>
    <row r="69" spans="1:1" x14ac:dyDescent="0.3">
      <c r="A69" t="s">
        <v>88</v>
      </c>
    </row>
    <row r="70" spans="1:1" x14ac:dyDescent="0.3">
      <c r="A70" t="s">
        <v>89</v>
      </c>
    </row>
    <row r="71" spans="1:1" x14ac:dyDescent="0.3">
      <c r="A71" t="s">
        <v>90</v>
      </c>
    </row>
    <row r="72" spans="1:1" x14ac:dyDescent="0.3">
      <c r="A72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2025-07-26T17:59:02Z</dcterms:created>
  <dcterms:modified xsi:type="dcterms:W3CDTF">2025-08-18T22:58:37Z</dcterms:modified>
</cp:coreProperties>
</file>