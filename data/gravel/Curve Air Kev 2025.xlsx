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41BF7569-DFC1-3B45-9D77-008688375BAD}" xr6:coauthVersionLast="47" xr6:coauthVersionMax="47" xr10:uidLastSave="{00000000-0000-0000-0000-000000000000}"/>
  <bookViews>
    <workbookView xWindow="7980" yWindow="900" windowWidth="20820" windowHeight="171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5" i="1" l="1"/>
  <c r="E25" i="1"/>
  <c r="F25" i="1"/>
  <c r="G25" i="1"/>
  <c r="H25" i="1"/>
  <c r="I25" i="1"/>
  <c r="C25" i="1"/>
</calcChain>
</file>

<file path=xl/sharedStrings.xml><?xml version="1.0" encoding="utf-8"?>
<sst xmlns="http://schemas.openxmlformats.org/spreadsheetml/2006/main" count="129" uniqueCount="116">
  <si>
    <t>brand</t>
  </si>
  <si>
    <t>model</t>
  </si>
  <si>
    <t>model_year</t>
  </si>
  <si>
    <t>input_date</t>
  </si>
  <si>
    <t>url</t>
  </si>
  <si>
    <t>data_range</t>
  </si>
  <si>
    <t>frame_size</t>
  </si>
  <si>
    <t>XS</t>
  </si>
  <si>
    <t>XL</t>
  </si>
  <si>
    <t>stack</t>
  </si>
  <si>
    <t>reach</t>
  </si>
  <si>
    <t>seat_tube_length</t>
  </si>
  <si>
    <t>top_tube_effective_length</t>
  </si>
  <si>
    <t>head_tube_length</t>
  </si>
  <si>
    <t>seat_tube_angle</t>
  </si>
  <si>
    <t>head_tube_angle</t>
  </si>
  <si>
    <t>chainstay_length</t>
  </si>
  <si>
    <t>front_center</t>
  </si>
  <si>
    <t>wheelbase</t>
  </si>
  <si>
    <t>bottom_bracket_drop</t>
  </si>
  <si>
    <t>axle_crown</t>
  </si>
  <si>
    <t>fork_offset_rake</t>
  </si>
  <si>
    <t>trail</t>
  </si>
  <si>
    <t>crank_length</t>
  </si>
  <si>
    <t>stem_length</t>
  </si>
  <si>
    <t>handlebar_width</t>
  </si>
  <si>
    <t>standover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</si>
  <si>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</si>
  <si>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</si>
  <si>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</si>
  <si>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</si>
  <si>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</si>
  <si>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</si>
  <si>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</si>
  <si>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</si>
  <si>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</si>
  <si>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</si>
  <si>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</si>
  <si>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</si>
  <si>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</si>
  <si>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</si>
  <si>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</si>
  <si>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</si>
  <si>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</si>
  <si>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</si>
  <si>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</si>
  <si>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</si>
  <si>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</si>
  <si>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</si>
  <si>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</si>
  <si>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</si>
  <si>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</si>
  <si>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</si>
  <si>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</si>
  <si>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</si>
  <si>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</si>
  <si>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</si>
  <si>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</si>
  <si>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</si>
  <si>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</si>
  <si>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</si>
  <si>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</si>
  <si>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</si>
  <si>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</si>
  <si>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</si>
  <si>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</si>
  <si>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</si>
  <si>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</si>
  <si>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</si>
  <si>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</si>
  <si>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</si>
  <si>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</si>
  <si>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</si>
  <si>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</si>
  <si>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</si>
  <si>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</si>
  <si>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yes</t>
  </si>
  <si>
    <t>USD</t>
  </si>
  <si>
    <t>Curve</t>
  </si>
  <si>
    <t>Metric</t>
  </si>
  <si>
    <t>XXS</t>
  </si>
  <si>
    <t>SM</t>
  </si>
  <si>
    <t>MD</t>
  </si>
  <si>
    <t>LG</t>
  </si>
  <si>
    <t>XXL</t>
  </si>
  <si>
    <t>Effective Top Tube (A) (mm)</t>
  </si>
  <si>
    <t>Seat Tube Length (B) (mm)</t>
  </si>
  <si>
    <t>Seat Tube Angle (C) (°)</t>
  </si>
  <si>
    <t>Head Tube Angle (D) (°)</t>
  </si>
  <si>
    <t>Chain Stay (E) (mm)</t>
  </si>
  <si>
    <t>BB Drop (F) (mm)</t>
  </si>
  <si>
    <t>BB Height (mm)</t>
  </si>
  <si>
    <t>Head Tube Length (H) (mm)</t>
  </si>
  <si>
    <t>Reach (I) (mm)</t>
  </si>
  <si>
    <t>Stack (J) (mm)</t>
  </si>
  <si>
    <t>Front Centre 52 offset (K) (mm)</t>
  </si>
  <si>
    <t>Standover (L) (mm)</t>
  </si>
  <si>
    <t>Fork Length (AC) (mm)</t>
  </si>
  <si>
    <t>Fork Offset (R) (mm)</t>
  </si>
  <si>
    <t>46/52</t>
  </si>
  <si>
    <t>bb_height</t>
  </si>
  <si>
    <t>wheelbase_short</t>
  </si>
  <si>
    <t>front_center_short</t>
  </si>
  <si>
    <t>trail(short)</t>
  </si>
  <si>
    <t>titanium</t>
  </si>
  <si>
    <t>threaded 85.5</t>
  </si>
  <si>
    <t>Wheelbase 52 offset (G) (mm)</t>
  </si>
  <si>
    <t>Wheelbase 46 offset (G) (mm)</t>
  </si>
  <si>
    <t>Front Centre 46 offset (K) (mm)</t>
  </si>
  <si>
    <t>Trail 52 offset (T) (mm)</t>
  </si>
  <si>
    <t>Trail 46 offset (T) (mm)</t>
  </si>
  <si>
    <t>Air Kev</t>
  </si>
  <si>
    <t>https://www.curvecycling.com/products/air-kev-frameset</t>
  </si>
  <si>
    <t>semi-internal</t>
  </si>
  <si>
    <t>a8:i36</t>
  </si>
  <si>
    <t>https://www.curvecycling.com/cdn/shop/files/8057b784-b27c-42cb-afbf-a709e42e42d9.webp?v=1756858763&amp;width=1445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</si>
</sst>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76"/>
  <sheetViews>
    <sheetView tabSelected="1" workbookViewId="0">
      <selection activeCell="B6" sqref="B6"/>
    </sheetView>
  </sheetViews>
  <sheetFormatPr baseColWidth="10" defaultRowHeight="20" x14ac:dyDescent="0.3"/>
  <cols>
    <col min="1" max="2" width="19.6640625" customWidth="1"/>
  </cols>
  <sheetData>
    <row r="1" spans="1:9" x14ac:dyDescent="0.3">
      <c r="A1" t="s">
        <v>0</v>
      </c>
      <c r="B1" s="1" t="s">
        <v>78</v>
      </c>
    </row>
    <row r="2" spans="1:9" x14ac:dyDescent="0.3">
      <c r="A2" t="s">
        <v>1</v>
      </c>
      <c r="B2" s="1" t="s">
        <v>111</v>
      </c>
    </row>
    <row r="3" spans="1:9" x14ac:dyDescent="0.3">
      <c r="A3" t="s">
        <v>2</v>
      </c>
      <c r="B3">
        <v>2025</v>
      </c>
    </row>
    <row r="4" spans="1:9" x14ac:dyDescent="0.3">
      <c r="A4" t="s">
        <v>3</v>
      </c>
      <c r="B4" s="2">
        <v>45934</v>
      </c>
    </row>
    <row r="5" spans="1:9" x14ac:dyDescent="0.3">
      <c r="A5" t="s">
        <v>4</v>
      </c>
      <c r="B5" t="s">
        <v>112</v>
      </c>
    </row>
    <row r="6" spans="1:9" x14ac:dyDescent="0.3">
      <c r="B6" t="s">
        <v>115</v>
      </c>
    </row>
    <row r="7" spans="1:9" x14ac:dyDescent="0.3">
      <c r="A7" t="s">
        <v>5</v>
      </c>
      <c r="B7" s="1" t="s">
        <v>114</v>
      </c>
    </row>
    <row r="8" spans="1:9" x14ac:dyDescent="0.3">
      <c r="A8" t="s">
        <v>6</v>
      </c>
      <c r="B8" t="s">
        <v>79</v>
      </c>
      <c r="C8" t="s">
        <v>80</v>
      </c>
      <c r="D8" t="s">
        <v>7</v>
      </c>
      <c r="E8" t="s">
        <v>81</v>
      </c>
      <c r="F8" t="s">
        <v>82</v>
      </c>
      <c r="G8" t="s">
        <v>83</v>
      </c>
      <c r="H8" t="s">
        <v>8</v>
      </c>
      <c r="I8" t="s">
        <v>84</v>
      </c>
    </row>
    <row r="9" spans="1:9" x14ac:dyDescent="0.3">
      <c r="A9" t="s">
        <v>12</v>
      </c>
      <c r="B9" t="s">
        <v>85</v>
      </c>
      <c r="C9">
        <v>527</v>
      </c>
      <c r="D9">
        <v>539</v>
      </c>
      <c r="E9">
        <v>552</v>
      </c>
      <c r="F9">
        <v>562</v>
      </c>
      <c r="G9">
        <v>573</v>
      </c>
      <c r="H9">
        <v>587</v>
      </c>
      <c r="I9">
        <v>602</v>
      </c>
    </row>
    <row r="10" spans="1:9" x14ac:dyDescent="0.3">
      <c r="A10" t="s">
        <v>11</v>
      </c>
      <c r="B10" t="s">
        <v>86</v>
      </c>
      <c r="C10">
        <v>460</v>
      </c>
      <c r="D10">
        <v>500</v>
      </c>
      <c r="E10">
        <v>530</v>
      </c>
      <c r="F10">
        <v>560</v>
      </c>
      <c r="G10">
        <v>580</v>
      </c>
      <c r="H10">
        <v>595</v>
      </c>
      <c r="I10">
        <v>615</v>
      </c>
    </row>
    <row r="11" spans="1:9" x14ac:dyDescent="0.3">
      <c r="A11" t="s">
        <v>14</v>
      </c>
      <c r="B11" t="s">
        <v>87</v>
      </c>
      <c r="C11">
        <v>73</v>
      </c>
      <c r="D11">
        <v>73</v>
      </c>
      <c r="E11">
        <v>73</v>
      </c>
      <c r="F11">
        <v>73</v>
      </c>
      <c r="G11">
        <v>73</v>
      </c>
      <c r="H11">
        <v>73</v>
      </c>
      <c r="I11">
        <v>73</v>
      </c>
    </row>
    <row r="12" spans="1:9" x14ac:dyDescent="0.3">
      <c r="A12" t="s">
        <v>15</v>
      </c>
      <c r="B12" t="s">
        <v>88</v>
      </c>
      <c r="C12">
        <v>70.599999999999994</v>
      </c>
      <c r="D12">
        <v>70.599999999999994</v>
      </c>
      <c r="E12">
        <v>71.099999999999994</v>
      </c>
      <c r="F12">
        <v>71.099999999999994</v>
      </c>
      <c r="G12">
        <v>71.599999999999994</v>
      </c>
      <c r="H12">
        <v>71.599999999999994</v>
      </c>
      <c r="I12">
        <v>71.599999999999994</v>
      </c>
    </row>
    <row r="13" spans="1:9" x14ac:dyDescent="0.3">
      <c r="A13" t="s">
        <v>16</v>
      </c>
      <c r="B13" t="s">
        <v>89</v>
      </c>
      <c r="C13">
        <v>436</v>
      </c>
      <c r="D13">
        <v>436</v>
      </c>
      <c r="E13">
        <v>436</v>
      </c>
      <c r="F13">
        <v>439</v>
      </c>
      <c r="G13">
        <v>439</v>
      </c>
      <c r="H13">
        <v>442</v>
      </c>
      <c r="I13">
        <v>442</v>
      </c>
    </row>
    <row r="14" spans="1:9" x14ac:dyDescent="0.3">
      <c r="A14" t="s">
        <v>19</v>
      </c>
      <c r="B14" t="s">
        <v>90</v>
      </c>
      <c r="C14">
        <v>72</v>
      </c>
      <c r="D14">
        <v>70</v>
      </c>
      <c r="E14">
        <v>70</v>
      </c>
      <c r="F14">
        <v>70</v>
      </c>
      <c r="G14">
        <v>68</v>
      </c>
      <c r="H14">
        <v>68</v>
      </c>
      <c r="I14">
        <v>68</v>
      </c>
    </row>
    <row r="15" spans="1:9" x14ac:dyDescent="0.3">
      <c r="A15" s="1" t="s">
        <v>100</v>
      </c>
      <c r="B15" t="s">
        <v>91</v>
      </c>
      <c r="C15">
        <v>286</v>
      </c>
      <c r="D15">
        <v>288</v>
      </c>
      <c r="E15">
        <v>288</v>
      </c>
      <c r="F15">
        <v>288</v>
      </c>
      <c r="G15">
        <v>290</v>
      </c>
      <c r="H15">
        <v>290</v>
      </c>
      <c r="I15">
        <v>290</v>
      </c>
    </row>
    <row r="16" spans="1:9" x14ac:dyDescent="0.3">
      <c r="A16" t="s">
        <v>18</v>
      </c>
      <c r="B16" t="s">
        <v>106</v>
      </c>
      <c r="C16">
        <v>1013</v>
      </c>
      <c r="D16">
        <v>1026</v>
      </c>
      <c r="E16">
        <v>1034</v>
      </c>
      <c r="F16">
        <v>1048</v>
      </c>
      <c r="G16">
        <v>1054</v>
      </c>
      <c r="H16">
        <v>1073</v>
      </c>
      <c r="I16">
        <v>1089</v>
      </c>
    </row>
    <row r="17" spans="1:16" x14ac:dyDescent="0.3">
      <c r="A17" s="1" t="s">
        <v>101</v>
      </c>
      <c r="B17" t="s">
        <v>107</v>
      </c>
      <c r="C17">
        <v>1007</v>
      </c>
      <c r="D17">
        <v>1020</v>
      </c>
      <c r="E17">
        <v>1028</v>
      </c>
      <c r="F17">
        <v>1042</v>
      </c>
      <c r="G17">
        <v>1048</v>
      </c>
      <c r="H17">
        <v>1067</v>
      </c>
      <c r="I17">
        <v>1083</v>
      </c>
    </row>
    <row r="18" spans="1:16" x14ac:dyDescent="0.3">
      <c r="A18" t="s">
        <v>13</v>
      </c>
      <c r="B18" t="s">
        <v>92</v>
      </c>
      <c r="C18">
        <v>110</v>
      </c>
      <c r="D18">
        <v>115</v>
      </c>
      <c r="E18">
        <v>125</v>
      </c>
      <c r="F18">
        <v>136</v>
      </c>
      <c r="G18">
        <v>150</v>
      </c>
      <c r="H18">
        <v>170</v>
      </c>
      <c r="I18">
        <v>210</v>
      </c>
    </row>
    <row r="19" spans="1:16" x14ac:dyDescent="0.3">
      <c r="A19" t="s">
        <v>10</v>
      </c>
      <c r="B19" t="s">
        <v>93</v>
      </c>
      <c r="C19">
        <v>359</v>
      </c>
      <c r="D19">
        <v>370</v>
      </c>
      <c r="E19">
        <v>380</v>
      </c>
      <c r="F19">
        <v>386</v>
      </c>
      <c r="G19">
        <v>392</v>
      </c>
      <c r="H19">
        <v>402</v>
      </c>
      <c r="I19">
        <v>405</v>
      </c>
    </row>
    <row r="20" spans="1:16" x14ac:dyDescent="0.3">
      <c r="A20" t="s">
        <v>9</v>
      </c>
      <c r="B20" t="s">
        <v>94</v>
      </c>
      <c r="C20">
        <v>551</v>
      </c>
      <c r="D20">
        <v>554</v>
      </c>
      <c r="E20">
        <v>566</v>
      </c>
      <c r="F20">
        <v>576</v>
      </c>
      <c r="G20">
        <v>589</v>
      </c>
      <c r="H20">
        <v>608</v>
      </c>
      <c r="I20">
        <v>646</v>
      </c>
    </row>
    <row r="21" spans="1:16" x14ac:dyDescent="0.3">
      <c r="A21" t="s">
        <v>17</v>
      </c>
      <c r="B21" t="s">
        <v>95</v>
      </c>
      <c r="C21">
        <v>587</v>
      </c>
      <c r="D21">
        <v>599</v>
      </c>
      <c r="E21">
        <v>608</v>
      </c>
      <c r="F21">
        <v>618</v>
      </c>
      <c r="G21">
        <v>624</v>
      </c>
      <c r="H21">
        <v>640</v>
      </c>
      <c r="I21">
        <v>656</v>
      </c>
    </row>
    <row r="22" spans="1:16" x14ac:dyDescent="0.3">
      <c r="A22" s="1" t="s">
        <v>102</v>
      </c>
      <c r="B22" t="s">
        <v>108</v>
      </c>
      <c r="C22">
        <v>581</v>
      </c>
      <c r="D22">
        <v>593</v>
      </c>
      <c r="E22">
        <v>602</v>
      </c>
      <c r="F22">
        <v>612</v>
      </c>
      <c r="G22">
        <v>618</v>
      </c>
      <c r="H22">
        <v>634</v>
      </c>
      <c r="I22">
        <v>650</v>
      </c>
    </row>
    <row r="23" spans="1:16" x14ac:dyDescent="0.3">
      <c r="A23" t="s">
        <v>26</v>
      </c>
      <c r="B23" t="s">
        <v>96</v>
      </c>
      <c r="C23">
        <v>743</v>
      </c>
      <c r="D23">
        <v>765</v>
      </c>
      <c r="E23">
        <v>784</v>
      </c>
      <c r="F23">
        <v>804</v>
      </c>
      <c r="G23">
        <v>822</v>
      </c>
      <c r="H23">
        <v>839</v>
      </c>
      <c r="I23">
        <v>867</v>
      </c>
    </row>
    <row r="24" spans="1:16" x14ac:dyDescent="0.3">
      <c r="A24" t="s">
        <v>20</v>
      </c>
      <c r="B24" t="s">
        <v>97</v>
      </c>
      <c r="C24">
        <v>415</v>
      </c>
      <c r="D24">
        <v>415</v>
      </c>
      <c r="E24">
        <v>415</v>
      </c>
      <c r="F24">
        <v>415</v>
      </c>
      <c r="G24">
        <v>415</v>
      </c>
      <c r="H24">
        <v>415</v>
      </c>
      <c r="I24">
        <v>415</v>
      </c>
    </row>
    <row r="25" spans="1:16" x14ac:dyDescent="0.3">
      <c r="A25" t="s">
        <v>21</v>
      </c>
      <c r="B25" t="s">
        <v>98</v>
      </c>
      <c r="C25">
        <f>VALUE(RIGHT(J25,2))</f>
        <v>52</v>
      </c>
      <c r="D25">
        <f t="shared" ref="D25:I25" si="0">VALUE(RIGHT(K25,2))</f>
        <v>52</v>
      </c>
      <c r="E25">
        <f t="shared" si="0"/>
        <v>52</v>
      </c>
      <c r="F25">
        <f t="shared" si="0"/>
        <v>52</v>
      </c>
      <c r="G25">
        <f t="shared" si="0"/>
        <v>52</v>
      </c>
      <c r="H25">
        <f t="shared" si="0"/>
        <v>52</v>
      </c>
      <c r="I25">
        <f t="shared" si="0"/>
        <v>52</v>
      </c>
      <c r="J25" t="s">
        <v>99</v>
      </c>
      <c r="K25" t="s">
        <v>99</v>
      </c>
      <c r="L25" t="s">
        <v>99</v>
      </c>
      <c r="M25" t="s">
        <v>99</v>
      </c>
      <c r="N25" t="s">
        <v>99</v>
      </c>
      <c r="O25" t="s">
        <v>99</v>
      </c>
      <c r="P25" t="s">
        <v>99</v>
      </c>
    </row>
    <row r="26" spans="1:16" x14ac:dyDescent="0.3">
      <c r="A26" s="1" t="s">
        <v>22</v>
      </c>
      <c r="B26" t="s">
        <v>109</v>
      </c>
      <c r="C26">
        <v>71</v>
      </c>
      <c r="D26">
        <v>71</v>
      </c>
      <c r="E26">
        <v>67</v>
      </c>
      <c r="F26">
        <v>67</v>
      </c>
      <c r="G26">
        <v>64</v>
      </c>
      <c r="H26">
        <v>64</v>
      </c>
      <c r="I26">
        <v>64</v>
      </c>
    </row>
    <row r="27" spans="1:16" x14ac:dyDescent="0.3">
      <c r="A27" s="1" t="s">
        <v>103</v>
      </c>
      <c r="B27" t="s">
        <v>110</v>
      </c>
      <c r="C27">
        <v>78</v>
      </c>
      <c r="D27">
        <v>78</v>
      </c>
      <c r="E27">
        <v>75</v>
      </c>
      <c r="F27">
        <v>75</v>
      </c>
      <c r="G27">
        <v>71</v>
      </c>
      <c r="H27">
        <v>71</v>
      </c>
      <c r="I27">
        <v>71</v>
      </c>
    </row>
    <row r="28" spans="1:16" x14ac:dyDescent="0.3">
      <c r="A28" t="s">
        <v>27</v>
      </c>
    </row>
    <row r="29" spans="1:16" x14ac:dyDescent="0.3">
      <c r="A29" t="s">
        <v>23</v>
      </c>
    </row>
    <row r="30" spans="1:16" x14ac:dyDescent="0.3">
      <c r="A30" t="s">
        <v>24</v>
      </c>
    </row>
    <row r="31" spans="1:16" x14ac:dyDescent="0.3">
      <c r="A31" t="s">
        <v>25</v>
      </c>
    </row>
    <row r="32" spans="1:16" x14ac:dyDescent="0.3">
      <c r="A32" t="s">
        <v>28</v>
      </c>
      <c r="B32" t="s">
        <v>28</v>
      </c>
      <c r="C32">
        <v>700</v>
      </c>
      <c r="D32">
        <v>700</v>
      </c>
      <c r="E32">
        <v>700</v>
      </c>
      <c r="F32">
        <v>700</v>
      </c>
      <c r="G32">
        <v>700</v>
      </c>
      <c r="H32">
        <v>700</v>
      </c>
      <c r="I32">
        <v>700</v>
      </c>
    </row>
    <row r="33" spans="1:9" x14ac:dyDescent="0.3">
      <c r="A33" t="s">
        <v>29</v>
      </c>
      <c r="B33" t="s">
        <v>29</v>
      </c>
      <c r="C33">
        <v>50</v>
      </c>
      <c r="D33">
        <v>50</v>
      </c>
      <c r="E33">
        <v>50</v>
      </c>
      <c r="F33">
        <v>50</v>
      </c>
      <c r="G33">
        <v>50</v>
      </c>
      <c r="H33">
        <v>50</v>
      </c>
      <c r="I33">
        <v>50</v>
      </c>
    </row>
    <row r="34" spans="1:9" x14ac:dyDescent="0.3">
      <c r="A34" t="s">
        <v>30</v>
      </c>
      <c r="B34" t="s">
        <v>30</v>
      </c>
      <c r="C34">
        <v>50</v>
      </c>
      <c r="D34">
        <v>50</v>
      </c>
      <c r="E34">
        <v>50</v>
      </c>
      <c r="F34">
        <v>50</v>
      </c>
      <c r="G34">
        <v>50</v>
      </c>
      <c r="H34">
        <v>50</v>
      </c>
      <c r="I34">
        <v>50</v>
      </c>
    </row>
    <row r="35" spans="1:9" x14ac:dyDescent="0.3">
      <c r="A35" t="s">
        <v>31</v>
      </c>
      <c r="C35">
        <v>148</v>
      </c>
      <c r="D35">
        <v>154</v>
      </c>
      <c r="E35">
        <v>160</v>
      </c>
      <c r="F35">
        <v>166</v>
      </c>
      <c r="G35">
        <v>175</v>
      </c>
      <c r="H35">
        <v>184</v>
      </c>
      <c r="I35">
        <v>190</v>
      </c>
    </row>
    <row r="36" spans="1:9" x14ac:dyDescent="0.3">
      <c r="A36" t="s">
        <v>32</v>
      </c>
      <c r="C36">
        <v>157</v>
      </c>
      <c r="D36">
        <v>163</v>
      </c>
      <c r="E36">
        <v>170</v>
      </c>
      <c r="F36">
        <v>178</v>
      </c>
      <c r="G36">
        <v>187</v>
      </c>
      <c r="H36">
        <v>194</v>
      </c>
      <c r="I36">
        <v>200</v>
      </c>
    </row>
    <row r="38" spans="1:9" x14ac:dyDescent="0.3">
      <c r="A38" t="s">
        <v>33</v>
      </c>
      <c r="B38" t="s">
        <v>34</v>
      </c>
    </row>
    <row r="39" spans="1:9" x14ac:dyDescent="0.3">
      <c r="A39" t="s">
        <v>70</v>
      </c>
      <c r="B39" t="s">
        <v>71</v>
      </c>
    </row>
    <row r="40" spans="1:9" x14ac:dyDescent="0.3">
      <c r="A40" t="s">
        <v>72</v>
      </c>
      <c r="B40" t="s">
        <v>73</v>
      </c>
    </row>
    <row r="41" spans="1:9" x14ac:dyDescent="0.3">
      <c r="A41" t="s">
        <v>74</v>
      </c>
      <c r="B41" t="s">
        <v>75</v>
      </c>
    </row>
    <row r="42" spans="1:9" x14ac:dyDescent="0.3">
      <c r="A42" t="s">
        <v>35</v>
      </c>
      <c r="B42" s="1" t="s">
        <v>104</v>
      </c>
    </row>
    <row r="43" spans="1:9" x14ac:dyDescent="0.3">
      <c r="A43" t="s">
        <v>36</v>
      </c>
      <c r="B43" s="1" t="s">
        <v>76</v>
      </c>
    </row>
    <row r="44" spans="1:9" x14ac:dyDescent="0.3">
      <c r="A44" t="s">
        <v>37</v>
      </c>
    </row>
    <row r="45" spans="1:9" x14ac:dyDescent="0.3">
      <c r="A45" t="s">
        <v>38</v>
      </c>
      <c r="B45">
        <v>50</v>
      </c>
    </row>
    <row r="46" spans="1:9" x14ac:dyDescent="0.3">
      <c r="A46" t="s">
        <v>39</v>
      </c>
      <c r="B46">
        <v>2</v>
      </c>
    </row>
    <row r="47" spans="1:9" x14ac:dyDescent="0.3">
      <c r="A47" t="s">
        <v>40</v>
      </c>
    </row>
    <row r="48" spans="1:9" x14ac:dyDescent="0.3">
      <c r="A48" t="s">
        <v>41</v>
      </c>
    </row>
    <row r="49" spans="1:2" x14ac:dyDescent="0.3">
      <c r="A49" t="s">
        <v>42</v>
      </c>
    </row>
    <row r="50" spans="1:2" x14ac:dyDescent="0.3">
      <c r="A50" t="s">
        <v>43</v>
      </c>
    </row>
    <row r="51" spans="1:2" x14ac:dyDescent="0.3">
      <c r="A51" t="s">
        <v>44</v>
      </c>
      <c r="B51">
        <v>142</v>
      </c>
    </row>
    <row r="52" spans="1:2" x14ac:dyDescent="0.3">
      <c r="A52" t="s">
        <v>45</v>
      </c>
      <c r="B52">
        <v>100</v>
      </c>
    </row>
    <row r="53" spans="1:2" x14ac:dyDescent="0.3">
      <c r="A53" t="s">
        <v>46</v>
      </c>
      <c r="B53" s="1" t="s">
        <v>105</v>
      </c>
    </row>
    <row r="54" spans="1:2" x14ac:dyDescent="0.3">
      <c r="A54" t="s">
        <v>47</v>
      </c>
    </row>
    <row r="55" spans="1:2" x14ac:dyDescent="0.3">
      <c r="A55" t="s">
        <v>48</v>
      </c>
      <c r="B55">
        <v>27.2</v>
      </c>
    </row>
    <row r="56" spans="1:2" x14ac:dyDescent="0.3">
      <c r="A56" t="s">
        <v>49</v>
      </c>
      <c r="B56" s="1" t="s">
        <v>76</v>
      </c>
    </row>
    <row r="57" spans="1:2" x14ac:dyDescent="0.3">
      <c r="A57" t="s">
        <v>50</v>
      </c>
      <c r="B57">
        <v>44</v>
      </c>
    </row>
    <row r="58" spans="1:2" x14ac:dyDescent="0.3">
      <c r="A58" t="s">
        <v>51</v>
      </c>
      <c r="B58">
        <v>50</v>
      </c>
    </row>
    <row r="59" spans="1:2" x14ac:dyDescent="0.3">
      <c r="A59" t="s">
        <v>52</v>
      </c>
      <c r="B59">
        <v>160</v>
      </c>
    </row>
    <row r="60" spans="1:2" x14ac:dyDescent="0.3">
      <c r="A60" t="s">
        <v>53</v>
      </c>
      <c r="B60">
        <v>180</v>
      </c>
    </row>
    <row r="61" spans="1:2" x14ac:dyDescent="0.3">
      <c r="A61" t="s">
        <v>54</v>
      </c>
    </row>
    <row r="62" spans="1:2" x14ac:dyDescent="0.3">
      <c r="A62" t="s">
        <v>55</v>
      </c>
      <c r="B62" s="1" t="s">
        <v>113</v>
      </c>
    </row>
    <row r="63" spans="1:2" x14ac:dyDescent="0.3">
      <c r="A63" t="s">
        <v>56</v>
      </c>
      <c r="B63" s="1"/>
    </row>
    <row r="64" spans="1:2" x14ac:dyDescent="0.3">
      <c r="A64" t="s">
        <v>57</v>
      </c>
    </row>
    <row r="65" spans="1:2" x14ac:dyDescent="0.3">
      <c r="A65" t="s">
        <v>58</v>
      </c>
    </row>
    <row r="66" spans="1:2" x14ac:dyDescent="0.3">
      <c r="A66" t="s">
        <v>59</v>
      </c>
      <c r="B66">
        <v>2</v>
      </c>
    </row>
    <row r="67" spans="1:2" x14ac:dyDescent="0.3">
      <c r="A67" t="s">
        <v>60</v>
      </c>
      <c r="B67">
        <v>1</v>
      </c>
    </row>
    <row r="68" spans="1:2" x14ac:dyDescent="0.3">
      <c r="A68" t="s">
        <v>61</v>
      </c>
    </row>
    <row r="69" spans="1:2" x14ac:dyDescent="0.3">
      <c r="A69" t="s">
        <v>62</v>
      </c>
      <c r="B69">
        <v>3</v>
      </c>
    </row>
    <row r="70" spans="1:2" x14ac:dyDescent="0.3">
      <c r="A70" t="s">
        <v>63</v>
      </c>
      <c r="B70" s="1" t="s">
        <v>76</v>
      </c>
    </row>
    <row r="71" spans="1:2" x14ac:dyDescent="0.3">
      <c r="A71" t="s">
        <v>64</v>
      </c>
      <c r="B71" s="1" t="s">
        <v>76</v>
      </c>
    </row>
    <row r="72" spans="1:2" x14ac:dyDescent="0.3">
      <c r="A72" t="s">
        <v>65</v>
      </c>
      <c r="B72" s="1" t="s">
        <v>76</v>
      </c>
    </row>
    <row r="73" spans="1:2" x14ac:dyDescent="0.3">
      <c r="A73" t="s">
        <v>66</v>
      </c>
      <c r="B73">
        <v>3673</v>
      </c>
    </row>
    <row r="74" spans="1:2" x14ac:dyDescent="0.3">
      <c r="A74" t="s">
        <v>67</v>
      </c>
      <c r="B74">
        <v>13467</v>
      </c>
    </row>
    <row r="75" spans="1:2" x14ac:dyDescent="0.3">
      <c r="A75" t="s">
        <v>68</v>
      </c>
    </row>
    <row r="76" spans="1:2" x14ac:dyDescent="0.3">
      <c r="A76" t="s">
        <v>69</v>
      </c>
      <c r="B76" s="1" t="s">
        <v>77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2025-07-26T17:59:00Z</dcterms:created>
  <dcterms:modified xsi:type="dcterms:W3CDTF">2025-10-15T12:03:32Z</dcterms:modified>
</cp:coreProperties>
</file>