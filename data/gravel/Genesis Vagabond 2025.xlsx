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A4EE19D-79DA-AA46-A61E-AAFE8CA6C440}" xr6:coauthVersionLast="47" xr6:coauthVersionMax="47" xr10:uidLastSave="{00000000-0000-0000-0000-000000000000}"/>
  <bookViews>
    <workbookView xWindow="23280" yWindow="-202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G30" i="1"/>
  <c r="C30" i="1"/>
  <c r="D33" i="1"/>
  <c r="E33" i="1"/>
  <c r="F33" i="1"/>
  <c r="C33" i="1"/>
  <c r="E32" i="1"/>
  <c r="F32" i="1"/>
  <c r="G32" i="1"/>
  <c r="D32" i="1"/>
  <c r="G33" i="1"/>
  <c r="C32" i="1"/>
  <c r="D31" i="1"/>
  <c r="E31" i="1"/>
  <c r="F31" i="1"/>
  <c r="G31" i="1"/>
  <c r="C31" i="1"/>
</calcChain>
</file>

<file path=xl/sharedStrings.xml><?xml version="1.0" encoding="utf-8"?>
<sst xmlns="http://schemas.openxmlformats.org/spreadsheetml/2006/main" count="100" uniqueCount="98">
  <si>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</si>
  <si>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</si>
  <si>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</si>
  <si>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</si>
  <si>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</si>
  <si>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</si>
  <si>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</si>
  <si>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</si>
  <si>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</si>
  <si>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</si>
  <si>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</si>
  <si>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</si>
  <si>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</si>
  <si>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</si>
  <si>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</si>
  <si>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</si>
  <si>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</si>
  <si>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</si>
  <si>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</si>
  <si>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</si>
  <si>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</si>
  <si>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</si>
  <si>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</si>
  <si>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</si>
  <si>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</si>
  <si>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</si>
  <si>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</si>
  <si>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</si>
  <si>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</si>
  <si>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</si>
  <si>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</si>
  <si>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</si>
  <si>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</si>
  <si>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</si>
  <si>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</si>
  <si>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</si>
  <si>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</si>
  <si>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</si>
  <si>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</si>
  <si>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</si>
  <si>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</si>
  <si>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</si>
  <si>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</si>
  <si>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</si>
  <si>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</si>
  <si>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</si>
  <si>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</si>
  <si>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</si>
  <si>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</si>
  <si>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</si>
  <si>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</si>
  <si>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</si>
  <si>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</si>
  <si>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</si>
  <si>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</si>
  <si>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</si>
  <si>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</si>
  <si>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</si>
  <si>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</si>
  <si>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</si>
  <si>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</si>
  <si>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</si>
  <si>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</si>
  <si>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</si>
  <si>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</si>
  <si>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</si>
  <si>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Stack</t>
  </si>
  <si>
    <t>Reach</t>
  </si>
  <si>
    <t>front_center</t>
  </si>
  <si>
    <t>yes</t>
  </si>
  <si>
    <t>frame_weight</t>
  </si>
  <si>
    <t>Genesis</t>
  </si>
  <si>
    <t>Vagabond</t>
  </si>
  <si>
    <t>Frame Size</t>
  </si>
  <si>
    <t>XS</t>
  </si>
  <si>
    <t>SM</t>
  </si>
  <si>
    <t>MD</t>
  </si>
  <si>
    <t>LG</t>
  </si>
  <si>
    <t>XL</t>
  </si>
  <si>
    <t>Effective Reach</t>
  </si>
  <si>
    <t>Seat Tube</t>
  </si>
  <si>
    <t>Top Tube</t>
  </si>
  <si>
    <t>Head Tube</t>
  </si>
  <si>
    <t>Head Angle</t>
  </si>
  <si>
    <t>Seat Angle</t>
  </si>
  <si>
    <t>Chainstay</t>
  </si>
  <si>
    <t>BB Drop</t>
  </si>
  <si>
    <t>Wheel Base</t>
  </si>
  <si>
    <t>Fork Offset</t>
  </si>
  <si>
    <t>Stem Length</t>
  </si>
  <si>
    <t>https://www.genesisbikes.co.uk/product/genesis-vagabond-frameset-vargn12010/VARGN12010/GN12010LG</t>
  </si>
  <si>
    <t>effective_reach</t>
  </si>
  <si>
    <t>steel</t>
  </si>
  <si>
    <t>threaded</t>
  </si>
  <si>
    <t>pounds</t>
  </si>
  <si>
    <t>mtb</t>
  </si>
  <si>
    <t>road for gravel fork</t>
  </si>
  <si>
    <t>a8:g33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</si>
</sst>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topLeftCell="A40" workbookViewId="0">
      <selection activeCell="B55" sqref="B55"/>
    </sheetView>
  </sheetViews>
  <sheetFormatPr baseColWidth="10" defaultRowHeight="20"/>
  <cols>
    <col min="1" max="2" width="19.6640625" customWidth="1"/>
  </cols>
  <sheetData>
    <row r="1" spans="1:7">
      <c r="A1" t="s">
        <v>0</v>
      </c>
      <c r="B1" s="1" t="s">
        <v>71</v>
      </c>
    </row>
    <row r="2" spans="1:7">
      <c r="A2" t="s">
        <v>1</v>
      </c>
      <c r="B2" s="1" t="s">
        <v>72</v>
      </c>
    </row>
    <row r="3" spans="1:7">
      <c r="A3" t="s">
        <v>2</v>
      </c>
      <c r="B3">
        <v>2025</v>
      </c>
    </row>
    <row r="4" spans="1:7">
      <c r="A4" t="s">
        <v>3</v>
      </c>
      <c r="B4" s="4">
        <v>45866</v>
      </c>
    </row>
    <row r="5" spans="1:7">
      <c r="A5" t="s">
        <v>4</v>
      </c>
      <c r="B5" t="s">
        <v>90</v>
      </c>
    </row>
    <row r="7" spans="1:7">
      <c r="A7" t="s">
        <v>5</v>
      </c>
      <c r="B7" s="1" t="s">
        <v>97</v>
      </c>
    </row>
    <row r="8" spans="1:7" ht="21">
      <c r="A8" t="s">
        <v>6</v>
      </c>
      <c r="B8" s="1" t="s">
        <v>73</v>
      </c>
      <c r="C8" s="2" t="s">
        <v>74</v>
      </c>
      <c r="D8" s="2" t="s">
        <v>75</v>
      </c>
      <c r="E8" s="2" t="s">
        <v>76</v>
      </c>
      <c r="F8" t="s">
        <v>77</v>
      </c>
      <c r="G8" t="s">
        <v>78</v>
      </c>
    </row>
    <row r="9" spans="1:7" ht="21">
      <c r="A9" s="1" t="s">
        <v>91</v>
      </c>
      <c r="B9" s="3" t="s">
        <v>79</v>
      </c>
      <c r="C9" s="3">
        <v>430</v>
      </c>
      <c r="D9" s="3">
        <v>445</v>
      </c>
      <c r="E9" s="3">
        <v>475</v>
      </c>
      <c r="F9">
        <v>490</v>
      </c>
      <c r="G9">
        <v>505</v>
      </c>
    </row>
    <row r="10" spans="1:7" ht="21">
      <c r="A10" t="s">
        <v>7</v>
      </c>
      <c r="B10" s="3" t="s">
        <v>80</v>
      </c>
      <c r="C10" s="3">
        <v>400</v>
      </c>
      <c r="D10" s="3">
        <v>450</v>
      </c>
      <c r="E10" s="3">
        <v>495</v>
      </c>
      <c r="F10">
        <v>530</v>
      </c>
      <c r="G10">
        <v>580</v>
      </c>
    </row>
    <row r="11" spans="1:7" ht="21">
      <c r="A11" t="s">
        <v>9</v>
      </c>
      <c r="B11" s="3" t="s">
        <v>81</v>
      </c>
      <c r="C11" s="3">
        <v>533</v>
      </c>
      <c r="D11" s="3">
        <v>555</v>
      </c>
      <c r="E11" s="3">
        <v>592</v>
      </c>
      <c r="F11">
        <v>614</v>
      </c>
      <c r="G11">
        <v>634</v>
      </c>
    </row>
    <row r="12" spans="1:7" ht="21">
      <c r="A12" t="s">
        <v>18</v>
      </c>
      <c r="B12" s="3" t="s">
        <v>67</v>
      </c>
      <c r="C12" s="3">
        <v>370</v>
      </c>
      <c r="D12" s="3">
        <v>385</v>
      </c>
      <c r="E12" s="3">
        <v>415</v>
      </c>
      <c r="F12">
        <v>430</v>
      </c>
      <c r="G12">
        <v>445</v>
      </c>
    </row>
    <row r="13" spans="1:7" ht="21">
      <c r="A13" t="s">
        <v>17</v>
      </c>
      <c r="B13" s="3" t="s">
        <v>66</v>
      </c>
      <c r="C13" s="3">
        <v>569</v>
      </c>
      <c r="D13" s="3">
        <v>592</v>
      </c>
      <c r="E13" s="3">
        <v>617</v>
      </c>
      <c r="F13">
        <v>640</v>
      </c>
      <c r="G13">
        <v>659</v>
      </c>
    </row>
    <row r="14" spans="1:7" ht="21">
      <c r="A14" t="s">
        <v>10</v>
      </c>
      <c r="B14" s="3" t="s">
        <v>82</v>
      </c>
      <c r="C14" s="3">
        <v>155</v>
      </c>
      <c r="D14" s="3">
        <v>180</v>
      </c>
      <c r="E14" s="3">
        <v>160</v>
      </c>
      <c r="F14">
        <v>185</v>
      </c>
      <c r="G14">
        <v>205</v>
      </c>
    </row>
    <row r="15" spans="1:7" ht="21">
      <c r="A15" t="s">
        <v>11</v>
      </c>
      <c r="B15" s="3" t="s">
        <v>83</v>
      </c>
      <c r="C15" s="3">
        <v>69</v>
      </c>
      <c r="D15" s="3">
        <v>69</v>
      </c>
      <c r="E15" s="3">
        <v>69</v>
      </c>
      <c r="F15">
        <v>69</v>
      </c>
      <c r="G15">
        <v>69</v>
      </c>
    </row>
    <row r="16" spans="1:7" ht="21">
      <c r="A16" t="s">
        <v>8</v>
      </c>
      <c r="B16" s="3" t="s">
        <v>84</v>
      </c>
      <c r="C16" s="3">
        <v>74</v>
      </c>
      <c r="D16" s="3">
        <v>74</v>
      </c>
      <c r="E16" s="3">
        <v>74</v>
      </c>
      <c r="F16">
        <v>74</v>
      </c>
      <c r="G16">
        <v>74</v>
      </c>
    </row>
    <row r="17" spans="1:7">
      <c r="A17" t="s">
        <v>15</v>
      </c>
      <c r="B17" t="s">
        <v>85</v>
      </c>
      <c r="C17">
        <v>440</v>
      </c>
      <c r="D17">
        <v>440</v>
      </c>
      <c r="E17">
        <v>450</v>
      </c>
      <c r="F17">
        <v>450</v>
      </c>
      <c r="G17">
        <v>450</v>
      </c>
    </row>
    <row r="18" spans="1:7">
      <c r="A18" t="s">
        <v>16</v>
      </c>
      <c r="B18" t="s">
        <v>86</v>
      </c>
      <c r="C18">
        <v>47</v>
      </c>
      <c r="D18">
        <v>47</v>
      </c>
      <c r="E18">
        <v>72</v>
      </c>
      <c r="F18">
        <v>72</v>
      </c>
      <c r="G18">
        <v>72</v>
      </c>
    </row>
    <row r="19" spans="1:7">
      <c r="A19" t="s">
        <v>14</v>
      </c>
      <c r="B19" t="s">
        <v>87</v>
      </c>
      <c r="C19">
        <v>1061</v>
      </c>
      <c r="D19">
        <v>1085</v>
      </c>
      <c r="E19">
        <v>1122</v>
      </c>
      <c r="F19">
        <v>1146</v>
      </c>
      <c r="G19">
        <v>1168</v>
      </c>
    </row>
    <row r="20" spans="1:7">
      <c r="A20" t="s">
        <v>12</v>
      </c>
      <c r="B20" t="s">
        <v>88</v>
      </c>
      <c r="C20">
        <v>50</v>
      </c>
      <c r="D20">
        <v>50</v>
      </c>
      <c r="E20">
        <v>50</v>
      </c>
      <c r="F20">
        <v>50</v>
      </c>
      <c r="G20">
        <v>50</v>
      </c>
    </row>
    <row r="21" spans="1:7">
      <c r="A21" t="s">
        <v>21</v>
      </c>
      <c r="B21" t="s">
        <v>89</v>
      </c>
      <c r="C21">
        <v>60</v>
      </c>
      <c r="D21">
        <v>60</v>
      </c>
      <c r="E21">
        <v>60</v>
      </c>
      <c r="F21">
        <v>60</v>
      </c>
      <c r="G21">
        <v>60</v>
      </c>
    </row>
    <row r="22" spans="1:7">
      <c r="A22" t="s">
        <v>24</v>
      </c>
      <c r="C22">
        <v>429</v>
      </c>
      <c r="D22">
        <v>429</v>
      </c>
      <c r="E22">
        <v>429</v>
      </c>
      <c r="F22">
        <v>429</v>
      </c>
      <c r="G22">
        <v>429</v>
      </c>
    </row>
    <row r="23" spans="1:7">
      <c r="A23" s="1" t="s">
        <v>68</v>
      </c>
      <c r="G23" s="1"/>
    </row>
    <row r="24" spans="1:7">
      <c r="A24" t="s">
        <v>13</v>
      </c>
    </row>
    <row r="25" spans="1:7">
      <c r="A25" t="s">
        <v>19</v>
      </c>
    </row>
    <row r="26" spans="1:7">
      <c r="A26" s="1" t="s">
        <v>70</v>
      </c>
    </row>
    <row r="27" spans="1:7">
      <c r="A27" t="s">
        <v>20</v>
      </c>
    </row>
    <row r="28" spans="1:7">
      <c r="A28" t="s">
        <v>22</v>
      </c>
    </row>
    <row r="29" spans="1:7">
      <c r="A29" t="s">
        <v>23</v>
      </c>
      <c r="C29">
        <v>650</v>
      </c>
      <c r="D29">
        <v>650</v>
      </c>
      <c r="E29">
        <v>700</v>
      </c>
      <c r="F29">
        <v>700</v>
      </c>
      <c r="G29">
        <v>700</v>
      </c>
    </row>
    <row r="30" spans="1:7">
      <c r="A30" t="s">
        <v>25</v>
      </c>
      <c r="C30">
        <f>2.35*25.4</f>
        <v>59.69</v>
      </c>
      <c r="D30">
        <f t="shared" ref="D30:G30" si="0">2.35*25.4</f>
        <v>59.69</v>
      </c>
      <c r="E30">
        <f t="shared" si="0"/>
        <v>59.69</v>
      </c>
      <c r="F30">
        <f t="shared" si="0"/>
        <v>59.69</v>
      </c>
      <c r="G30">
        <f t="shared" si="0"/>
        <v>59.69</v>
      </c>
    </row>
    <row r="31" spans="1:7">
      <c r="A31" t="s">
        <v>26</v>
      </c>
      <c r="C31">
        <f>2.35*25.4</f>
        <v>59.69</v>
      </c>
      <c r="D31">
        <f t="shared" ref="D31:G31" si="1">2.35*25.4</f>
        <v>59.69</v>
      </c>
      <c r="E31">
        <f t="shared" si="1"/>
        <v>59.69</v>
      </c>
      <c r="F31">
        <f t="shared" si="1"/>
        <v>59.69</v>
      </c>
      <c r="G31">
        <f t="shared" si="1"/>
        <v>59.69</v>
      </c>
    </row>
    <row r="32" spans="1:7">
      <c r="A32" t="s">
        <v>27</v>
      </c>
      <c r="C32">
        <f>C34</f>
        <v>156</v>
      </c>
      <c r="D32">
        <f>AVERAGE(D34,C35)</f>
        <v>164</v>
      </c>
      <c r="E32">
        <f t="shared" ref="E32:G32" si="2">AVERAGE(E34,D35)</f>
        <v>172</v>
      </c>
      <c r="F32">
        <f t="shared" si="2"/>
        <v>179</v>
      </c>
      <c r="G32">
        <f t="shared" si="2"/>
        <v>186</v>
      </c>
    </row>
    <row r="33" spans="1:7">
      <c r="A33" t="s">
        <v>28</v>
      </c>
      <c r="C33">
        <f>D32</f>
        <v>164</v>
      </c>
      <c r="D33">
        <f t="shared" ref="D33:F33" si="3">E32</f>
        <v>172</v>
      </c>
      <c r="E33">
        <f t="shared" si="3"/>
        <v>179</v>
      </c>
      <c r="F33">
        <f t="shared" si="3"/>
        <v>186</v>
      </c>
      <c r="G33">
        <f t="shared" ref="G33" si="4">G35</f>
        <v>194</v>
      </c>
    </row>
    <row r="34" spans="1:7">
      <c r="C34">
        <v>156</v>
      </c>
      <c r="D34">
        <v>164</v>
      </c>
      <c r="E34">
        <v>172</v>
      </c>
      <c r="F34">
        <v>178</v>
      </c>
      <c r="G34">
        <v>186</v>
      </c>
    </row>
    <row r="35" spans="1:7">
      <c r="A35" t="s">
        <v>29</v>
      </c>
      <c r="B35" t="s">
        <v>30</v>
      </c>
      <c r="C35">
        <v>164</v>
      </c>
      <c r="D35">
        <v>172</v>
      </c>
      <c r="E35">
        <v>180</v>
      </c>
      <c r="F35">
        <v>186</v>
      </c>
      <c r="G35">
        <v>194</v>
      </c>
    </row>
    <row r="36" spans="1:7" ht="21">
      <c r="A36" t="s">
        <v>31</v>
      </c>
      <c r="B36" s="1" t="s">
        <v>92</v>
      </c>
      <c r="C36" s="3"/>
      <c r="D36" s="3"/>
      <c r="E36" s="3"/>
      <c r="F36" s="3"/>
    </row>
    <row r="37" spans="1:7" ht="21">
      <c r="A37" t="s">
        <v>32</v>
      </c>
      <c r="B37" s="1"/>
      <c r="C37" s="3"/>
      <c r="D37" s="3"/>
      <c r="E37" s="3"/>
      <c r="F37" s="3"/>
    </row>
    <row r="38" spans="1:7">
      <c r="A38" t="s">
        <v>33</v>
      </c>
    </row>
    <row r="39" spans="1:7">
      <c r="A39" t="s">
        <v>34</v>
      </c>
      <c r="B39">
        <v>60</v>
      </c>
    </row>
    <row r="40" spans="1:7">
      <c r="A40" t="s">
        <v>35</v>
      </c>
      <c r="B40" s="1"/>
    </row>
    <row r="41" spans="1:7">
      <c r="A41" t="s">
        <v>36</v>
      </c>
      <c r="B41" s="1">
        <v>40</v>
      </c>
    </row>
    <row r="42" spans="1:7">
      <c r="A42" t="s">
        <v>37</v>
      </c>
    </row>
    <row r="43" spans="1:7">
      <c r="A43" t="s">
        <v>38</v>
      </c>
    </row>
    <row r="44" spans="1:7">
      <c r="A44" t="s">
        <v>39</v>
      </c>
    </row>
    <row r="45" spans="1:7">
      <c r="A45" t="s">
        <v>40</v>
      </c>
      <c r="B45">
        <v>148</v>
      </c>
      <c r="C45" s="1" t="s">
        <v>95</v>
      </c>
    </row>
    <row r="46" spans="1:7">
      <c r="A46" t="s">
        <v>41</v>
      </c>
      <c r="B46">
        <v>100</v>
      </c>
      <c r="C46" s="1" t="s">
        <v>96</v>
      </c>
    </row>
    <row r="47" spans="1:7">
      <c r="A47" t="s">
        <v>42</v>
      </c>
      <c r="B47" s="1" t="s">
        <v>93</v>
      </c>
    </row>
    <row r="48" spans="1:7">
      <c r="A48" t="s">
        <v>43</v>
      </c>
    </row>
    <row r="49" spans="1:2">
      <c r="A49" t="s">
        <v>44</v>
      </c>
      <c r="B49">
        <v>31.6</v>
      </c>
    </row>
    <row r="50" spans="1:2">
      <c r="A50" t="s">
        <v>45</v>
      </c>
      <c r="B50" s="1"/>
    </row>
    <row r="51" spans="1:2">
      <c r="A51" t="s">
        <v>46</v>
      </c>
    </row>
    <row r="52" spans="1:2">
      <c r="A52" t="s">
        <v>47</v>
      </c>
      <c r="B52" s="1"/>
    </row>
    <row r="53" spans="1:2">
      <c r="A53" t="s">
        <v>48</v>
      </c>
      <c r="B53">
        <v>180</v>
      </c>
    </row>
    <row r="54" spans="1:2">
      <c r="A54" t="s">
        <v>49</v>
      </c>
      <c r="B54">
        <v>160</v>
      </c>
    </row>
    <row r="55" spans="1:2">
      <c r="A55" t="s">
        <v>50</v>
      </c>
    </row>
    <row r="56" spans="1:2">
      <c r="A56" t="s">
        <v>51</v>
      </c>
    </row>
    <row r="57" spans="1:2">
      <c r="A57" t="s">
        <v>52</v>
      </c>
      <c r="B57" s="1"/>
    </row>
    <row r="58" spans="1:2">
      <c r="A58" t="s">
        <v>53</v>
      </c>
    </row>
    <row r="59" spans="1:2">
      <c r="A59" t="s">
        <v>54</v>
      </c>
    </row>
    <row r="60" spans="1:2">
      <c r="A60" t="s">
        <v>55</v>
      </c>
      <c r="B60">
        <v>2</v>
      </c>
    </row>
    <row r="61" spans="1:2">
      <c r="A61" t="s">
        <v>56</v>
      </c>
      <c r="B61">
        <v>1</v>
      </c>
    </row>
    <row r="62" spans="1:2">
      <c r="A62" t="s">
        <v>57</v>
      </c>
      <c r="B62" s="1">
        <v>1</v>
      </c>
    </row>
    <row r="63" spans="1:2">
      <c r="A63" t="s">
        <v>58</v>
      </c>
      <c r="B63" s="1">
        <v>3</v>
      </c>
    </row>
    <row r="64" spans="1:2">
      <c r="A64" t="s">
        <v>59</v>
      </c>
      <c r="B64" s="1" t="s">
        <v>69</v>
      </c>
    </row>
    <row r="65" spans="1:2">
      <c r="A65" t="s">
        <v>60</v>
      </c>
      <c r="B65" s="1" t="s">
        <v>69</v>
      </c>
    </row>
    <row r="66" spans="1:2">
      <c r="A66" t="s">
        <v>61</v>
      </c>
      <c r="B66" s="1" t="s">
        <v>69</v>
      </c>
    </row>
    <row r="67" spans="1:2">
      <c r="A67" t="s">
        <v>62</v>
      </c>
      <c r="B67">
        <v>899</v>
      </c>
    </row>
    <row r="68" spans="1:2">
      <c r="A68" t="s">
        <v>63</v>
      </c>
      <c r="B68">
        <v>1799</v>
      </c>
    </row>
    <row r="69" spans="1:2">
      <c r="A69" t="s">
        <v>64</v>
      </c>
    </row>
    <row r="70" spans="1:2">
      <c r="A70" t="s">
        <v>65</v>
      </c>
      <c r="B70" s="1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2025-07-29T11:59:49Z</dcterms:modified>
</cp:coreProperties>
</file>