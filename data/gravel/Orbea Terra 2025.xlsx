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EA54190-ADB2-0747-9A27-D2A6670E7FA4}" xr6:coauthVersionLast="47" xr6:coauthVersionMax="47" xr10:uidLastSave="{00000000-0000-0000-0000-000000000000}"/>
  <bookViews>
    <workbookView xWindow="0" yWindow="860" windowWidth="28420" windowHeight="13680" xr2:uid="{AE0F04AA-80E5-8247-9791-D6B95FAD9AB5}"/>
  </bookViews>
  <sheets>
    <sheet name="Orbea Terra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D34" i="1" s="1"/>
  <c r="F33" i="1"/>
  <c r="E34" i="1" s="1"/>
  <c r="G33" i="1"/>
  <c r="F34" i="1" s="1"/>
  <c r="H33" i="1"/>
  <c r="G34" i="1" s="1"/>
  <c r="D33" i="1"/>
  <c r="C34" i="1" s="1"/>
  <c r="H34" i="1"/>
  <c r="C33" i="1"/>
</calcChain>
</file>

<file path=xl/sharedStrings.xml><?xml version="1.0" encoding="utf-8"?>
<sst xmlns="http://schemas.openxmlformats.org/spreadsheetml/2006/main" count="142" uniqueCount="105">
  <si>
    <t>brand</t>
  </si>
  <si>
    <t>Orbea</t>
  </si>
  <si>
    <t>model</t>
  </si>
  <si>
    <t>Terra</t>
  </si>
  <si>
    <t>model year</t>
  </si>
  <si>
    <t>input date</t>
  </si>
  <si>
    <t>URL</t>
  </si>
  <si>
    <t>https://www.orbea.com/us-en/bicycles/road/terra/</t>
  </si>
  <si>
    <t>material</t>
  </si>
  <si>
    <t>carbon</t>
  </si>
  <si>
    <t>yes</t>
  </si>
  <si>
    <t>measure range</t>
  </si>
  <si>
    <t>1SEAT TUBE (C-T)</t>
  </si>
  <si>
    <t>2TOP TUBE (EFF)</t>
  </si>
  <si>
    <t>3HEAD TUBE</t>
  </si>
  <si>
    <t>4CHAINSTAY</t>
  </si>
  <si>
    <t>5BB DROP</t>
  </si>
  <si>
    <t>6BB HEIGHT</t>
  </si>
  <si>
    <t>7WHEELBASE</t>
  </si>
  <si>
    <t>8HEAD ANGLE</t>
  </si>
  <si>
    <t>9SEAT ANGLE</t>
  </si>
  <si>
    <t>10RAKE</t>
  </si>
  <si>
    <t>11STANDOVER</t>
  </si>
  <si>
    <t>12REACH</t>
  </si>
  <si>
    <t>13STACK</t>
  </si>
  <si>
    <t>14FORK LENGTH</t>
  </si>
  <si>
    <t>15TRAIL</t>
  </si>
  <si>
    <t>frame_size</t>
  </si>
  <si>
    <t>XS</t>
  </si>
  <si>
    <t>S</t>
  </si>
  <si>
    <t>M</t>
  </si>
  <si>
    <t>L</t>
  </si>
  <si>
    <t>XL</t>
  </si>
  <si>
    <t>XXL</t>
  </si>
  <si>
    <t>seat_tube_length</t>
  </si>
  <si>
    <t>top_tube_effective_length</t>
  </si>
  <si>
    <t>head_tube_length</t>
  </si>
  <si>
    <t>chainstay_length</t>
  </si>
  <si>
    <t>bottom_bracket_drop</t>
  </si>
  <si>
    <t>bb_height</t>
  </si>
  <si>
    <t>wheelbase</t>
  </si>
  <si>
    <t>SIZE </t>
  </si>
  <si>
    <t>head_tube_angle</t>
  </si>
  <si>
    <t>HEIGHT </t>
  </si>
  <si>
    <t>seat_tube_angle</t>
  </si>
  <si>
    <t>CMIN</t>
  </si>
  <si>
    <t>fork_offset_rake</t>
  </si>
  <si>
    <t>standover</t>
  </si>
  <si>
    <t>155-166</t>
  </si>
  <si>
    <t>reach</t>
  </si>
  <si>
    <t>stack</t>
  </si>
  <si>
    <t>167-172</t>
  </si>
  <si>
    <t>axle_crown</t>
  </si>
  <si>
    <t>trail</t>
  </si>
  <si>
    <t>173-179</t>
  </si>
  <si>
    <t>handlebar_width</t>
  </si>
  <si>
    <t>stem_length</t>
  </si>
  <si>
    <t>180-185</t>
  </si>
  <si>
    <t>crank_length</t>
  </si>
  <si>
    <t>wheel_size</t>
  </si>
  <si>
    <t>186-191</t>
  </si>
  <si>
    <t>tire_width_spec</t>
  </si>
  <si>
    <t>tire_width_max</t>
  </si>
  <si>
    <t>192-207</t>
  </si>
  <si>
    <t>rider_min</t>
  </si>
  <si>
    <t>rider_max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</si>
  <si>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</si>
  <si>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</si>
  <si>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</si>
  <si>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</si>
  <si>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</si>
  <si>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</si>
  <si>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</si>
  <si>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</si>
  <si>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</si>
  <si>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</si>
  <si>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</si>
  <si>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</si>
  <si>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</si>
  <si>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</si>
  <si>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</si>
  <si>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</si>
  <si>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</si>
  <si>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</si>
  <si>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</si>
  <si>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</si>
  <si>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</si>
  <si>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</si>
  <si>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</si>
  <si>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</si>
  <si>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</si>
  <si>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</si>
  <si>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</si>
  <si>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internal storage</t>
  </si>
  <si>
    <t>frame_weight</t>
  </si>
  <si>
    <t>BB386EVO</t>
  </si>
  <si>
    <t>53/36</t>
  </si>
  <si>
    <t>no</t>
  </si>
  <si>
    <t>us</t>
  </si>
  <si>
    <t>fork suspension</t>
  </si>
  <si>
    <t>stem suspension</t>
  </si>
  <si>
    <t>rear suspension</t>
  </si>
  <si>
    <t>a10:h34</t>
  </si>
  <si>
    <t>700c width max</t>
  </si>
  <si>
    <t>ISO ASTM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</si>
</sst>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36"/>
  <sheetViews>
    <sheetView tabSelected="1" topLeftCell="M1" workbookViewId="0">
      <selection activeCell="AB6" sqref="AB6"/>
    </sheetView>
  </sheetViews>
  <sheetFormatPr baseColWidth="10" defaultRowHeight="20" x14ac:dyDescent="0.3"/>
  <cols>
    <col min="1" max="1" width="29.33203125" style="1" bestFit="1" customWidth="1"/>
    <col min="2" max="2" width="27.83203125" style="1" customWidth="1"/>
    <col min="3" max="5" width="11" style="1" bestFit="1" customWidth="1"/>
    <col min="6" max="6" width="14.1640625" style="1" customWidth="1"/>
    <col min="7" max="9" width="16.5" style="1" customWidth="1"/>
    <col min="10" max="10" width="10.83203125" style="1"/>
    <col min="11" max="25" width="11" style="1" bestFit="1" customWidth="1"/>
    <col min="26" max="16384" width="10.83203125" style="1"/>
  </cols>
  <sheetData>
    <row r="1" spans="1:34" x14ac:dyDescent="0.3">
      <c r="A1" s="1" t="s">
        <v>0</v>
      </c>
      <c r="B1" s="1" t="s">
        <v>1</v>
      </c>
    </row>
    <row r="2" spans="1:34" x14ac:dyDescent="0.3">
      <c r="A2" s="1" t="s">
        <v>2</v>
      </c>
      <c r="B2" s="1" t="s">
        <v>3</v>
      </c>
    </row>
    <row r="3" spans="1:34" x14ac:dyDescent="0.3">
      <c r="A3" s="1" t="s">
        <v>4</v>
      </c>
      <c r="B3" s="1">
        <v>2025</v>
      </c>
    </row>
    <row r="4" spans="1:34" x14ac:dyDescent="0.3">
      <c r="A4" s="1" t="s">
        <v>5</v>
      </c>
      <c r="B4" s="2">
        <v>45853</v>
      </c>
    </row>
    <row r="5" spans="1:34" x14ac:dyDescent="0.3">
      <c r="A5" s="1" t="s">
        <v>6</v>
      </c>
      <c r="B5" s="1" t="s">
        <v>7</v>
      </c>
    </row>
    <row r="6" spans="1:34" customFormat="1" ht="55" customHeight="1" x14ac:dyDescent="0.3">
      <c r="A6" s="3" t="s">
        <v>8</v>
      </c>
      <c r="B6" s="3" t="s">
        <v>66</v>
      </c>
      <c r="C6" s="3" t="s">
        <v>67</v>
      </c>
      <c r="D6" s="3" t="s">
        <v>103</v>
      </c>
      <c r="E6" s="3" t="s">
        <v>68</v>
      </c>
      <c r="F6" s="3" t="s">
        <v>69</v>
      </c>
      <c r="G6" s="3" t="s">
        <v>99</v>
      </c>
      <c r="H6" s="3" t="s">
        <v>100</v>
      </c>
      <c r="I6" s="3" t="s">
        <v>101</v>
      </c>
      <c r="J6" s="3" t="s">
        <v>70</v>
      </c>
      <c r="K6" s="3" t="s">
        <v>71</v>
      </c>
      <c r="L6" s="3" t="s">
        <v>72</v>
      </c>
      <c r="M6" s="3" t="s">
        <v>73</v>
      </c>
      <c r="N6" s="3" t="s">
        <v>74</v>
      </c>
      <c r="O6" s="3" t="s">
        <v>75</v>
      </c>
      <c r="P6" s="3" t="s">
        <v>76</v>
      </c>
      <c r="Q6" s="3" t="s">
        <v>77</v>
      </c>
      <c r="R6" s="3" t="s">
        <v>78</v>
      </c>
      <c r="S6" s="3" t="s">
        <v>79</v>
      </c>
      <c r="T6" s="3" t="s">
        <v>80</v>
      </c>
      <c r="U6" s="3" t="s">
        <v>81</v>
      </c>
      <c r="V6" s="3" t="s">
        <v>82</v>
      </c>
      <c r="W6" s="3" t="s">
        <v>83</v>
      </c>
      <c r="X6" s="3" t="s">
        <v>84</v>
      </c>
      <c r="Y6" s="3" t="s">
        <v>85</v>
      </c>
      <c r="Z6" s="3" t="s">
        <v>86</v>
      </c>
      <c r="AA6" s="3" t="s">
        <v>87</v>
      </c>
      <c r="AB6" s="4" t="s">
        <v>104</v>
      </c>
      <c r="AC6" s="3" t="s">
        <v>88</v>
      </c>
      <c r="AD6" s="3" t="s">
        <v>89</v>
      </c>
      <c r="AE6" s="3" t="s">
        <v>90</v>
      </c>
      <c r="AF6" s="3" t="s">
        <v>91</v>
      </c>
      <c r="AG6" s="3" t="s">
        <v>92</v>
      </c>
      <c r="AH6" s="3" t="s">
        <v>93</v>
      </c>
    </row>
    <row r="7" spans="1:34" x14ac:dyDescent="0.3">
      <c r="A7" s="1" t="s">
        <v>9</v>
      </c>
      <c r="B7" s="1" t="s">
        <v>10</v>
      </c>
      <c r="C7" s="1">
        <v>0</v>
      </c>
      <c r="D7" s="1">
        <v>50</v>
      </c>
      <c r="F7" s="1" t="s">
        <v>97</v>
      </c>
      <c r="G7" s="1" t="s">
        <v>97</v>
      </c>
      <c r="H7" s="1" t="s">
        <v>97</v>
      </c>
      <c r="I7" s="1" t="s">
        <v>97</v>
      </c>
      <c r="J7" s="1">
        <v>142</v>
      </c>
      <c r="K7" s="1">
        <v>100</v>
      </c>
      <c r="M7" s="1">
        <v>27.2</v>
      </c>
      <c r="Q7" s="1" t="s">
        <v>10</v>
      </c>
      <c r="R7" s="1">
        <v>50</v>
      </c>
      <c r="S7" s="1" t="s">
        <v>96</v>
      </c>
      <c r="T7" s="1" t="s">
        <v>95</v>
      </c>
      <c r="U7" s="1">
        <v>2</v>
      </c>
      <c r="V7" s="1">
        <v>0</v>
      </c>
      <c r="X7" s="1" t="s">
        <v>10</v>
      </c>
      <c r="Y7" s="1" t="s">
        <v>10</v>
      </c>
      <c r="Z7" s="1" t="s">
        <v>10</v>
      </c>
      <c r="AA7" s="1" t="s">
        <v>97</v>
      </c>
      <c r="AC7" s="1">
        <v>160</v>
      </c>
      <c r="AD7" s="1">
        <v>160</v>
      </c>
      <c r="AF7" s="1">
        <v>2999</v>
      </c>
      <c r="AG7" s="1" t="s">
        <v>98</v>
      </c>
      <c r="AH7" s="1" t="s">
        <v>10</v>
      </c>
    </row>
    <row r="9" spans="1:34" x14ac:dyDescent="0.3">
      <c r="A9" s="1" t="s">
        <v>11</v>
      </c>
      <c r="B9" s="1" t="s">
        <v>102</v>
      </c>
      <c r="K9" s="1" t="s">
        <v>12</v>
      </c>
      <c r="L9" s="1" t="s">
        <v>13</v>
      </c>
      <c r="M9" s="1" t="s">
        <v>14</v>
      </c>
      <c r="N9" s="1" t="s">
        <v>15</v>
      </c>
      <c r="O9" s="1" t="s">
        <v>16</v>
      </c>
      <c r="P9" s="1" t="s">
        <v>17</v>
      </c>
      <c r="Q9" s="1" t="s">
        <v>18</v>
      </c>
      <c r="R9" s="1" t="s">
        <v>19</v>
      </c>
      <c r="S9" s="1" t="s">
        <v>20</v>
      </c>
      <c r="T9" s="1" t="s">
        <v>21</v>
      </c>
      <c r="U9" s="1" t="s">
        <v>22</v>
      </c>
      <c r="V9" s="1" t="s">
        <v>23</v>
      </c>
      <c r="W9" s="1" t="s">
        <v>24</v>
      </c>
      <c r="X9" s="1" t="s">
        <v>25</v>
      </c>
      <c r="Y9" s="1" t="s">
        <v>26</v>
      </c>
    </row>
    <row r="10" spans="1:34" x14ac:dyDescent="0.3">
      <c r="A10" s="1" t="s">
        <v>27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33</v>
      </c>
      <c r="J10" s="1" t="s">
        <v>28</v>
      </c>
      <c r="K10" s="1">
        <v>410</v>
      </c>
      <c r="L10" s="1">
        <v>535</v>
      </c>
      <c r="M10" s="1">
        <v>110</v>
      </c>
      <c r="N10" s="1">
        <v>430</v>
      </c>
      <c r="O10" s="1">
        <v>80</v>
      </c>
      <c r="P10" s="1">
        <v>261</v>
      </c>
      <c r="Q10" s="1">
        <v>1031</v>
      </c>
      <c r="R10" s="1">
        <v>69</v>
      </c>
      <c r="S10" s="1">
        <v>74</v>
      </c>
      <c r="T10" s="1">
        <v>45</v>
      </c>
      <c r="U10" s="1">
        <v>690</v>
      </c>
      <c r="V10" s="1">
        <v>386</v>
      </c>
      <c r="W10" s="1">
        <v>535</v>
      </c>
      <c r="X10" s="1">
        <v>395</v>
      </c>
      <c r="Y10" s="1">
        <v>82.7</v>
      </c>
    </row>
    <row r="11" spans="1:34" x14ac:dyDescent="0.3">
      <c r="A11" s="1" t="s">
        <v>34</v>
      </c>
      <c r="B11" s="1" t="s">
        <v>12</v>
      </c>
      <c r="C11" s="1">
        <v>410</v>
      </c>
      <c r="D11" s="1">
        <v>440</v>
      </c>
      <c r="E11" s="1">
        <v>470</v>
      </c>
      <c r="F11" s="1">
        <v>505</v>
      </c>
      <c r="G11" s="1">
        <v>540</v>
      </c>
      <c r="H11" s="1">
        <v>575</v>
      </c>
      <c r="J11" s="1" t="s">
        <v>29</v>
      </c>
      <c r="K11" s="1">
        <v>440</v>
      </c>
      <c r="L11" s="1">
        <v>547</v>
      </c>
      <c r="M11" s="1">
        <v>132.5</v>
      </c>
      <c r="N11" s="1">
        <v>430</v>
      </c>
      <c r="O11" s="1">
        <v>80</v>
      </c>
      <c r="P11" s="1">
        <v>261</v>
      </c>
      <c r="Q11" s="1">
        <v>1041</v>
      </c>
      <c r="R11" s="1">
        <v>69.5</v>
      </c>
      <c r="S11" s="1">
        <v>74</v>
      </c>
      <c r="T11" s="1">
        <v>45</v>
      </c>
      <c r="U11" s="1">
        <v>717</v>
      </c>
      <c r="V11" s="1">
        <v>392</v>
      </c>
      <c r="W11" s="1">
        <v>558</v>
      </c>
      <c r="X11" s="1">
        <v>395</v>
      </c>
      <c r="Y11" s="1">
        <v>79.5</v>
      </c>
    </row>
    <row r="12" spans="1:34" x14ac:dyDescent="0.3">
      <c r="A12" s="1" t="s">
        <v>35</v>
      </c>
      <c r="B12" s="1" t="s">
        <v>13</v>
      </c>
      <c r="C12" s="1">
        <v>535</v>
      </c>
      <c r="D12" s="1">
        <v>547</v>
      </c>
      <c r="E12" s="1">
        <v>561</v>
      </c>
      <c r="F12" s="1">
        <v>573</v>
      </c>
      <c r="G12" s="1">
        <v>585</v>
      </c>
      <c r="H12" s="1">
        <v>596</v>
      </c>
      <c r="J12" s="1" t="s">
        <v>30</v>
      </c>
      <c r="K12" s="1">
        <v>470</v>
      </c>
      <c r="L12" s="1">
        <v>561</v>
      </c>
      <c r="M12" s="1">
        <v>153.5</v>
      </c>
      <c r="N12" s="1">
        <v>430</v>
      </c>
      <c r="O12" s="1">
        <v>80</v>
      </c>
      <c r="P12" s="1">
        <v>261</v>
      </c>
      <c r="Q12" s="1">
        <v>1052</v>
      </c>
      <c r="R12" s="1">
        <v>70</v>
      </c>
      <c r="S12" s="1">
        <v>74</v>
      </c>
      <c r="T12" s="1">
        <v>45</v>
      </c>
      <c r="U12" s="1">
        <v>743</v>
      </c>
      <c r="V12" s="1">
        <v>400</v>
      </c>
      <c r="W12" s="1">
        <v>580</v>
      </c>
      <c r="X12" s="1">
        <v>395</v>
      </c>
      <c r="Y12" s="1">
        <v>76.2</v>
      </c>
    </row>
    <row r="13" spans="1:34" x14ac:dyDescent="0.3">
      <c r="A13" s="1" t="s">
        <v>36</v>
      </c>
      <c r="B13" s="1" t="s">
        <v>14</v>
      </c>
      <c r="C13" s="1">
        <v>110</v>
      </c>
      <c r="D13" s="1">
        <v>132.5</v>
      </c>
      <c r="E13" s="1">
        <v>153.5</v>
      </c>
      <c r="F13" s="1">
        <v>175</v>
      </c>
      <c r="G13" s="1">
        <v>198</v>
      </c>
      <c r="H13" s="1">
        <v>218</v>
      </c>
      <c r="J13" s="1" t="s">
        <v>31</v>
      </c>
      <c r="K13" s="1">
        <v>505</v>
      </c>
      <c r="L13" s="1">
        <v>573</v>
      </c>
      <c r="M13" s="1">
        <v>175</v>
      </c>
      <c r="N13" s="1">
        <v>430</v>
      </c>
      <c r="O13" s="1">
        <v>80</v>
      </c>
      <c r="P13" s="1">
        <v>261</v>
      </c>
      <c r="Q13" s="1">
        <v>1061</v>
      </c>
      <c r="R13" s="1">
        <v>70.5</v>
      </c>
      <c r="S13" s="1">
        <v>74</v>
      </c>
      <c r="T13" s="1">
        <v>45</v>
      </c>
      <c r="U13" s="1">
        <v>772</v>
      </c>
      <c r="V13" s="1">
        <v>406</v>
      </c>
      <c r="W13" s="1">
        <v>602</v>
      </c>
      <c r="X13" s="1">
        <v>395</v>
      </c>
      <c r="Y13" s="1">
        <v>73</v>
      </c>
    </row>
    <row r="14" spans="1:34" x14ac:dyDescent="0.3">
      <c r="A14" s="1" t="s">
        <v>37</v>
      </c>
      <c r="B14" s="1" t="s">
        <v>15</v>
      </c>
      <c r="C14" s="1">
        <v>430</v>
      </c>
      <c r="D14" s="1">
        <v>430</v>
      </c>
      <c r="E14" s="1">
        <v>430</v>
      </c>
      <c r="F14" s="1">
        <v>430</v>
      </c>
      <c r="G14" s="1">
        <v>430</v>
      </c>
      <c r="H14" s="1">
        <v>430</v>
      </c>
      <c r="J14" s="1" t="s">
        <v>32</v>
      </c>
      <c r="K14" s="1">
        <v>540</v>
      </c>
      <c r="L14" s="1">
        <v>585</v>
      </c>
      <c r="M14" s="1">
        <v>198</v>
      </c>
      <c r="N14" s="1">
        <v>430</v>
      </c>
      <c r="O14" s="1">
        <v>80</v>
      </c>
      <c r="P14" s="1">
        <v>261</v>
      </c>
      <c r="Q14" s="1">
        <v>1072</v>
      </c>
      <c r="R14" s="1">
        <v>70.8</v>
      </c>
      <c r="S14" s="1">
        <v>74</v>
      </c>
      <c r="T14" s="1">
        <v>45</v>
      </c>
      <c r="U14" s="1">
        <v>801</v>
      </c>
      <c r="V14" s="1">
        <v>412</v>
      </c>
      <c r="W14" s="1">
        <v>625</v>
      </c>
      <c r="X14" s="1">
        <v>395</v>
      </c>
      <c r="Y14" s="1">
        <v>71.400000000000006</v>
      </c>
    </row>
    <row r="15" spans="1:34" x14ac:dyDescent="0.3">
      <c r="A15" s="1" t="s">
        <v>38</v>
      </c>
      <c r="B15" s="1" t="s">
        <v>16</v>
      </c>
      <c r="C15" s="1">
        <v>80</v>
      </c>
      <c r="D15" s="1">
        <v>80</v>
      </c>
      <c r="E15" s="1">
        <v>80</v>
      </c>
      <c r="F15" s="1">
        <v>80</v>
      </c>
      <c r="G15" s="1">
        <v>80</v>
      </c>
      <c r="H15" s="1">
        <v>80</v>
      </c>
      <c r="J15" s="1" t="s">
        <v>33</v>
      </c>
      <c r="K15" s="1">
        <v>575</v>
      </c>
      <c r="L15" s="1">
        <v>596</v>
      </c>
      <c r="M15" s="1">
        <v>218</v>
      </c>
      <c r="N15" s="1">
        <v>430</v>
      </c>
      <c r="O15" s="1">
        <v>80</v>
      </c>
      <c r="P15" s="1">
        <v>261</v>
      </c>
      <c r="Q15" s="1">
        <v>1081</v>
      </c>
      <c r="R15" s="1">
        <v>71</v>
      </c>
      <c r="S15" s="1">
        <v>74</v>
      </c>
      <c r="T15" s="1">
        <v>45</v>
      </c>
      <c r="U15" s="1">
        <v>828</v>
      </c>
      <c r="V15" s="1">
        <v>417</v>
      </c>
      <c r="W15" s="1">
        <v>645</v>
      </c>
      <c r="X15" s="1">
        <v>395</v>
      </c>
      <c r="Y15" s="1">
        <v>69.8</v>
      </c>
    </row>
    <row r="16" spans="1:34" x14ac:dyDescent="0.3">
      <c r="A16" s="1" t="s">
        <v>39</v>
      </c>
      <c r="B16" s="1" t="s">
        <v>17</v>
      </c>
      <c r="C16" s="1">
        <v>261</v>
      </c>
      <c r="D16" s="1">
        <v>261</v>
      </c>
      <c r="E16" s="1">
        <v>261</v>
      </c>
      <c r="F16" s="1">
        <v>261</v>
      </c>
      <c r="G16" s="1">
        <v>261</v>
      </c>
      <c r="H16" s="1">
        <v>261</v>
      </c>
    </row>
    <row r="17" spans="1:10" x14ac:dyDescent="0.3">
      <c r="A17" s="1" t="s">
        <v>40</v>
      </c>
      <c r="B17" s="1" t="s">
        <v>18</v>
      </c>
      <c r="C17" s="1">
        <v>1031</v>
      </c>
      <c r="D17" s="1">
        <v>1041</v>
      </c>
      <c r="E17" s="1">
        <v>1052</v>
      </c>
      <c r="F17" s="1">
        <v>1061</v>
      </c>
      <c r="G17" s="1">
        <v>1072</v>
      </c>
      <c r="H17" s="1">
        <v>1081</v>
      </c>
      <c r="J17" s="1" t="s">
        <v>41</v>
      </c>
    </row>
    <row r="18" spans="1:10" x14ac:dyDescent="0.3">
      <c r="A18" s="1" t="s">
        <v>42</v>
      </c>
      <c r="B18" s="1" t="s">
        <v>19</v>
      </c>
      <c r="C18" s="1">
        <v>69</v>
      </c>
      <c r="D18" s="1">
        <v>69.5</v>
      </c>
      <c r="E18" s="1">
        <v>70</v>
      </c>
      <c r="F18" s="1">
        <v>70.5</v>
      </c>
      <c r="G18" s="1">
        <v>70.8</v>
      </c>
      <c r="H18" s="1">
        <v>71</v>
      </c>
      <c r="J18" s="1" t="s">
        <v>43</v>
      </c>
    </row>
    <row r="19" spans="1:10" x14ac:dyDescent="0.3">
      <c r="A19" s="1" t="s">
        <v>44</v>
      </c>
      <c r="B19" s="1" t="s">
        <v>20</v>
      </c>
      <c r="C19" s="1">
        <v>74</v>
      </c>
      <c r="D19" s="1">
        <v>74</v>
      </c>
      <c r="E19" s="1">
        <v>74</v>
      </c>
      <c r="F19" s="1">
        <v>74</v>
      </c>
      <c r="G19" s="1">
        <v>74</v>
      </c>
      <c r="H19" s="1">
        <v>74</v>
      </c>
      <c r="J19" s="1" t="s">
        <v>45</v>
      </c>
    </row>
    <row r="20" spans="1:10" x14ac:dyDescent="0.3">
      <c r="A20" s="1" t="s">
        <v>46</v>
      </c>
      <c r="B20" s="1" t="s">
        <v>21</v>
      </c>
      <c r="C20" s="1">
        <v>45</v>
      </c>
      <c r="D20" s="1">
        <v>45</v>
      </c>
      <c r="E20" s="1">
        <v>45</v>
      </c>
      <c r="F20" s="1">
        <v>45</v>
      </c>
      <c r="G20" s="1">
        <v>45</v>
      </c>
      <c r="H20" s="1">
        <v>45</v>
      </c>
      <c r="J20" s="1" t="s">
        <v>28</v>
      </c>
    </row>
    <row r="21" spans="1:10" x14ac:dyDescent="0.3">
      <c r="A21" s="1" t="s">
        <v>47</v>
      </c>
      <c r="B21" s="1" t="s">
        <v>22</v>
      </c>
      <c r="C21" s="1">
        <v>690</v>
      </c>
      <c r="D21" s="1">
        <v>717</v>
      </c>
      <c r="E21" s="1">
        <v>743</v>
      </c>
      <c r="F21" s="1">
        <v>772</v>
      </c>
      <c r="G21" s="1">
        <v>801</v>
      </c>
      <c r="H21" s="1">
        <v>828</v>
      </c>
      <c r="J21" s="1" t="s">
        <v>48</v>
      </c>
    </row>
    <row r="22" spans="1:10" x14ac:dyDescent="0.3">
      <c r="A22" s="1" t="s">
        <v>49</v>
      </c>
      <c r="B22" s="1" t="s">
        <v>23</v>
      </c>
      <c r="C22" s="1">
        <v>386</v>
      </c>
      <c r="D22" s="1">
        <v>392</v>
      </c>
      <c r="E22" s="1">
        <v>400</v>
      </c>
      <c r="F22" s="1">
        <v>406</v>
      </c>
      <c r="G22" s="1">
        <v>412</v>
      </c>
      <c r="H22" s="1">
        <v>417</v>
      </c>
      <c r="J22" s="1" t="s">
        <v>29</v>
      </c>
    </row>
    <row r="23" spans="1:10" x14ac:dyDescent="0.3">
      <c r="A23" s="1" t="s">
        <v>50</v>
      </c>
      <c r="B23" s="1" t="s">
        <v>24</v>
      </c>
      <c r="C23" s="1">
        <v>535</v>
      </c>
      <c r="D23" s="1">
        <v>558</v>
      </c>
      <c r="E23" s="1">
        <v>580</v>
      </c>
      <c r="F23" s="1">
        <v>602</v>
      </c>
      <c r="G23" s="1">
        <v>625</v>
      </c>
      <c r="H23" s="1">
        <v>645</v>
      </c>
      <c r="J23" s="1" t="s">
        <v>51</v>
      </c>
    </row>
    <row r="24" spans="1:10" x14ac:dyDescent="0.3">
      <c r="A24" s="1" t="s">
        <v>52</v>
      </c>
      <c r="B24" s="1" t="s">
        <v>25</v>
      </c>
      <c r="C24" s="1">
        <v>395</v>
      </c>
      <c r="D24" s="1">
        <v>395</v>
      </c>
      <c r="E24" s="1">
        <v>395</v>
      </c>
      <c r="F24" s="1">
        <v>395</v>
      </c>
      <c r="G24" s="1">
        <v>395</v>
      </c>
      <c r="H24" s="1">
        <v>395</v>
      </c>
      <c r="J24" s="1" t="s">
        <v>30</v>
      </c>
    </row>
    <row r="25" spans="1:10" x14ac:dyDescent="0.3">
      <c r="A25" s="1" t="s">
        <v>53</v>
      </c>
      <c r="B25" s="1" t="s">
        <v>26</v>
      </c>
      <c r="C25" s="1">
        <v>82.7</v>
      </c>
      <c r="D25" s="1">
        <v>79.5</v>
      </c>
      <c r="E25" s="1">
        <v>76.2</v>
      </c>
      <c r="F25" s="1">
        <v>73</v>
      </c>
      <c r="G25" s="1">
        <v>71.400000000000006</v>
      </c>
      <c r="H25" s="1">
        <v>69.8</v>
      </c>
      <c r="J25" s="1" t="s">
        <v>54</v>
      </c>
    </row>
    <row r="26" spans="1:10" x14ac:dyDescent="0.3">
      <c r="A26" s="1" t="s">
        <v>55</v>
      </c>
      <c r="J26" s="1" t="s">
        <v>31</v>
      </c>
    </row>
    <row r="27" spans="1:10" x14ac:dyDescent="0.3">
      <c r="A27" s="1" t="s">
        <v>56</v>
      </c>
      <c r="C27" s="1">
        <v>70</v>
      </c>
      <c r="D27" s="1">
        <v>80</v>
      </c>
      <c r="E27" s="1">
        <v>90</v>
      </c>
      <c r="F27" s="1">
        <v>90</v>
      </c>
      <c r="G27" s="1">
        <v>100</v>
      </c>
      <c r="H27" s="1">
        <v>110</v>
      </c>
      <c r="J27" s="1" t="s">
        <v>57</v>
      </c>
    </row>
    <row r="28" spans="1:10" x14ac:dyDescent="0.3">
      <c r="A28" s="1" t="s">
        <v>58</v>
      </c>
      <c r="J28" s="1" t="s">
        <v>32</v>
      </c>
    </row>
    <row r="29" spans="1:10" x14ac:dyDescent="0.3">
      <c r="A29" s="1" t="s">
        <v>94</v>
      </c>
      <c r="E29" s="1">
        <v>1040</v>
      </c>
      <c r="J29" s="1" t="s">
        <v>60</v>
      </c>
    </row>
    <row r="30" spans="1:10" x14ac:dyDescent="0.3">
      <c r="A30" s="1" t="s">
        <v>59</v>
      </c>
      <c r="C30" s="1">
        <v>700</v>
      </c>
      <c r="D30" s="1">
        <v>700</v>
      </c>
      <c r="E30" s="1">
        <v>700</v>
      </c>
      <c r="F30" s="1">
        <v>700</v>
      </c>
      <c r="G30" s="1">
        <v>700</v>
      </c>
      <c r="H30" s="1">
        <v>700</v>
      </c>
      <c r="J30" s="1" t="s">
        <v>33</v>
      </c>
    </row>
    <row r="31" spans="1:10" x14ac:dyDescent="0.3">
      <c r="A31" s="1" t="s">
        <v>61</v>
      </c>
      <c r="C31" s="1">
        <v>45</v>
      </c>
      <c r="D31" s="1">
        <v>45</v>
      </c>
      <c r="E31" s="1">
        <v>45</v>
      </c>
      <c r="F31" s="1">
        <v>45</v>
      </c>
      <c r="G31" s="1">
        <v>45</v>
      </c>
      <c r="H31" s="1">
        <v>45</v>
      </c>
      <c r="J31" s="1" t="s">
        <v>63</v>
      </c>
    </row>
    <row r="32" spans="1:10" x14ac:dyDescent="0.3">
      <c r="A32" s="1" t="s">
        <v>62</v>
      </c>
      <c r="C32" s="1">
        <v>50</v>
      </c>
      <c r="D32" s="1">
        <v>50</v>
      </c>
      <c r="E32" s="1">
        <v>50</v>
      </c>
      <c r="F32" s="1">
        <v>50</v>
      </c>
      <c r="G32" s="1">
        <v>50</v>
      </c>
      <c r="H32" s="1">
        <v>50</v>
      </c>
    </row>
    <row r="33" spans="1:8" x14ac:dyDescent="0.3">
      <c r="A33" s="1" t="s">
        <v>64</v>
      </c>
      <c r="C33" s="1">
        <f>C35</f>
        <v>155</v>
      </c>
      <c r="D33" s="1">
        <f>AVERAGE(D35,C36)</f>
        <v>166.5</v>
      </c>
      <c r="E33" s="1">
        <f t="shared" ref="E33:H33" si="0">AVERAGE(E35,D36)</f>
        <v>172.5</v>
      </c>
      <c r="F33" s="1">
        <f t="shared" si="0"/>
        <v>179.5</v>
      </c>
      <c r="G33" s="1">
        <f t="shared" si="0"/>
        <v>185.5</v>
      </c>
      <c r="H33" s="1">
        <f t="shared" si="0"/>
        <v>191.5</v>
      </c>
    </row>
    <row r="34" spans="1:8" x14ac:dyDescent="0.3">
      <c r="A34" s="1" t="s">
        <v>65</v>
      </c>
      <c r="C34" s="1">
        <f>D33</f>
        <v>166.5</v>
      </c>
      <c r="D34" s="1">
        <f t="shared" ref="D34:G34" si="1">E33</f>
        <v>172.5</v>
      </c>
      <c r="E34" s="1">
        <f t="shared" si="1"/>
        <v>179.5</v>
      </c>
      <c r="F34" s="1">
        <f t="shared" si="1"/>
        <v>185.5</v>
      </c>
      <c r="G34" s="1">
        <f t="shared" si="1"/>
        <v>191.5</v>
      </c>
      <c r="H34" s="1">
        <f t="shared" ref="H34" si="2">H36</f>
        <v>207</v>
      </c>
    </row>
    <row r="35" spans="1:8" x14ac:dyDescent="0.3">
      <c r="C35" s="1">
        <v>155</v>
      </c>
      <c r="D35" s="1">
        <v>167</v>
      </c>
      <c r="E35" s="1">
        <v>173</v>
      </c>
      <c r="F35" s="1">
        <v>180</v>
      </c>
      <c r="G35" s="1">
        <v>186</v>
      </c>
      <c r="H35" s="1">
        <v>192</v>
      </c>
    </row>
    <row r="36" spans="1:8" x14ac:dyDescent="0.3">
      <c r="C36" s="1">
        <v>166</v>
      </c>
      <c r="D36" s="1">
        <v>172</v>
      </c>
      <c r="E36" s="1">
        <v>179</v>
      </c>
      <c r="F36" s="1">
        <v>185</v>
      </c>
      <c r="G36" s="1">
        <v>191</v>
      </c>
      <c r="H36" s="1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Orbea Terra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2025-07-20T20:27:57Z</dcterms:modified>
</cp:coreProperties>
</file>