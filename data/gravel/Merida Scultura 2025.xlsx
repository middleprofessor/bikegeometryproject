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C335825-59A9-5740-9427-08EE3F9ACB4C}" xr6:coauthVersionLast="47" xr6:coauthVersionMax="47" xr10:uidLastSave="{00000000-0000-0000-0000-000000000000}"/>
  <bookViews>
    <workbookView xWindow="3080" yWindow="500" windowWidth="2572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I30" i="1"/>
  <c r="I31" i="1"/>
  <c r="J31" i="1"/>
  <c r="H30" i="1"/>
  <c r="G31" i="1" s="1"/>
  <c r="H31" i="1"/>
  <c r="C30" i="1"/>
  <c r="G30" i="1" l="1"/>
  <c r="F31" i="1" s="1"/>
  <c r="E30" i="1"/>
  <c r="D31" i="1" s="1"/>
  <c r="D30" i="1"/>
  <c r="C31" i="1" s="1"/>
  <c r="F30" i="1"/>
  <c r="E31" i="1" s="1"/>
</calcChain>
</file>

<file path=xl/sharedStrings.xml><?xml version="1.0" encoding="utf-8"?>
<sst xmlns="http://schemas.openxmlformats.org/spreadsheetml/2006/main" count="109" uniqueCount="104">
  <si>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</si>
  <si>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</si>
  <si>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</si>
  <si>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</si>
  <si>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</si>
  <si>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</si>
  <si>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</si>
  <si>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</si>
  <si>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</si>
  <si>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</si>
  <si>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</si>
  <si>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</si>
  <si>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</si>
  <si>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</si>
  <si>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</si>
  <si>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</si>
  <si>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</si>
  <si>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</si>
  <si>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</si>
  <si>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</si>
  <si>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</si>
  <si>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</si>
  <si>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</si>
  <si>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</si>
  <si>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</si>
  <si>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</si>
  <si>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</si>
  <si>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</si>
  <si>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</si>
  <si>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</si>
  <si>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</si>
  <si>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</si>
  <si>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</si>
  <si>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</si>
  <si>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</si>
  <si>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</si>
  <si>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</si>
  <si>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</si>
  <si>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</si>
  <si>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</si>
  <si>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</si>
  <si>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</si>
  <si>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</si>
  <si>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</si>
  <si>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</si>
  <si>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</si>
  <si>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</si>
  <si>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</si>
  <si>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</si>
  <si>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</si>
  <si>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</si>
  <si>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</si>
  <si>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</si>
  <si>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</si>
  <si>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</si>
  <si>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</si>
  <si>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</si>
  <si>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</si>
  <si>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</si>
  <si>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</si>
  <si>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</si>
  <si>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</si>
  <si>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</si>
  <si>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</si>
  <si>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</si>
  <si>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</si>
  <si>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</si>
  <si>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</si>
  <si>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M</t>
  </si>
  <si>
    <t>L</t>
  </si>
  <si>
    <t>XL</t>
  </si>
  <si>
    <t>XS</t>
  </si>
  <si>
    <t>S</t>
  </si>
  <si>
    <t>rider_min_spec</t>
  </si>
  <si>
    <t>rider_max_spec</t>
  </si>
  <si>
    <t>yes</t>
  </si>
  <si>
    <t>Merida</t>
  </si>
  <si>
    <t>Scultura</t>
  </si>
  <si>
    <t>FRAME SIZE</t>
  </si>
  <si>
    <t>4XS</t>
  </si>
  <si>
    <t>3XS</t>
  </si>
  <si>
    <t>XXS</t>
  </si>
  <si>
    <t>TYRE SIZES</t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</si>
  <si>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</si>
  <si>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</si>
  <si>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</si>
  <si>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</si>
  <si>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</si>
  <si>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BRACKET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</si>
  <si>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</si>
  <si>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</si>
  <si>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</si>
  <si>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</si>
  <si>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</si>
  <si>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</si>
  <si>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tyre_size</t>
  </si>
  <si>
    <t>aluminum</t>
  </si>
  <si>
    <t>handlebar_width</t>
  </si>
  <si>
    <t>stem_length</t>
  </si>
  <si>
    <t>crank_length</t>
  </si>
  <si>
    <t>frame_weight</t>
  </si>
  <si>
    <t>a8:j33</t>
  </si>
  <si>
    <t>https://www.merida-bikes.com/en/bikefinder/tag/scultura-endurance-gr-324</t>
  </si>
  <si>
    <t>https://d27bpu3c1nsd28.cloudfront.net/merida-v2/crud-zoom-img/master/bikes/2026/SCULTURA_ENDURANCE_GR_700_hnyblk_MY26.tif?p1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</si>
</sst>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  <font>
      <b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3"/>
  <sheetViews>
    <sheetView tabSelected="1" zoomScale="94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76</v>
      </c>
    </row>
    <row r="2" spans="1:61" x14ac:dyDescent="0.3">
      <c r="A2" s="1" t="s">
        <v>1</v>
      </c>
      <c r="B2" s="1" t="s">
        <v>77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102</v>
      </c>
    </row>
    <row r="6" spans="1:61" x14ac:dyDescent="0.3">
      <c r="B6" s="1" t="s">
        <v>103</v>
      </c>
    </row>
    <row r="7" spans="1:61" x14ac:dyDescent="0.3">
      <c r="A7" s="3" t="s">
        <v>5</v>
      </c>
      <c r="B7" s="3" t="s">
        <v>101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6" t="s">
        <v>78</v>
      </c>
      <c r="C8" s="6" t="s">
        <v>79</v>
      </c>
      <c r="D8" s="6" t="s">
        <v>80</v>
      </c>
      <c r="E8" s="6" t="s">
        <v>81</v>
      </c>
      <c r="F8" s="6" t="s">
        <v>71</v>
      </c>
      <c r="G8" s="6" t="s">
        <v>72</v>
      </c>
      <c r="H8" s="6" t="s">
        <v>68</v>
      </c>
      <c r="I8" s="6" t="s">
        <v>69</v>
      </c>
      <c r="J8" s="6" t="s">
        <v>70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1" t="s">
        <v>95</v>
      </c>
      <c r="B9" s="6" t="s">
        <v>82</v>
      </c>
      <c r="C9" s="7">
        <v>28</v>
      </c>
      <c r="D9" s="7">
        <v>28</v>
      </c>
      <c r="E9" s="7">
        <v>28</v>
      </c>
      <c r="F9" s="7">
        <v>28</v>
      </c>
      <c r="G9" s="7">
        <v>28</v>
      </c>
      <c r="H9" s="7">
        <v>28</v>
      </c>
      <c r="I9" s="7">
        <v>28</v>
      </c>
      <c r="J9" s="7">
        <v>28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7</v>
      </c>
      <c r="B10" s="6" t="s">
        <v>83</v>
      </c>
      <c r="C10" s="7">
        <v>380</v>
      </c>
      <c r="D10" s="7">
        <v>410</v>
      </c>
      <c r="E10" s="7">
        <v>440</v>
      </c>
      <c r="F10" s="7">
        <v>470</v>
      </c>
      <c r="G10" s="7">
        <v>490</v>
      </c>
      <c r="H10" s="7">
        <v>510</v>
      </c>
      <c r="I10" s="7">
        <v>530</v>
      </c>
      <c r="J10" s="7">
        <v>560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8</v>
      </c>
      <c r="B11" s="6" t="s">
        <v>84</v>
      </c>
      <c r="C11" s="7">
        <v>507</v>
      </c>
      <c r="D11" s="7">
        <v>507</v>
      </c>
      <c r="E11" s="7">
        <v>515</v>
      </c>
      <c r="F11" s="7">
        <v>524</v>
      </c>
      <c r="G11" s="7">
        <v>538</v>
      </c>
      <c r="H11" s="7">
        <v>553</v>
      </c>
      <c r="I11" s="7">
        <v>568</v>
      </c>
      <c r="J11" s="7">
        <v>583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13</v>
      </c>
      <c r="B12" s="6" t="s">
        <v>85</v>
      </c>
      <c r="C12" s="7">
        <v>418</v>
      </c>
      <c r="D12" s="7">
        <v>418</v>
      </c>
      <c r="E12" s="7">
        <v>418</v>
      </c>
      <c r="F12" s="7">
        <v>418</v>
      </c>
      <c r="G12" s="7">
        <v>418</v>
      </c>
      <c r="H12" s="7">
        <v>418</v>
      </c>
      <c r="I12" s="7">
        <v>418</v>
      </c>
      <c r="J12" s="7">
        <v>418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10</v>
      </c>
      <c r="B13" s="6" t="s">
        <v>86</v>
      </c>
      <c r="C13" s="7">
        <v>70</v>
      </c>
      <c r="D13" s="7">
        <v>70</v>
      </c>
      <c r="E13" s="7">
        <v>70.5</v>
      </c>
      <c r="F13" s="7">
        <v>71</v>
      </c>
      <c r="G13" s="7">
        <v>72</v>
      </c>
      <c r="H13" s="7">
        <v>73</v>
      </c>
      <c r="I13" s="7">
        <v>73</v>
      </c>
      <c r="J13" s="7">
        <v>73.5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3" t="s">
        <v>11</v>
      </c>
      <c r="B14" s="6" t="s">
        <v>87</v>
      </c>
      <c r="C14" s="7">
        <v>74.5</v>
      </c>
      <c r="D14" s="7">
        <v>74.5</v>
      </c>
      <c r="E14" s="7">
        <v>74</v>
      </c>
      <c r="F14" s="7">
        <v>74</v>
      </c>
      <c r="G14" s="7">
        <v>74</v>
      </c>
      <c r="H14" s="7">
        <v>73.5</v>
      </c>
      <c r="I14" s="7">
        <v>73.5</v>
      </c>
      <c r="J14" s="7">
        <v>73.5</v>
      </c>
    </row>
    <row r="15" spans="1:61" x14ac:dyDescent="0.3">
      <c r="A15" s="3" t="s">
        <v>12</v>
      </c>
      <c r="B15" s="6" t="s">
        <v>88</v>
      </c>
      <c r="C15" s="7">
        <v>70</v>
      </c>
      <c r="D15" s="7">
        <v>70</v>
      </c>
      <c r="E15" s="7">
        <v>66</v>
      </c>
      <c r="F15" s="7">
        <v>66</v>
      </c>
      <c r="G15" s="7">
        <v>66</v>
      </c>
      <c r="H15" s="7">
        <v>66</v>
      </c>
      <c r="I15" s="7">
        <v>66</v>
      </c>
      <c r="J15" s="7">
        <v>66</v>
      </c>
    </row>
    <row r="16" spans="1:61" ht="22" x14ac:dyDescent="0.3">
      <c r="A16" s="3" t="s">
        <v>9</v>
      </c>
      <c r="B16" s="6" t="s">
        <v>89</v>
      </c>
      <c r="C16" s="7">
        <v>125</v>
      </c>
      <c r="D16" s="7">
        <v>130</v>
      </c>
      <c r="E16" s="7">
        <v>140</v>
      </c>
      <c r="F16" s="7">
        <v>152</v>
      </c>
      <c r="G16" s="7">
        <v>161</v>
      </c>
      <c r="H16" s="7">
        <v>177</v>
      </c>
      <c r="I16" s="7">
        <v>197</v>
      </c>
      <c r="J16" s="7">
        <v>222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22</v>
      </c>
      <c r="B17" s="6" t="s">
        <v>90</v>
      </c>
      <c r="C17" s="7">
        <v>380</v>
      </c>
      <c r="D17" s="7">
        <v>380</v>
      </c>
      <c r="E17" s="7">
        <v>380</v>
      </c>
      <c r="F17" s="7">
        <v>380</v>
      </c>
      <c r="G17" s="7">
        <v>380</v>
      </c>
      <c r="H17" s="7">
        <v>380</v>
      </c>
      <c r="I17" s="7">
        <v>380</v>
      </c>
      <c r="J17" s="7">
        <v>380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15</v>
      </c>
      <c r="B18" s="6" t="s">
        <v>91</v>
      </c>
      <c r="C18" s="7">
        <v>360</v>
      </c>
      <c r="D18" s="7">
        <v>360</v>
      </c>
      <c r="E18" s="7">
        <v>360</v>
      </c>
      <c r="F18" s="7">
        <v>366</v>
      </c>
      <c r="G18" s="7">
        <v>376</v>
      </c>
      <c r="H18" s="7">
        <v>380</v>
      </c>
      <c r="I18" s="7">
        <v>389</v>
      </c>
      <c r="J18" s="7">
        <v>397</v>
      </c>
    </row>
    <row r="19" spans="1:35" x14ac:dyDescent="0.3">
      <c r="A19" s="3" t="s">
        <v>16</v>
      </c>
      <c r="B19" s="6" t="s">
        <v>92</v>
      </c>
      <c r="C19" s="7">
        <v>528</v>
      </c>
      <c r="D19" s="7">
        <v>532</v>
      </c>
      <c r="E19" s="7">
        <v>539</v>
      </c>
      <c r="F19" s="7">
        <v>552</v>
      </c>
      <c r="G19" s="7">
        <v>565</v>
      </c>
      <c r="H19" s="7">
        <v>584</v>
      </c>
      <c r="I19" s="7">
        <v>603</v>
      </c>
      <c r="J19" s="7">
        <v>629</v>
      </c>
    </row>
    <row r="20" spans="1:35" x14ac:dyDescent="0.3">
      <c r="A20" s="3" t="s">
        <v>14</v>
      </c>
      <c r="B20" s="6" t="s">
        <v>93</v>
      </c>
      <c r="C20" s="7">
        <v>990</v>
      </c>
      <c r="D20" s="7">
        <v>991</v>
      </c>
      <c r="E20" s="7">
        <v>992</v>
      </c>
      <c r="F20" s="7">
        <v>997</v>
      </c>
      <c r="G20" s="7">
        <v>1001</v>
      </c>
      <c r="H20" s="7">
        <v>1001</v>
      </c>
      <c r="I20" s="7">
        <v>1017</v>
      </c>
      <c r="J20" s="7">
        <v>1026</v>
      </c>
    </row>
    <row r="21" spans="1:35" x14ac:dyDescent="0.3">
      <c r="A21" s="3" t="s">
        <v>17</v>
      </c>
      <c r="B21" s="6" t="s">
        <v>94</v>
      </c>
      <c r="C21" s="7">
        <v>656</v>
      </c>
      <c r="D21" s="7">
        <v>680</v>
      </c>
      <c r="E21" s="7">
        <v>708</v>
      </c>
      <c r="F21" s="7">
        <v>734</v>
      </c>
      <c r="G21" s="7">
        <v>752</v>
      </c>
      <c r="H21" s="7">
        <v>770</v>
      </c>
      <c r="I21" s="7">
        <v>790</v>
      </c>
      <c r="J21" s="7">
        <v>818</v>
      </c>
    </row>
    <row r="22" spans="1:35" ht="22" x14ac:dyDescent="0.3">
      <c r="A22" s="3" t="s">
        <v>18</v>
      </c>
      <c r="B22" s="3"/>
      <c r="C22" s="3"/>
      <c r="D22" s="3"/>
      <c r="E22" s="3"/>
      <c r="F22" s="3"/>
      <c r="G22" s="3"/>
      <c r="H22" s="3"/>
      <c r="I22" s="5"/>
      <c r="J22" s="5"/>
    </row>
    <row r="23" spans="1:35" customFormat="1" x14ac:dyDescent="0.3">
      <c r="A23" t="s">
        <v>97</v>
      </c>
      <c r="B23" t="s">
        <v>97</v>
      </c>
    </row>
    <row r="24" spans="1:35" customFormat="1" x14ac:dyDescent="0.3">
      <c r="A24" t="s">
        <v>98</v>
      </c>
      <c r="B24" t="s">
        <v>98</v>
      </c>
    </row>
    <row r="25" spans="1:35" customFormat="1" x14ac:dyDescent="0.3">
      <c r="A25" t="s">
        <v>99</v>
      </c>
      <c r="B25" t="s">
        <v>99</v>
      </c>
    </row>
    <row r="26" spans="1:35" customFormat="1" x14ac:dyDescent="0.3">
      <c r="A26" t="s">
        <v>100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  <c r="I27" s="3">
        <v>700</v>
      </c>
      <c r="J27" s="3">
        <v>700</v>
      </c>
    </row>
    <row r="28" spans="1:35" x14ac:dyDescent="0.3">
      <c r="A28" s="3" t="s">
        <v>20</v>
      </c>
      <c r="B28" s="3"/>
      <c r="C28" s="3">
        <v>35</v>
      </c>
      <c r="D28" s="3">
        <v>35</v>
      </c>
      <c r="E28" s="3">
        <v>35</v>
      </c>
      <c r="F28" s="3">
        <v>35</v>
      </c>
      <c r="G28" s="3">
        <v>35</v>
      </c>
      <c r="H28" s="3">
        <v>35</v>
      </c>
      <c r="I28" s="3">
        <v>35</v>
      </c>
      <c r="J28" s="3">
        <v>35</v>
      </c>
    </row>
    <row r="29" spans="1:35" x14ac:dyDescent="0.3">
      <c r="A29" s="3" t="s">
        <v>21</v>
      </c>
      <c r="C29" s="1">
        <v>35</v>
      </c>
      <c r="D29" s="1">
        <v>35</v>
      </c>
      <c r="E29" s="1">
        <v>35</v>
      </c>
      <c r="F29" s="1">
        <v>35</v>
      </c>
      <c r="G29" s="1">
        <v>35</v>
      </c>
      <c r="H29" s="1">
        <v>35</v>
      </c>
      <c r="I29" s="1">
        <v>35</v>
      </c>
      <c r="J29" s="1">
        <v>35</v>
      </c>
    </row>
    <row r="30" spans="1:35" x14ac:dyDescent="0.3">
      <c r="A30" s="3" t="s">
        <v>23</v>
      </c>
      <c r="B30" s="3" t="s">
        <v>23</v>
      </c>
      <c r="C30" s="3">
        <f>C32</f>
        <v>146</v>
      </c>
      <c r="D30" s="3">
        <f>AVERAGE(D32,C33)</f>
        <v>151.5</v>
      </c>
      <c r="E30" s="3">
        <f t="shared" ref="E30:H30" si="0">AVERAGE(E32,D33)</f>
        <v>157.5</v>
      </c>
      <c r="F30" s="3">
        <f t="shared" si="0"/>
        <v>163.5</v>
      </c>
      <c r="G30" s="3">
        <f t="shared" si="0"/>
        <v>169.5</v>
      </c>
      <c r="H30" s="3">
        <f t="shared" si="0"/>
        <v>175.5</v>
      </c>
      <c r="I30" s="3">
        <f>AVERAGE(J32,H33)</f>
        <v>184.5</v>
      </c>
      <c r="J30" s="3">
        <f>AVERAGE(K32,I33)</f>
        <v>187</v>
      </c>
    </row>
    <row r="31" spans="1:35" x14ac:dyDescent="0.3">
      <c r="A31" s="3" t="s">
        <v>24</v>
      </c>
      <c r="B31" s="3" t="s">
        <v>24</v>
      </c>
      <c r="C31" s="3">
        <f>D30</f>
        <v>151.5</v>
      </c>
      <c r="D31" s="3">
        <f t="shared" ref="D31:G31" si="1">E30</f>
        <v>157.5</v>
      </c>
      <c r="E31" s="3">
        <f t="shared" si="1"/>
        <v>163.5</v>
      </c>
      <c r="F31" s="3">
        <f t="shared" si="1"/>
        <v>169.5</v>
      </c>
      <c r="G31" s="3">
        <f t="shared" si="1"/>
        <v>175.5</v>
      </c>
      <c r="H31" s="3">
        <f>H33</f>
        <v>181</v>
      </c>
      <c r="I31" s="3">
        <f t="shared" ref="I31:J31" si="2">I33</f>
        <v>187</v>
      </c>
      <c r="J31" s="3">
        <f t="shared" si="2"/>
        <v>193</v>
      </c>
    </row>
    <row r="32" spans="1:35" x14ac:dyDescent="0.3">
      <c r="A32" s="3" t="s">
        <v>73</v>
      </c>
      <c r="B32" s="3"/>
      <c r="C32" s="1">
        <v>146</v>
      </c>
      <c r="D32" s="1">
        <v>152</v>
      </c>
      <c r="E32" s="1">
        <v>158</v>
      </c>
      <c r="F32" s="1">
        <v>164</v>
      </c>
      <c r="G32" s="1">
        <v>170</v>
      </c>
      <c r="H32" s="1">
        <v>176</v>
      </c>
      <c r="I32" s="1">
        <v>182</v>
      </c>
      <c r="J32" s="1">
        <v>188</v>
      </c>
    </row>
    <row r="33" spans="1:10" x14ac:dyDescent="0.3">
      <c r="A33" s="3" t="s">
        <v>74</v>
      </c>
      <c r="B33" s="3"/>
      <c r="C33" s="8">
        <v>151</v>
      </c>
      <c r="D33" s="1">
        <v>157</v>
      </c>
      <c r="E33" s="1">
        <v>163</v>
      </c>
      <c r="F33" s="1">
        <v>169</v>
      </c>
      <c r="G33" s="1">
        <v>175</v>
      </c>
      <c r="H33" s="1">
        <v>181</v>
      </c>
      <c r="I33" s="1">
        <v>187</v>
      </c>
      <c r="J33" s="1">
        <v>193</v>
      </c>
    </row>
    <row r="34" spans="1:10" x14ac:dyDescent="0.3">
      <c r="C34" s="3"/>
      <c r="D34" s="3"/>
      <c r="E34" s="3"/>
      <c r="F34" s="3"/>
      <c r="G34" s="3"/>
      <c r="H34" s="3"/>
      <c r="I34" s="3"/>
    </row>
    <row r="35" spans="1:10" x14ac:dyDescent="0.3">
      <c r="A35" s="1" t="s">
        <v>25</v>
      </c>
      <c r="B35" s="1" t="s">
        <v>26</v>
      </c>
    </row>
    <row r="36" spans="1:10" x14ac:dyDescent="0.3">
      <c r="A36" s="1" t="s">
        <v>62</v>
      </c>
      <c r="B36" s="1" t="s">
        <v>63</v>
      </c>
    </row>
    <row r="37" spans="1:10" x14ac:dyDescent="0.3">
      <c r="A37" s="1" t="s">
        <v>64</v>
      </c>
      <c r="B37" s="1" t="s">
        <v>65</v>
      </c>
    </row>
    <row r="38" spans="1:10" x14ac:dyDescent="0.3">
      <c r="A38" s="1" t="s">
        <v>66</v>
      </c>
      <c r="B38" s="1" t="s">
        <v>67</v>
      </c>
    </row>
    <row r="39" spans="1:10" x14ac:dyDescent="0.3">
      <c r="A39" s="1" t="s">
        <v>27</v>
      </c>
      <c r="B39" s="1" t="s">
        <v>96</v>
      </c>
    </row>
    <row r="40" spans="1:10" x14ac:dyDescent="0.3">
      <c r="A40" s="1" t="s">
        <v>28</v>
      </c>
    </row>
    <row r="41" spans="1:10" x14ac:dyDescent="0.3">
      <c r="A41" s="1" t="s">
        <v>29</v>
      </c>
    </row>
    <row r="42" spans="1:10" x14ac:dyDescent="0.3">
      <c r="A42" s="1" t="s">
        <v>30</v>
      </c>
      <c r="B42" s="1">
        <v>35</v>
      </c>
    </row>
    <row r="43" spans="1:10" x14ac:dyDescent="0.3">
      <c r="A43" s="1" t="s">
        <v>31</v>
      </c>
    </row>
    <row r="44" spans="1:10" x14ac:dyDescent="0.3">
      <c r="A44" s="1" t="s">
        <v>32</v>
      </c>
    </row>
    <row r="45" spans="1:10" x14ac:dyDescent="0.3">
      <c r="A45" s="1" t="s">
        <v>33</v>
      </c>
    </row>
    <row r="46" spans="1:10" x14ac:dyDescent="0.3">
      <c r="A46" s="1" t="s">
        <v>34</v>
      </c>
    </row>
    <row r="47" spans="1:10" x14ac:dyDescent="0.3">
      <c r="A47" s="1" t="s">
        <v>35</v>
      </c>
    </row>
    <row r="48" spans="1:10" x14ac:dyDescent="0.3">
      <c r="A48" s="1" t="s">
        <v>36</v>
      </c>
      <c r="B48" s="1">
        <v>142</v>
      </c>
    </row>
    <row r="49" spans="1:2" x14ac:dyDescent="0.3">
      <c r="A49" s="1" t="s">
        <v>37</v>
      </c>
      <c r="B49" s="1">
        <v>100</v>
      </c>
    </row>
    <row r="50" spans="1:2" x14ac:dyDescent="0.3">
      <c r="A50" s="1" t="s">
        <v>38</v>
      </c>
    </row>
    <row r="51" spans="1:2" x14ac:dyDescent="0.3">
      <c r="A51" s="1" t="s">
        <v>39</v>
      </c>
    </row>
    <row r="52" spans="1:2" x14ac:dyDescent="0.3">
      <c r="A52" s="1" t="s">
        <v>40</v>
      </c>
    </row>
    <row r="53" spans="1:2" x14ac:dyDescent="0.3">
      <c r="A53" s="1" t="s">
        <v>41</v>
      </c>
      <c r="B53" s="1" t="s">
        <v>75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</row>
    <row r="64" spans="1:2" x14ac:dyDescent="0.3">
      <c r="A64" s="1" t="s">
        <v>52</v>
      </c>
    </row>
    <row r="65" spans="1:1" x14ac:dyDescent="0.3">
      <c r="A65" s="1" t="s">
        <v>53</v>
      </c>
    </row>
    <row r="66" spans="1:1" x14ac:dyDescent="0.3">
      <c r="A66" s="1" t="s">
        <v>54</v>
      </c>
    </row>
    <row r="67" spans="1:1" x14ac:dyDescent="0.3">
      <c r="A67" s="1" t="s">
        <v>55</v>
      </c>
    </row>
    <row r="68" spans="1:1" x14ac:dyDescent="0.3">
      <c r="A68" s="1" t="s">
        <v>56</v>
      </c>
    </row>
    <row r="69" spans="1:1" x14ac:dyDescent="0.3">
      <c r="A69" s="1" t="s">
        <v>57</v>
      </c>
    </row>
    <row r="70" spans="1:1" x14ac:dyDescent="0.3">
      <c r="A70" s="1" t="s">
        <v>58</v>
      </c>
    </row>
    <row r="71" spans="1:1" x14ac:dyDescent="0.3">
      <c r="A71" s="1" t="s">
        <v>59</v>
      </c>
    </row>
    <row r="72" spans="1:1" x14ac:dyDescent="0.3">
      <c r="A72" s="1" t="s">
        <v>60</v>
      </c>
    </row>
    <row r="73" spans="1:1" x14ac:dyDescent="0.3">
      <c r="A73" s="1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2025-10-13T23:13:42Z</dcterms:modified>
</cp:coreProperties>
</file>