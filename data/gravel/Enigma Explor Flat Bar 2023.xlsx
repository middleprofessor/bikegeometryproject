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50E827B-EF3B-194A-A3DA-2872EBF347EF}" xr6:coauthVersionLast="47" xr6:coauthVersionMax="47" xr10:uidLastSave="{00000000-0000-0000-0000-000000000000}"/>
  <bookViews>
    <workbookView xWindow="1580" yWindow="2000" windowWidth="26840" windowHeight="15440" xr2:uid="{920A2AFB-523E-E84E-BCD6-70C36603C0B8}"/>
  </bookViews>
  <sheets>
    <sheet name="Enigma Explor Flat Bar 202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 a="1"/>
  <c r="B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<sst xmlns="http://schemas.openxmlformats.org/spreadsheetml/2006/main" count="81" uniqueCount="55">
  <si>
    <t>XL</t>
  </si>
  <si>
    <t>LG</t>
  </si>
  <si>
    <t>MED</t>
  </si>
  <si>
    <t>SML</t>
  </si>
  <si>
    <t>TOP TUBE OD</t>
  </si>
  <si>
    <t>DOWN TUBE OD</t>
  </si>
  <si>
    <t>K - WHEEL BASE</t>
  </si>
  <si>
    <t>J - REACH</t>
  </si>
  <si>
    <t>I - STACK</t>
  </si>
  <si>
    <t>H - FORK LENGTH</t>
  </si>
  <si>
    <t>G - HEAD ANGLE</t>
  </si>
  <si>
    <t>F - SEAT ANGLE</t>
  </si>
  <si>
    <t>E - BB DROP</t>
  </si>
  <si>
    <t>D - CHAIN STAY</t>
  </si>
  <si>
    <t>C - HEAD TUBE</t>
  </si>
  <si>
    <t>B - SEAT TUBE</t>
  </si>
  <si>
    <t>A - TOP TUBE (MM)</t>
  </si>
  <si>
    <t>FRAME SIZE</t>
  </si>
  <si>
    <t>2023 Explor Flatbar</t>
  </si>
  <si>
    <t>2020 Enigma Flatbar</t>
  </si>
  <si>
    <t>rider_optimal</t>
  </si>
  <si>
    <t>rider_max</t>
  </si>
  <si>
    <t>rider_min</t>
  </si>
  <si>
    <t>tire_width_max</t>
  </si>
  <si>
    <t>suggest maxxis rambler but not size</t>
  </si>
  <si>
    <t>tire_width_spec</t>
  </si>
  <si>
    <t>wheel_size</t>
  </si>
  <si>
    <t>stem_length</t>
  </si>
  <si>
    <t>handlebar_width</t>
  </si>
  <si>
    <t>crank_length</t>
  </si>
  <si>
    <t>standover</t>
  </si>
  <si>
    <t>adventure and gravel fork</t>
  </si>
  <si>
    <t>fork_offset_rake</t>
  </si>
  <si>
    <t>top_tube_od</t>
  </si>
  <si>
    <t>down_tube_od</t>
  </si>
  <si>
    <t>wheelbase</t>
  </si>
  <si>
    <t>reach</t>
  </si>
  <si>
    <t>stack</t>
  </si>
  <si>
    <t>fork_length</t>
  </si>
  <si>
    <t>head_tube_angle</t>
  </si>
  <si>
    <t>seat_tube_angle</t>
  </si>
  <si>
    <t>bottom_bracket_drop</t>
  </si>
  <si>
    <t>chainstay_length</t>
  </si>
  <si>
    <t>head_tube_length</t>
  </si>
  <si>
    <t>seat_tube_length</t>
  </si>
  <si>
    <t>top_tube_effective_length</t>
  </si>
  <si>
    <t>frame_size</t>
  </si>
  <si>
    <t>titanium</t>
  </si>
  <si>
    <t>Material</t>
  </si>
  <si>
    <t>https://www.enigmabikes.com/products/explor-flat-bar</t>
  </si>
  <si>
    <t>URL</t>
  </si>
  <si>
    <t>input date</t>
  </si>
  <si>
    <t>model year</t>
  </si>
  <si>
    <t>Enigma Explor Flat Bar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</si>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</sst>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000000"/>
      <name val="Futura Medium"/>
    </font>
    <font>
      <b/>
      <sz val="14"/>
      <color theme="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54E3-E2DD-244B-8BDC-5791D158F24C}">
  <dimension ref="A1:O51"/>
  <sheetViews>
    <sheetView tabSelected="1" workbookViewId="0">
      <selection activeCell="B4" sqref="B4"/>
    </sheetView>
  </sheetViews>
  <sheetFormatPr baseColWidth="10" defaultRowHeight="20" x14ac:dyDescent="0.3"/>
  <cols>
    <col min="1" max="1" width="29.33203125" style="1" bestFit="1" customWidth="1"/>
    <col min="2" max="2" width="22.83203125" style="1" bestFit="1" customWidth="1"/>
    <col min="3" max="16384" width="10.83203125" style="1"/>
  </cols>
  <sheetData>
    <row r="1" spans="1:6" x14ac:dyDescent="0.3">
      <c r="A1" s="1" t="s">
        <v>54</v>
      </c>
      <c r="B1" s="1" t="s">
        <v>53</v>
      </c>
    </row>
    <row r="2" spans="1:6" x14ac:dyDescent="0.3">
      <c r="A2" s="1" t="s">
        <v>52</v>
      </c>
      <c r="B2" s="1">
        <v>2023</v>
      </c>
    </row>
    <row r="3" spans="1:6" x14ac:dyDescent="0.3">
      <c r="A3" s="1" t="s">
        <v>51</v>
      </c>
      <c r="B3" s="4">
        <v>45112</v>
      </c>
    </row>
    <row r="4" spans="1:6" x14ac:dyDescent="0.3">
      <c r="A4" s="1" t="s">
        <v>50</v>
      </c>
      <c r="B4" s="1" t="s">
        <v>49</v>
      </c>
    </row>
    <row r="5" spans="1:6" x14ac:dyDescent="0.3">
      <c r="A5" s="1" t="s">
        <v>48</v>
      </c>
      <c r="B5" s="1" t="s">
        <v>47</v>
      </c>
    </row>
    <row r="6" spans="1:6" x14ac:dyDescent="0.3">
      <c r="A6" s="1" t="s">
        <v>46</v>
      </c>
      <c r="B6" s="1" t="str" cm="1">
        <f t="array" ref="B6:F19">TRANSPOSE(B33:O37)</f>
        <v>FRAME SIZE</v>
      </c>
      <c r="C6" s="1" t="str">
        <v>SML</v>
      </c>
      <c r="D6" s="1" t="str">
        <v>MED</v>
      </c>
      <c r="E6" s="1" t="str">
        <v>LG</v>
      </c>
      <c r="F6" s="1" t="str">
        <v>XL</v>
      </c>
    </row>
    <row r="7" spans="1:6" x14ac:dyDescent="0.3">
      <c r="A7" s="1" t="s">
        <v>45</v>
      </c>
      <c r="B7" s="1" t="str">
        <v>A - TOP TUBE (MM)</v>
      </c>
      <c r="C7" s="1">
        <v>545</v>
      </c>
      <c r="D7" s="1">
        <v>571</v>
      </c>
      <c r="E7" s="1">
        <v>598</v>
      </c>
      <c r="F7" s="1">
        <v>625</v>
      </c>
    </row>
    <row r="8" spans="1:6" x14ac:dyDescent="0.3">
      <c r="A8" s="1" t="s">
        <v>44</v>
      </c>
      <c r="B8" s="1" t="str">
        <v>B - SEAT TUBE</v>
      </c>
      <c r="C8" s="1">
        <v>440</v>
      </c>
      <c r="D8" s="1">
        <v>470</v>
      </c>
      <c r="E8" s="1">
        <v>500</v>
      </c>
      <c r="F8" s="1">
        <v>530</v>
      </c>
    </row>
    <row r="9" spans="1:6" x14ac:dyDescent="0.3">
      <c r="A9" s="1" t="s">
        <v>43</v>
      </c>
      <c r="B9" s="1" t="str">
        <v>C - HEAD TUBE</v>
      </c>
      <c r="C9" s="1">
        <v>110</v>
      </c>
      <c r="D9" s="1">
        <v>135</v>
      </c>
      <c r="E9" s="1">
        <v>160</v>
      </c>
      <c r="F9" s="1">
        <v>185</v>
      </c>
    </row>
    <row r="10" spans="1:6" x14ac:dyDescent="0.3">
      <c r="A10" s="1" t="s">
        <v>42</v>
      </c>
      <c r="B10" s="1" t="str">
        <v>D - CHAIN STAY</v>
      </c>
      <c r="C10" s="1">
        <v>435</v>
      </c>
      <c r="D10" s="1">
        <v>435</v>
      </c>
      <c r="E10" s="1">
        <v>435</v>
      </c>
      <c r="F10" s="1">
        <v>435</v>
      </c>
    </row>
    <row r="11" spans="1:6" x14ac:dyDescent="0.3">
      <c r="A11" s="1" t="s">
        <v>41</v>
      </c>
      <c r="B11" s="1" t="str">
        <v>E - BB DROP</v>
      </c>
      <c r="C11" s="1">
        <v>75</v>
      </c>
      <c r="D11" s="1">
        <v>75</v>
      </c>
      <c r="E11" s="1">
        <v>75</v>
      </c>
      <c r="F11" s="1">
        <v>75</v>
      </c>
    </row>
    <row r="12" spans="1:6" x14ac:dyDescent="0.3">
      <c r="A12" s="1" t="s">
        <v>40</v>
      </c>
      <c r="B12" s="1" t="str">
        <v>F - SEAT ANGLE</v>
      </c>
      <c r="C12" s="1">
        <v>75.5</v>
      </c>
      <c r="D12" s="1">
        <v>75</v>
      </c>
      <c r="E12" s="1">
        <v>74.5</v>
      </c>
      <c r="F12" s="1">
        <v>74</v>
      </c>
    </row>
    <row r="13" spans="1:6" x14ac:dyDescent="0.3">
      <c r="A13" s="1" t="s">
        <v>39</v>
      </c>
      <c r="B13" s="1" t="str">
        <v>G - HEAD ANGLE</v>
      </c>
      <c r="C13" s="1">
        <v>71</v>
      </c>
      <c r="D13" s="1">
        <v>71</v>
      </c>
      <c r="E13" s="1">
        <v>71</v>
      </c>
      <c r="F13" s="1">
        <v>71</v>
      </c>
    </row>
    <row r="14" spans="1:6" x14ac:dyDescent="0.3">
      <c r="A14" s="1" t="s">
        <v>38</v>
      </c>
      <c r="B14" s="1" t="str">
        <v>H - FORK LENGTH</v>
      </c>
      <c r="C14" s="1">
        <v>399</v>
      </c>
      <c r="D14" s="1">
        <v>399</v>
      </c>
      <c r="E14" s="1">
        <v>399</v>
      </c>
      <c r="F14" s="1">
        <v>399</v>
      </c>
    </row>
    <row r="15" spans="1:6" x14ac:dyDescent="0.3">
      <c r="A15" s="1" t="s">
        <v>37</v>
      </c>
      <c r="B15" s="1" t="str">
        <v>I - STACK</v>
      </c>
      <c r="C15" s="1">
        <v>550</v>
      </c>
      <c r="D15" s="1">
        <v>574</v>
      </c>
      <c r="E15" s="1">
        <v>595</v>
      </c>
      <c r="F15" s="1">
        <v>621</v>
      </c>
    </row>
    <row r="16" spans="1:6" x14ac:dyDescent="0.3">
      <c r="A16" s="1" t="s">
        <v>36</v>
      </c>
      <c r="B16" s="1" t="str">
        <v>J - REACH</v>
      </c>
      <c r="C16" s="1">
        <v>400</v>
      </c>
      <c r="D16" s="1">
        <v>415</v>
      </c>
      <c r="E16" s="1">
        <v>430</v>
      </c>
      <c r="F16" s="1">
        <v>445</v>
      </c>
    </row>
    <row r="17" spans="1:7" x14ac:dyDescent="0.3">
      <c r="A17" s="1" t="s">
        <v>35</v>
      </c>
      <c r="B17" s="1" t="str">
        <v>K - WHEEL BASE</v>
      </c>
      <c r="C17" s="1">
        <v>1045</v>
      </c>
      <c r="D17" s="1">
        <v>1068</v>
      </c>
      <c r="E17" s="1">
        <v>1092</v>
      </c>
      <c r="F17" s="1">
        <v>1115</v>
      </c>
    </row>
    <row r="18" spans="1:7" x14ac:dyDescent="0.3">
      <c r="A18" s="1" t="s">
        <v>34</v>
      </c>
      <c r="B18" s="1" t="str">
        <v>DOWN TUBE OD</v>
      </c>
      <c r="C18" s="1">
        <v>38</v>
      </c>
      <c r="D18" s="1">
        <v>42</v>
      </c>
      <c r="E18" s="1">
        <v>42</v>
      </c>
      <c r="F18" s="1">
        <v>42</v>
      </c>
    </row>
    <row r="19" spans="1:7" x14ac:dyDescent="0.3">
      <c r="A19" s="1" t="s">
        <v>33</v>
      </c>
      <c r="B19" s="1" t="str">
        <v>TOP TUBE OD</v>
      </c>
      <c r="C19" s="1">
        <v>32</v>
      </c>
      <c r="D19" s="1">
        <v>32</v>
      </c>
      <c r="E19" s="1">
        <v>32</v>
      </c>
      <c r="F19" s="1">
        <v>35</v>
      </c>
    </row>
    <row r="20" spans="1:7" x14ac:dyDescent="0.3">
      <c r="A20" s="1" t="s">
        <v>32</v>
      </c>
      <c r="B20" s="1" t="s">
        <v>32</v>
      </c>
      <c r="C20" s="1">
        <v>50</v>
      </c>
      <c r="D20" s="1">
        <v>50</v>
      </c>
      <c r="E20" s="1">
        <v>50</v>
      </c>
      <c r="F20" s="1">
        <v>50</v>
      </c>
      <c r="G20" s="1" t="s">
        <v>31</v>
      </c>
    </row>
    <row r="21" spans="1:7" x14ac:dyDescent="0.3">
      <c r="A21" s="1" t="s">
        <v>30</v>
      </c>
      <c r="B21" s="1" t="s">
        <v>30</v>
      </c>
    </row>
    <row r="22" spans="1:7" x14ac:dyDescent="0.3">
      <c r="A22" s="1" t="s">
        <v>29</v>
      </c>
      <c r="B22" s="1" t="s">
        <v>29</v>
      </c>
    </row>
    <row r="23" spans="1:7" x14ac:dyDescent="0.3">
      <c r="A23" s="1" t="s">
        <v>28</v>
      </c>
      <c r="B23" s="1" t="s">
        <v>28</v>
      </c>
    </row>
    <row r="24" spans="1:7" x14ac:dyDescent="0.3">
      <c r="A24" s="1" t="s">
        <v>27</v>
      </c>
      <c r="B24" s="1" t="s">
        <v>27</v>
      </c>
    </row>
    <row r="25" spans="1:7" x14ac:dyDescent="0.3">
      <c r="A25" s="1" t="s">
        <v>26</v>
      </c>
      <c r="B25" s="1" t="s">
        <v>26</v>
      </c>
      <c r="C25" s="1">
        <v>700</v>
      </c>
      <c r="D25" s="1">
        <v>700</v>
      </c>
      <c r="E25" s="1">
        <v>700</v>
      </c>
      <c r="F25" s="1">
        <v>700</v>
      </c>
    </row>
    <row r="26" spans="1:7" x14ac:dyDescent="0.3">
      <c r="A26" s="1" t="s">
        <v>25</v>
      </c>
      <c r="B26" s="1" t="s">
        <v>25</v>
      </c>
      <c r="C26" s="1">
        <v>45</v>
      </c>
      <c r="D26" s="1">
        <v>45</v>
      </c>
      <c r="E26" s="1">
        <v>45</v>
      </c>
      <c r="F26" s="1">
        <v>45</v>
      </c>
      <c r="G26" s="1" t="s">
        <v>24</v>
      </c>
    </row>
    <row r="27" spans="1:7" x14ac:dyDescent="0.3">
      <c r="A27" s="1" t="s">
        <v>23</v>
      </c>
      <c r="B27" s="1" t="s">
        <v>23</v>
      </c>
      <c r="C27" s="1">
        <v>50</v>
      </c>
      <c r="D27" s="1">
        <v>50</v>
      </c>
      <c r="E27" s="1">
        <v>50</v>
      </c>
      <c r="F27" s="1">
        <v>50</v>
      </c>
    </row>
    <row r="28" spans="1:7" x14ac:dyDescent="0.3">
      <c r="A28" s="1" t="s">
        <v>22</v>
      </c>
    </row>
    <row r="29" spans="1:7" x14ac:dyDescent="0.3">
      <c r="A29" s="1" t="s">
        <v>21</v>
      </c>
    </row>
    <row r="30" spans="1:7" x14ac:dyDescent="0.3">
      <c r="A30" s="1" t="s">
        <v>20</v>
      </c>
      <c r="C30" s="1">
        <v>172</v>
      </c>
      <c r="D30" s="1">
        <v>186</v>
      </c>
      <c r="E30" s="1">
        <v>198</v>
      </c>
    </row>
    <row r="33" spans="1:15" x14ac:dyDescent="0.3">
      <c r="A33" s="1" t="s">
        <v>19</v>
      </c>
      <c r="B33" s="3" t="s">
        <v>17</v>
      </c>
      <c r="C33" s="3" t="s">
        <v>16</v>
      </c>
      <c r="D33" s="3" t="s">
        <v>15</v>
      </c>
      <c r="E33" s="3" t="s">
        <v>14</v>
      </c>
      <c r="F33" s="3" t="s">
        <v>13</v>
      </c>
      <c r="G33" s="3" t="s">
        <v>12</v>
      </c>
      <c r="H33" s="3" t="s">
        <v>11</v>
      </c>
      <c r="I33" s="3" t="s">
        <v>10</v>
      </c>
      <c r="J33" s="3" t="s">
        <v>9</v>
      </c>
      <c r="K33" s="3" t="s">
        <v>8</v>
      </c>
      <c r="L33" s="3" t="s">
        <v>7</v>
      </c>
      <c r="M33" s="3" t="s">
        <v>6</v>
      </c>
      <c r="N33" s="3" t="s">
        <v>5</v>
      </c>
      <c r="O33" s="3" t="s">
        <v>4</v>
      </c>
    </row>
    <row r="34" spans="1:15" x14ac:dyDescent="0.3">
      <c r="B34" s="2" t="s">
        <v>3</v>
      </c>
      <c r="C34" s="2">
        <v>545</v>
      </c>
      <c r="D34" s="2">
        <v>440</v>
      </c>
      <c r="E34" s="2">
        <v>110</v>
      </c>
      <c r="F34" s="2">
        <v>435</v>
      </c>
      <c r="G34" s="2">
        <v>75</v>
      </c>
      <c r="H34" s="2">
        <v>75.5</v>
      </c>
      <c r="I34" s="2">
        <v>71</v>
      </c>
      <c r="J34" s="2">
        <v>399</v>
      </c>
      <c r="K34" s="2">
        <v>550</v>
      </c>
      <c r="L34" s="2">
        <v>400</v>
      </c>
      <c r="M34" s="2">
        <v>1045</v>
      </c>
      <c r="N34" s="2">
        <v>38</v>
      </c>
      <c r="O34" s="2">
        <v>32</v>
      </c>
    </row>
    <row r="35" spans="1:15" x14ac:dyDescent="0.3">
      <c r="B35" s="2" t="s">
        <v>2</v>
      </c>
      <c r="C35" s="2">
        <v>571</v>
      </c>
      <c r="D35" s="2">
        <v>470</v>
      </c>
      <c r="E35" s="2">
        <v>135</v>
      </c>
      <c r="F35" s="2">
        <v>435</v>
      </c>
      <c r="G35" s="2">
        <v>75</v>
      </c>
      <c r="H35" s="2">
        <v>75</v>
      </c>
      <c r="I35" s="2">
        <v>71</v>
      </c>
      <c r="J35" s="2">
        <v>399</v>
      </c>
      <c r="K35" s="2">
        <v>574</v>
      </c>
      <c r="L35" s="2">
        <v>415</v>
      </c>
      <c r="M35" s="2">
        <v>1068</v>
      </c>
      <c r="N35" s="2">
        <v>42</v>
      </c>
      <c r="O35" s="2">
        <v>32</v>
      </c>
    </row>
    <row r="36" spans="1:15" x14ac:dyDescent="0.3">
      <c r="B36" s="2" t="s">
        <v>1</v>
      </c>
      <c r="C36" s="2">
        <v>598</v>
      </c>
      <c r="D36" s="2">
        <v>500</v>
      </c>
      <c r="E36" s="2">
        <v>160</v>
      </c>
      <c r="F36" s="2">
        <v>435</v>
      </c>
      <c r="G36" s="2">
        <v>75</v>
      </c>
      <c r="H36" s="2">
        <v>74.5</v>
      </c>
      <c r="I36" s="2">
        <v>71</v>
      </c>
      <c r="J36" s="2">
        <v>399</v>
      </c>
      <c r="K36" s="2">
        <v>595</v>
      </c>
      <c r="L36" s="2">
        <v>430</v>
      </c>
      <c r="M36" s="2">
        <v>1092</v>
      </c>
      <c r="N36" s="2">
        <v>42</v>
      </c>
      <c r="O36" s="2">
        <v>32</v>
      </c>
    </row>
    <row r="37" spans="1:15" x14ac:dyDescent="0.3">
      <c r="B37" s="2" t="s">
        <v>0</v>
      </c>
      <c r="C37" s="2">
        <v>625</v>
      </c>
      <c r="D37" s="2">
        <v>530</v>
      </c>
      <c r="E37" s="2">
        <v>185</v>
      </c>
      <c r="F37" s="2">
        <v>435</v>
      </c>
      <c r="G37" s="2">
        <v>75</v>
      </c>
      <c r="H37" s="2">
        <v>74</v>
      </c>
      <c r="I37" s="2">
        <v>71</v>
      </c>
      <c r="J37" s="2">
        <v>399</v>
      </c>
      <c r="K37" s="2">
        <v>621</v>
      </c>
      <c r="L37" s="2">
        <v>445</v>
      </c>
      <c r="M37" s="2">
        <v>1115</v>
      </c>
      <c r="N37" s="2">
        <v>42</v>
      </c>
      <c r="O37" s="2">
        <v>35</v>
      </c>
    </row>
    <row r="39" spans="1:15" x14ac:dyDescent="0.3">
      <c r="A39" s="1" t="s">
        <v>18</v>
      </c>
      <c r="B39" s="3" t="s">
        <v>17</v>
      </c>
      <c r="C39" s="3" t="s">
        <v>16</v>
      </c>
      <c r="D39" s="3" t="s">
        <v>15</v>
      </c>
      <c r="E39" s="3" t="s">
        <v>14</v>
      </c>
      <c r="F39" s="3" t="s">
        <v>13</v>
      </c>
      <c r="G39" s="3" t="s">
        <v>12</v>
      </c>
      <c r="H39" s="3" t="s">
        <v>11</v>
      </c>
      <c r="I39" s="3" t="s">
        <v>10</v>
      </c>
      <c r="J39" s="3" t="s">
        <v>9</v>
      </c>
      <c r="K39" s="3" t="s">
        <v>8</v>
      </c>
      <c r="L39" s="3" t="s">
        <v>7</v>
      </c>
      <c r="M39" s="3" t="s">
        <v>6</v>
      </c>
      <c r="N39" s="3" t="s">
        <v>5</v>
      </c>
      <c r="O39" s="3" t="s">
        <v>4</v>
      </c>
    </row>
    <row r="40" spans="1:15" ht="51" customHeight="1" x14ac:dyDescent="0.3">
      <c r="A40" s="3"/>
      <c r="B40" s="1" t="s">
        <v>3</v>
      </c>
      <c r="C40" s="1">
        <v>545</v>
      </c>
      <c r="D40" s="1">
        <v>440</v>
      </c>
      <c r="E40" s="1">
        <v>110</v>
      </c>
      <c r="F40" s="1">
        <v>435</v>
      </c>
      <c r="G40" s="1">
        <v>75</v>
      </c>
      <c r="H40" s="1">
        <v>75.5</v>
      </c>
      <c r="I40" s="1">
        <v>71</v>
      </c>
      <c r="J40" s="1">
        <v>399</v>
      </c>
      <c r="K40" s="1">
        <v>550</v>
      </c>
      <c r="L40" s="1">
        <v>400</v>
      </c>
      <c r="M40" s="1">
        <v>1045</v>
      </c>
      <c r="N40" s="1">
        <v>38</v>
      </c>
      <c r="O40" s="1">
        <v>32</v>
      </c>
    </row>
    <row r="41" spans="1:15" x14ac:dyDescent="0.3">
      <c r="A41" s="2"/>
      <c r="B41" s="1" t="s">
        <v>2</v>
      </c>
      <c r="C41" s="1">
        <v>571</v>
      </c>
      <c r="D41" s="1">
        <v>470</v>
      </c>
      <c r="E41" s="1">
        <v>135</v>
      </c>
      <c r="F41" s="1">
        <v>435</v>
      </c>
      <c r="G41" s="1">
        <v>75</v>
      </c>
      <c r="H41" s="1">
        <v>75</v>
      </c>
      <c r="I41" s="1">
        <v>71</v>
      </c>
      <c r="J41" s="1">
        <v>399</v>
      </c>
      <c r="K41" s="1">
        <v>574</v>
      </c>
      <c r="L41" s="1">
        <v>415</v>
      </c>
      <c r="M41" s="1">
        <v>1068</v>
      </c>
      <c r="N41" s="1">
        <v>42</v>
      </c>
      <c r="O41" s="1">
        <v>32</v>
      </c>
    </row>
    <row r="42" spans="1:15" x14ac:dyDescent="0.3">
      <c r="A42" s="2"/>
      <c r="B42" s="1" t="s">
        <v>1</v>
      </c>
      <c r="C42" s="1">
        <v>598</v>
      </c>
      <c r="D42" s="1">
        <v>500</v>
      </c>
      <c r="E42" s="1">
        <v>160</v>
      </c>
      <c r="F42" s="1">
        <v>435</v>
      </c>
      <c r="G42" s="1">
        <v>75</v>
      </c>
      <c r="H42" s="1">
        <v>74.5</v>
      </c>
      <c r="I42" s="1">
        <v>71</v>
      </c>
      <c r="J42" s="1">
        <v>399</v>
      </c>
      <c r="K42" s="1">
        <v>595</v>
      </c>
      <c r="L42" s="1">
        <v>430</v>
      </c>
      <c r="M42" s="1">
        <v>1092</v>
      </c>
      <c r="N42" s="1">
        <v>42</v>
      </c>
      <c r="O42" s="1">
        <v>32</v>
      </c>
    </row>
    <row r="43" spans="1:15" x14ac:dyDescent="0.3">
      <c r="A43" s="2"/>
      <c r="B43" s="1" t="s">
        <v>0</v>
      </c>
      <c r="C43" s="1">
        <v>625</v>
      </c>
      <c r="D43" s="1">
        <v>530</v>
      </c>
      <c r="E43" s="1">
        <v>185</v>
      </c>
      <c r="F43" s="1">
        <v>435</v>
      </c>
      <c r="G43" s="1">
        <v>75</v>
      </c>
      <c r="H43" s="1">
        <v>74</v>
      </c>
      <c r="I43" s="1">
        <v>71</v>
      </c>
      <c r="J43" s="1">
        <v>399</v>
      </c>
      <c r="K43" s="1">
        <v>621</v>
      </c>
      <c r="L43" s="1">
        <v>445</v>
      </c>
      <c r="M43" s="1">
        <v>1115</v>
      </c>
      <c r="N43" s="1">
        <v>42</v>
      </c>
      <c r="O43" s="1">
        <v>35</v>
      </c>
    </row>
    <row r="44" spans="1:15" x14ac:dyDescent="0.3">
      <c r="A44" s="2"/>
      <c r="B44" s="2"/>
      <c r="C44" s="2"/>
      <c r="D44" s="2"/>
    </row>
    <row r="45" spans="1:15" x14ac:dyDescent="0.3">
      <c r="A45" s="2"/>
      <c r="B45" s="2"/>
      <c r="C45" s="2"/>
      <c r="D45" s="2"/>
    </row>
    <row r="46" spans="1:15" x14ac:dyDescent="0.3">
      <c r="A46" s="2"/>
      <c r="B46" s="2"/>
      <c r="C46" s="2"/>
      <c r="D46" s="2"/>
    </row>
    <row r="47" spans="1:15" x14ac:dyDescent="0.3">
      <c r="A47" s="2"/>
      <c r="B47" s="2"/>
      <c r="C47" s="2"/>
      <c r="D47" s="2"/>
    </row>
    <row r="48" spans="1:15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Enigma Explor Flat Bar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2025-07-06T21:58:07Z</dcterms:created>
  <dcterms:modified xsi:type="dcterms:W3CDTF">2025-07-06T21:59:50Z</dcterms:modified>
</cp:coreProperties>
</file>