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B3F5910-A449-C146-915A-F6AA9F22C80C}" xr6:coauthVersionLast="47" xr6:coauthVersionMax="47" xr10:uidLastSave="{00000000-0000-0000-0000-000000000000}"/>
  <bookViews>
    <workbookView xWindow="112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G34" i="1"/>
  <c r="F35" i="1" s="1"/>
  <c r="D34" i="1"/>
  <c r="C35" i="1" s="1"/>
  <c r="G35" i="1"/>
  <c r="C34" i="1"/>
</calcChain>
</file>

<file path=xl/sharedStrings.xml><?xml version="1.0" encoding="utf-8"?>
<sst xmlns="http://schemas.openxmlformats.org/spreadsheetml/2006/main" count="127" uniqueCount="117">
  <si>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</si>
  <si>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</si>
  <si>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</si>
  <si>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</si>
  <si>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</si>
  <si>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</si>
  <si>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</si>
  <si>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</si>
  <si>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</si>
  <si>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</si>
  <si>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</si>
  <si>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</si>
  <si>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</si>
  <si>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</si>
  <si>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</si>
  <si>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</si>
  <si>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</si>
  <si>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</si>
  <si>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</si>
  <si>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</si>
  <si>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</si>
  <si>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</si>
  <si>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</si>
  <si>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</si>
  <si>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</si>
  <si>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</si>
  <si>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</si>
  <si>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</si>
  <si>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</si>
  <si>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</si>
  <si>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</si>
  <si>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</si>
  <si>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</si>
  <si>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</si>
  <si>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</si>
  <si>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</si>
  <si>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</si>
  <si>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</si>
  <si>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</si>
  <si>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</si>
  <si>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</si>
  <si>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</si>
  <si>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</si>
  <si>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</si>
  <si>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</si>
  <si>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</si>
  <si>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</si>
  <si>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</si>
  <si>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</si>
  <si>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</si>
  <si>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</si>
  <si>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</si>
  <si>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</si>
  <si>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</si>
  <si>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</si>
  <si>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</si>
  <si>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</si>
  <si>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</si>
  <si>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</si>
  <si>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</si>
  <si>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</si>
  <si>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</si>
  <si>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</si>
  <si>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</si>
  <si>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</si>
  <si>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</si>
  <si>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</si>
  <si>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</si>
  <si>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</si>
  <si>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</si>
  <si>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</si>
  <si>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rider_min_spec</t>
  </si>
  <si>
    <t>rider_max_spec</t>
  </si>
  <si>
    <t>trail</t>
  </si>
  <si>
    <t>front_center</t>
  </si>
  <si>
    <t>internal</t>
  </si>
  <si>
    <t>Head Tube Angle (°)</t>
  </si>
  <si>
    <t>Seat Tube Angle (°)</t>
  </si>
  <si>
    <t>bb_height</t>
  </si>
  <si>
    <t>https://www.pashley.co.uk/products/wildfinder</t>
  </si>
  <si>
    <t>Pashley</t>
  </si>
  <si>
    <t>Wildfinder</t>
  </si>
  <si>
    <t>X-SMALL</t>
  </si>
  <si>
    <t>SMALL</t>
  </si>
  <si>
    <t>MEDIUM</t>
  </si>
  <si>
    <t>LARGE</t>
  </si>
  <si>
    <t>X-LARGE</t>
  </si>
  <si>
    <t>Seat Tube</t>
  </si>
  <si>
    <t>Effective Top Tube</t>
  </si>
  <si>
    <t>Reach</t>
  </si>
  <si>
    <t>Stack</t>
  </si>
  <si>
    <t>Head Tube</t>
  </si>
  <si>
    <t>Chainstay</t>
  </si>
  <si>
    <t>BB Drop</t>
  </si>
  <si>
    <t>Fork Offset</t>
  </si>
  <si>
    <t>Trail (2.4” Tyre)</t>
  </si>
  <si>
    <t>BB Height (2.4” Tyre)</t>
  </si>
  <si>
    <t>Stem Length</t>
  </si>
  <si>
    <t>frame size</t>
  </si>
  <si>
    <t>steel</t>
  </si>
  <si>
    <t>hardtail</t>
  </si>
  <si>
    <t>external</t>
  </si>
  <si>
    <t>threaded</t>
  </si>
  <si>
    <r>
      <t>bot</t>
    </r>
    <r>
      <rPr>
        <u/>
        <sz val="14"/>
        <color rgb="FF000000"/>
        <rFont val="Futura"/>
        <family val="2"/>
      </rPr>
      <t>h</t>
    </r>
  </si>
  <si>
    <t>USD</t>
  </si>
  <si>
    <t>https://www.pashley.co.uk/cdn/shop/files/thumbnail_PashleyWildfinderRedside2040x2040_700x.jpg?v=1756388923</t>
  </si>
  <si>
    <t>location</t>
  </si>
  <si>
    <t>Stratford-upon-Avon, England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</si>
  <si>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</si>
  <si>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</si>
  <si>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</si>
  <si>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</si>
  <si>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</si>
  <si>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</si>
  <si>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</si>
  <si>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</si>
  <si>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a8:g37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</si>
</sst>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b/>
      <sz val="14"/>
      <color rgb="FF000000"/>
      <name val="Futura"/>
      <family val="2"/>
    </font>
    <font>
      <b/>
      <sz val="14"/>
      <color rgb="FF000000"/>
      <name val="OpenSans"/>
    </font>
    <font>
      <sz val="14"/>
      <color rgb="FF000000"/>
      <name val="Calibri"/>
      <family val="2"/>
      <scheme val="minor"/>
    </font>
    <font>
      <sz val="14"/>
      <color rgb="FF222222"/>
      <name val="Helvetica Neue"/>
      <family val="2"/>
    </font>
    <font>
      <sz val="12"/>
      <color rgb="FF555555"/>
      <name val="Helvetica Neue"/>
      <family val="2"/>
    </font>
    <font>
      <u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3" zoomScale="105" zoomScaleNormal="100" workbookViewId="0">
      <selection activeCell="B8" sqref="B8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4" t="s">
        <v>80</v>
      </c>
    </row>
    <row r="2" spans="1:8">
      <c r="A2" t="s">
        <v>1</v>
      </c>
      <c r="B2" s="1" t="s">
        <v>81</v>
      </c>
    </row>
    <row r="3" spans="1:8">
      <c r="A3" t="s">
        <v>2</v>
      </c>
      <c r="B3">
        <v>2025</v>
      </c>
    </row>
    <row r="4" spans="1:8">
      <c r="A4" t="s">
        <v>3</v>
      </c>
      <c r="B4" s="2">
        <v>45906</v>
      </c>
    </row>
    <row r="5" spans="1:8">
      <c r="A5" t="s">
        <v>4</v>
      </c>
      <c r="B5" t="s">
        <v>79</v>
      </c>
    </row>
    <row r="6" spans="1:8">
      <c r="B6" t="s">
        <v>105</v>
      </c>
    </row>
    <row r="7" spans="1:8">
      <c r="A7" t="s">
        <v>5</v>
      </c>
      <c r="B7" s="1" t="s">
        <v>116</v>
      </c>
    </row>
    <row r="8" spans="1:8">
      <c r="A8" t="s">
        <v>6</v>
      </c>
      <c r="B8" s="1" t="s">
        <v>98</v>
      </c>
      <c r="C8" s="8" t="s">
        <v>82</v>
      </c>
      <c r="D8" s="8" t="s">
        <v>83</v>
      </c>
      <c r="E8" s="8" t="s">
        <v>84</v>
      </c>
      <c r="F8" s="8" t="s">
        <v>85</v>
      </c>
      <c r="G8" s="8" t="s">
        <v>86</v>
      </c>
      <c r="H8" s="5"/>
    </row>
    <row r="9" spans="1:8">
      <c r="A9" t="s">
        <v>10</v>
      </c>
      <c r="B9" s="8" t="s">
        <v>87</v>
      </c>
      <c r="C9" s="9">
        <v>410</v>
      </c>
      <c r="D9" s="9">
        <v>445</v>
      </c>
      <c r="E9" s="9">
        <v>480</v>
      </c>
      <c r="F9" s="9">
        <v>515</v>
      </c>
      <c r="G9" s="9">
        <v>550</v>
      </c>
    </row>
    <row r="10" spans="1:8">
      <c r="A10" t="s">
        <v>11</v>
      </c>
      <c r="B10" s="8" t="s">
        <v>88</v>
      </c>
      <c r="C10" s="9">
        <v>548</v>
      </c>
      <c r="D10" s="9">
        <v>571</v>
      </c>
      <c r="E10" s="9">
        <v>594</v>
      </c>
      <c r="F10" s="9">
        <v>614</v>
      </c>
      <c r="G10" s="9">
        <v>639</v>
      </c>
    </row>
    <row r="11" spans="1:8">
      <c r="A11" t="s">
        <v>13</v>
      </c>
      <c r="B11" s="8" t="s">
        <v>89</v>
      </c>
      <c r="C11" s="9">
        <v>380</v>
      </c>
      <c r="D11" s="9">
        <v>400</v>
      </c>
      <c r="E11" s="9">
        <v>420</v>
      </c>
      <c r="F11" s="9">
        <v>440</v>
      </c>
      <c r="G11" s="9">
        <v>460</v>
      </c>
    </row>
    <row r="12" spans="1:8">
      <c r="A12" s="1" t="s">
        <v>12</v>
      </c>
      <c r="B12" s="8" t="s">
        <v>90</v>
      </c>
      <c r="C12" s="9">
        <v>609</v>
      </c>
      <c r="D12" s="9">
        <v>622</v>
      </c>
      <c r="E12" s="9">
        <v>632</v>
      </c>
      <c r="F12" s="9">
        <v>641</v>
      </c>
      <c r="G12" s="9">
        <v>650</v>
      </c>
    </row>
    <row r="13" spans="1:8">
      <c r="A13" t="s">
        <v>9</v>
      </c>
      <c r="B13" s="8" t="s">
        <v>91</v>
      </c>
      <c r="C13" s="9">
        <v>110</v>
      </c>
      <c r="D13" s="9">
        <v>120</v>
      </c>
      <c r="E13" s="9">
        <v>130</v>
      </c>
      <c r="F13" s="9">
        <v>140</v>
      </c>
      <c r="G13" s="9">
        <v>150</v>
      </c>
    </row>
    <row r="14" spans="1:8">
      <c r="A14" t="s">
        <v>14</v>
      </c>
      <c r="B14" s="8" t="s">
        <v>92</v>
      </c>
      <c r="C14" s="9">
        <v>435</v>
      </c>
      <c r="D14" s="9">
        <v>435</v>
      </c>
      <c r="E14" s="9">
        <v>435</v>
      </c>
      <c r="F14" s="9">
        <v>435</v>
      </c>
      <c r="G14" s="9">
        <v>435</v>
      </c>
    </row>
    <row r="15" spans="1:8">
      <c r="A15" t="s">
        <v>18</v>
      </c>
      <c r="B15" s="8" t="s">
        <v>93</v>
      </c>
      <c r="C15" s="9">
        <v>65</v>
      </c>
      <c r="D15" s="9">
        <v>65</v>
      </c>
      <c r="E15" s="9">
        <v>65</v>
      </c>
      <c r="F15" s="9">
        <v>65</v>
      </c>
      <c r="G15" s="9">
        <v>65</v>
      </c>
    </row>
    <row r="16" spans="1:8">
      <c r="A16" t="s">
        <v>8</v>
      </c>
      <c r="B16" s="8" t="s">
        <v>77</v>
      </c>
      <c r="C16" s="9">
        <v>74.5</v>
      </c>
      <c r="D16" s="9">
        <v>74.5</v>
      </c>
      <c r="E16" s="9">
        <v>74.5</v>
      </c>
      <c r="F16" s="9">
        <v>74.5</v>
      </c>
      <c r="G16" s="9">
        <v>74.5</v>
      </c>
    </row>
    <row r="17" spans="1:7">
      <c r="A17" t="s">
        <v>7</v>
      </c>
      <c r="B17" s="8" t="s">
        <v>76</v>
      </c>
      <c r="C17" s="9">
        <v>68</v>
      </c>
      <c r="D17" s="9">
        <v>68.5</v>
      </c>
      <c r="E17" s="9">
        <v>69</v>
      </c>
      <c r="F17" s="9">
        <v>69</v>
      </c>
      <c r="G17" s="9">
        <v>69</v>
      </c>
    </row>
    <row r="18" spans="1:7">
      <c r="A18" t="s">
        <v>16</v>
      </c>
      <c r="B18" s="7" t="s">
        <v>94</v>
      </c>
      <c r="C18">
        <v>44</v>
      </c>
      <c r="D18">
        <v>44</v>
      </c>
      <c r="E18">
        <v>44</v>
      </c>
      <c r="F18">
        <v>44</v>
      </c>
      <c r="G18">
        <v>44</v>
      </c>
    </row>
    <row r="19" spans="1:7">
      <c r="A19" s="1" t="s">
        <v>73</v>
      </c>
      <c r="B19" t="s">
        <v>95</v>
      </c>
      <c r="C19" s="6">
        <v>103</v>
      </c>
      <c r="D19" s="6">
        <v>99</v>
      </c>
      <c r="E19" s="6">
        <v>96</v>
      </c>
      <c r="F19" s="6">
        <v>96</v>
      </c>
      <c r="G19" s="6">
        <v>96</v>
      </c>
    </row>
    <row r="20" spans="1:7">
      <c r="A20" s="1" t="s">
        <v>78</v>
      </c>
      <c r="B20" t="s">
        <v>96</v>
      </c>
      <c r="C20" s="6">
        <v>300</v>
      </c>
      <c r="D20" s="6">
        <v>300</v>
      </c>
      <c r="E20" s="6">
        <v>300</v>
      </c>
      <c r="F20" s="6">
        <v>300</v>
      </c>
      <c r="G20" s="6">
        <v>300</v>
      </c>
    </row>
    <row r="21" spans="1:7">
      <c r="A21" t="s">
        <v>21</v>
      </c>
      <c r="B21" t="s">
        <v>97</v>
      </c>
      <c r="C21" s="6">
        <v>50</v>
      </c>
      <c r="D21" s="6">
        <v>50</v>
      </c>
      <c r="E21" s="6">
        <v>50</v>
      </c>
      <c r="F21" s="6">
        <v>50</v>
      </c>
      <c r="G21" s="6">
        <v>50</v>
      </c>
    </row>
    <row r="22" spans="1:7">
      <c r="A22" s="1" t="s">
        <v>74</v>
      </c>
      <c r="C22" s="6"/>
      <c r="D22" s="6"/>
      <c r="E22" s="6"/>
      <c r="F22" s="6"/>
      <c r="G22" s="6"/>
    </row>
    <row r="23" spans="1:7">
      <c r="A23" t="s">
        <v>19</v>
      </c>
      <c r="C23" s="6"/>
      <c r="D23" s="6"/>
      <c r="E23" s="6"/>
      <c r="F23" s="6"/>
      <c r="G23" s="6"/>
    </row>
    <row r="24" spans="1:7">
      <c r="A24" t="s">
        <v>15</v>
      </c>
      <c r="C24" s="6">
        <v>483</v>
      </c>
      <c r="D24" s="6">
        <v>483</v>
      </c>
      <c r="E24" s="6">
        <v>483</v>
      </c>
      <c r="F24" s="6">
        <v>483</v>
      </c>
      <c r="G24" s="6">
        <v>483</v>
      </c>
    </row>
    <row r="25" spans="1:7">
      <c r="A25" s="1" t="s">
        <v>114</v>
      </c>
      <c r="C25" s="6">
        <v>0</v>
      </c>
      <c r="D25" s="6">
        <v>0</v>
      </c>
      <c r="E25" s="6">
        <v>0</v>
      </c>
      <c r="F25" s="6">
        <v>0</v>
      </c>
      <c r="G25" s="6"/>
    </row>
    <row r="26" spans="1:7">
      <c r="A26" s="1" t="s">
        <v>115</v>
      </c>
      <c r="C26" s="6">
        <v>0</v>
      </c>
      <c r="D26" s="6">
        <v>0</v>
      </c>
      <c r="E26" s="6">
        <v>0</v>
      </c>
      <c r="F26" s="6">
        <v>0</v>
      </c>
      <c r="G26" s="6"/>
    </row>
    <row r="27" spans="1:7">
      <c r="A27" t="s">
        <v>17</v>
      </c>
      <c r="C27" s="6"/>
      <c r="D27" s="6"/>
      <c r="E27" s="6"/>
      <c r="F27" s="6"/>
      <c r="G27" s="6"/>
    </row>
    <row r="28" spans="1:7">
      <c r="A28" t="s">
        <v>22</v>
      </c>
      <c r="C28" s="6"/>
      <c r="D28" s="6"/>
      <c r="E28" s="6"/>
      <c r="F28" s="6"/>
      <c r="G28" s="6"/>
    </row>
    <row r="29" spans="1:7">
      <c r="A29" t="s">
        <v>20</v>
      </c>
    </row>
    <row r="30" spans="1:7">
      <c r="A30" t="s">
        <v>23</v>
      </c>
    </row>
    <row r="31" spans="1:7">
      <c r="A31" t="s">
        <v>24</v>
      </c>
      <c r="B31" t="s">
        <v>24</v>
      </c>
      <c r="C31">
        <v>700</v>
      </c>
      <c r="D31">
        <v>700</v>
      </c>
      <c r="E31">
        <v>700</v>
      </c>
      <c r="F31">
        <v>700</v>
      </c>
      <c r="G31">
        <v>700</v>
      </c>
    </row>
    <row r="32" spans="1:7">
      <c r="A32" t="s">
        <v>25</v>
      </c>
      <c r="B32" t="s">
        <v>25</v>
      </c>
      <c r="C32">
        <v>42</v>
      </c>
      <c r="D32">
        <v>42</v>
      </c>
      <c r="E32">
        <v>42</v>
      </c>
      <c r="F32">
        <v>42</v>
      </c>
      <c r="G32">
        <v>42</v>
      </c>
    </row>
    <row r="33" spans="1:9">
      <c r="A33" t="s">
        <v>26</v>
      </c>
      <c r="B33" t="s">
        <v>26</v>
      </c>
      <c r="C33">
        <v>45</v>
      </c>
      <c r="D33">
        <v>45</v>
      </c>
      <c r="E33">
        <v>45</v>
      </c>
      <c r="F33">
        <v>45</v>
      </c>
      <c r="G33">
        <v>45</v>
      </c>
    </row>
    <row r="34" spans="1:9">
      <c r="A34" t="s">
        <v>27</v>
      </c>
      <c r="B34" t="s">
        <v>27</v>
      </c>
      <c r="C34" s="3">
        <f>C36</f>
        <v>155</v>
      </c>
      <c r="D34" s="3">
        <f>AVERAGE(D36,C37)</f>
        <v>161</v>
      </c>
      <c r="E34" s="3">
        <f t="shared" ref="E34:G34" si="0">AVERAGE(E36,D37)</f>
        <v>171</v>
      </c>
      <c r="F34" s="3">
        <f t="shared" si="0"/>
        <v>181</v>
      </c>
      <c r="G34" s="3">
        <f t="shared" si="0"/>
        <v>189</v>
      </c>
      <c r="H34" s="3"/>
      <c r="I34" s="3"/>
    </row>
    <row r="35" spans="1:9">
      <c r="A35" t="s">
        <v>28</v>
      </c>
      <c r="B35" t="s">
        <v>28</v>
      </c>
      <c r="C35" s="3">
        <f>D34</f>
        <v>161</v>
      </c>
      <c r="D35" s="3">
        <f t="shared" ref="D35:F35" si="1">E34</f>
        <v>171</v>
      </c>
      <c r="E35" s="3">
        <f t="shared" si="1"/>
        <v>181</v>
      </c>
      <c r="F35" s="3">
        <f t="shared" si="1"/>
        <v>189</v>
      </c>
      <c r="G35" s="3">
        <f t="shared" ref="G35" si="2">G37</f>
        <v>196</v>
      </c>
      <c r="H35" s="3"/>
      <c r="I35" s="3"/>
    </row>
    <row r="36" spans="1:9">
      <c r="A36" s="1" t="s">
        <v>71</v>
      </c>
      <c r="C36">
        <v>155</v>
      </c>
      <c r="D36">
        <v>160</v>
      </c>
      <c r="E36">
        <v>170</v>
      </c>
      <c r="F36">
        <v>180</v>
      </c>
      <c r="G36">
        <v>188</v>
      </c>
    </row>
    <row r="37" spans="1:9">
      <c r="A37" s="1" t="s">
        <v>72</v>
      </c>
      <c r="C37">
        <v>162</v>
      </c>
      <c r="D37">
        <v>172</v>
      </c>
      <c r="E37">
        <v>182</v>
      </c>
      <c r="F37">
        <v>190</v>
      </c>
      <c r="G37">
        <v>196</v>
      </c>
    </row>
    <row r="38" spans="1:9">
      <c r="C38" s="6"/>
      <c r="D38" s="6"/>
      <c r="E38" s="6"/>
      <c r="F38" s="6"/>
      <c r="G38" s="6"/>
    </row>
    <row r="39" spans="1:9">
      <c r="A39" t="s">
        <v>29</v>
      </c>
      <c r="B39" t="s">
        <v>30</v>
      </c>
      <c r="C39" s="10"/>
      <c r="D39" s="10"/>
      <c r="E39" s="10"/>
      <c r="F39" s="10"/>
      <c r="G39" s="10"/>
    </row>
    <row r="40" spans="1:9">
      <c r="A40" t="s">
        <v>66</v>
      </c>
      <c r="B40" s="1" t="s">
        <v>100</v>
      </c>
      <c r="C40" s="11"/>
      <c r="D40" s="11"/>
      <c r="E40" s="11"/>
      <c r="F40" s="11"/>
      <c r="G40" s="11"/>
    </row>
    <row r="41" spans="1:9">
      <c r="A41" t="s">
        <v>67</v>
      </c>
      <c r="B41" s="1" t="s">
        <v>103</v>
      </c>
      <c r="C41" s="10"/>
      <c r="D41" s="10"/>
      <c r="E41" s="10"/>
      <c r="F41" s="10"/>
    </row>
    <row r="42" spans="1:9">
      <c r="A42" t="s">
        <v>68</v>
      </c>
      <c r="B42" t="s">
        <v>69</v>
      </c>
    </row>
    <row r="43" spans="1:9">
      <c r="A43" t="s">
        <v>31</v>
      </c>
      <c r="B43" s="1" t="s">
        <v>99</v>
      </c>
    </row>
    <row r="44" spans="1:9">
      <c r="A44" t="s">
        <v>32</v>
      </c>
      <c r="B44" s="1" t="s">
        <v>70</v>
      </c>
    </row>
    <row r="45" spans="1:9">
      <c r="A45" t="s">
        <v>33</v>
      </c>
    </row>
    <row r="46" spans="1:9">
      <c r="A46" t="s">
        <v>34</v>
      </c>
      <c r="B46">
        <v>61</v>
      </c>
    </row>
    <row r="47" spans="1:9">
      <c r="A47" t="s">
        <v>35</v>
      </c>
      <c r="B47">
        <v>2.8</v>
      </c>
    </row>
    <row r="48" spans="1:9">
      <c r="A48" t="s">
        <v>36</v>
      </c>
      <c r="B48">
        <v>100</v>
      </c>
    </row>
    <row r="49" spans="1:2">
      <c r="A49" t="s">
        <v>37</v>
      </c>
      <c r="B49" s="1"/>
    </row>
    <row r="50" spans="1:2">
      <c r="A50" t="s">
        <v>38</v>
      </c>
    </row>
    <row r="51" spans="1:2">
      <c r="A51" t="s">
        <v>39</v>
      </c>
    </row>
    <row r="52" spans="1:2">
      <c r="A52" t="s">
        <v>40</v>
      </c>
      <c r="B52">
        <v>148</v>
      </c>
    </row>
    <row r="53" spans="1:2">
      <c r="A53" t="s">
        <v>41</v>
      </c>
      <c r="B53">
        <v>110</v>
      </c>
    </row>
    <row r="54" spans="1:2">
      <c r="A54" t="s">
        <v>108</v>
      </c>
    </row>
    <row r="55" spans="1:2">
      <c r="A55" t="s">
        <v>109</v>
      </c>
    </row>
    <row r="56" spans="1:2">
      <c r="A56" t="s">
        <v>110</v>
      </c>
    </row>
    <row r="57" spans="1:2">
      <c r="A57" t="s">
        <v>111</v>
      </c>
    </row>
    <row r="58" spans="1:2">
      <c r="A58" t="s">
        <v>112</v>
      </c>
    </row>
    <row r="59" spans="1:2">
      <c r="A59" t="s">
        <v>113</v>
      </c>
      <c r="B59" s="1" t="s">
        <v>99</v>
      </c>
    </row>
    <row r="60" spans="1:2">
      <c r="A60" t="s">
        <v>42</v>
      </c>
      <c r="B60" s="1" t="s">
        <v>102</v>
      </c>
    </row>
    <row r="61" spans="1:2">
      <c r="A61" t="s">
        <v>43</v>
      </c>
    </row>
    <row r="62" spans="1:2">
      <c r="A62" t="s">
        <v>44</v>
      </c>
      <c r="B62">
        <v>31.6</v>
      </c>
    </row>
    <row r="63" spans="1:2">
      <c r="A63" t="s">
        <v>45</v>
      </c>
      <c r="B63" s="1"/>
    </row>
    <row r="64" spans="1:2">
      <c r="A64" t="s">
        <v>46</v>
      </c>
      <c r="B64">
        <v>42</v>
      </c>
    </row>
    <row r="65" spans="1:2">
      <c r="A65" t="s">
        <v>47</v>
      </c>
    </row>
    <row r="66" spans="1:2">
      <c r="A66" t="s">
        <v>48</v>
      </c>
      <c r="B66">
        <v>180</v>
      </c>
    </row>
    <row r="67" spans="1:2">
      <c r="A67" t="s">
        <v>49</v>
      </c>
      <c r="B67">
        <v>160</v>
      </c>
    </row>
    <row r="68" spans="1:2">
      <c r="A68" t="s">
        <v>50</v>
      </c>
    </row>
    <row r="69" spans="1:2">
      <c r="A69" t="s">
        <v>51</v>
      </c>
      <c r="B69" s="1" t="s">
        <v>101</v>
      </c>
    </row>
    <row r="70" spans="1:2">
      <c r="A70" t="s">
        <v>52</v>
      </c>
      <c r="B70" s="1" t="s">
        <v>75</v>
      </c>
    </row>
    <row r="71" spans="1:2">
      <c r="A71" t="s">
        <v>53</v>
      </c>
      <c r="B71" s="1"/>
    </row>
    <row r="72" spans="1:2">
      <c r="A72" t="s">
        <v>54</v>
      </c>
    </row>
    <row r="73" spans="1:2">
      <c r="A73" t="s">
        <v>55</v>
      </c>
      <c r="B73">
        <v>2</v>
      </c>
    </row>
    <row r="74" spans="1:2">
      <c r="A74" t="s">
        <v>56</v>
      </c>
      <c r="B74">
        <v>1</v>
      </c>
    </row>
    <row r="75" spans="1:2">
      <c r="A75" t="s">
        <v>57</v>
      </c>
      <c r="B75" s="1" t="s">
        <v>70</v>
      </c>
    </row>
    <row r="76" spans="1:2">
      <c r="A76" t="s">
        <v>58</v>
      </c>
      <c r="B76" s="1">
        <v>3</v>
      </c>
    </row>
    <row r="77" spans="1:2">
      <c r="A77" t="s">
        <v>59</v>
      </c>
      <c r="B77" s="1" t="s">
        <v>70</v>
      </c>
    </row>
    <row r="78" spans="1:2">
      <c r="A78" t="s">
        <v>60</v>
      </c>
      <c r="B78" s="1" t="s">
        <v>70</v>
      </c>
    </row>
    <row r="79" spans="1:2">
      <c r="A79" t="s">
        <v>61</v>
      </c>
      <c r="B79" s="1" t="s">
        <v>70</v>
      </c>
    </row>
    <row r="80" spans="1:2">
      <c r="A80" t="s">
        <v>62</v>
      </c>
      <c r="B80">
        <v>2595</v>
      </c>
    </row>
    <row r="81" spans="1:2">
      <c r="A81" t="s">
        <v>63</v>
      </c>
      <c r="B81">
        <v>4195</v>
      </c>
    </row>
    <row r="82" spans="1:2">
      <c r="A82" t="s">
        <v>64</v>
      </c>
      <c r="B82" s="1"/>
    </row>
    <row r="83" spans="1:2">
      <c r="A83" t="s">
        <v>65</v>
      </c>
      <c r="B83" s="1" t="s">
        <v>104</v>
      </c>
    </row>
    <row r="84" spans="1:2">
      <c r="A84" t="s">
        <v>106</v>
      </c>
      <c r="B84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2025-11-30T01:49:58Z</dcterms:modified>
</cp:coreProperties>
</file>