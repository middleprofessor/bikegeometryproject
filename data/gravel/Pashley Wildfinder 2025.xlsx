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3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C284E6DA-FA42-374C-8F29-A19AFFB5EC63}" xr6:coauthVersionLast="47" xr6:coauthVersionMax="47" xr10:uidLastSave="{00000000-0000-0000-0000-000000000000}"/>
  <bookViews>
    <workbookView xWindow="31480" yWindow="-16720" windowWidth="27260" windowHeight="163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2" i="1" l="1"/>
  <c r="D33" i="1" s="1"/>
  <c r="F32" i="1"/>
  <c r="E33" i="1" s="1"/>
  <c r="G32" i="1"/>
  <c r="F33" i="1" s="1"/>
  <c r="D32" i="1"/>
  <c r="C33" i="1" s="1"/>
  <c r="G33" i="1"/>
  <c r="C32" i="1"/>
</calcChain>
</file>

<file path=xl/sharedStrings.xml><?xml version="1.0" encoding="utf-8"?>
<sst xmlns="http://schemas.openxmlformats.org/spreadsheetml/2006/main" count="116" uniqueCount="107">
  <si>
    <t>brand</t>
  </si>
  <si>
    <t>model</t>
  </si>
  <si>
    <t>model_year</t>
  </si>
  <si>
    <t>input_date</t>
  </si>
  <si>
    <t>url</t>
  </si>
  <si>
    <t>data_range</t>
  </si>
  <si>
    <t>frame_size</t>
  </si>
  <si>
    <t>head_tube_angle</t>
  </si>
  <si>
    <t>seat_tube_angle</t>
  </si>
  <si>
    <t>head_tube_length</t>
  </si>
  <si>
    <t>seat_tube_length</t>
  </si>
  <si>
    <t>top_tube_effective_length</t>
  </si>
  <si>
    <t>stack</t>
  </si>
  <si>
    <t>reach</t>
  </si>
  <si>
    <t>chainstay_length</t>
  </si>
  <si>
    <t>axle_crown</t>
  </si>
  <si>
    <t>fork_offset_rake</t>
  </si>
  <si>
    <t>standover</t>
  </si>
  <si>
    <t>bottom_bracket_drop</t>
  </si>
  <si>
    <t>wheelbase</t>
  </si>
  <si>
    <t>handlebar_width</t>
  </si>
  <si>
    <t>stem_length</t>
  </si>
  <si>
    <t>crank_length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</si>
  <si>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</si>
  <si>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</si>
  <si>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</si>
  <si>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</si>
  <si>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</si>
  <si>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</si>
  <si>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</si>
  <si>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</si>
  <si>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</si>
  <si>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</si>
  <si>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</si>
  <si>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</si>
  <si>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</si>
  <si>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</si>
  <si>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</si>
  <si>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</si>
  <si>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</si>
  <si>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</si>
  <si>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</si>
  <si>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</si>
  <si>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</si>
  <si>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</si>
  <si>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</si>
  <si>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</si>
  <si>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</si>
  <si>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</si>
  <si>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</si>
  <si>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</si>
  <si>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</si>
  <si>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</si>
  <si>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</si>
  <si>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</si>
  <si>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</si>
  <si>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</si>
  <si>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</si>
  <si>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</si>
  <si>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</si>
  <si>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</si>
  <si>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</si>
  <si>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</si>
  <si>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</si>
  <si>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</si>
  <si>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</si>
  <si>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</si>
  <si>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handlebar</t>
  </si>
  <si>
    <t>fork</t>
  </si>
  <si>
    <t>rigid</t>
  </si>
  <si>
    <t>yes</t>
  </si>
  <si>
    <t>rider_min_spec</t>
  </si>
  <si>
    <t>rider_max_spec</t>
  </si>
  <si>
    <t>trail</t>
  </si>
  <si>
    <t>front_center</t>
  </si>
  <si>
    <t>internal</t>
  </si>
  <si>
    <t>Head Tube Angle (°)</t>
  </si>
  <si>
    <t>Seat Tube Angle (°)</t>
  </si>
  <si>
    <t>bb_height</t>
  </si>
  <si>
    <t>https://www.pashley.co.uk/products/wildfinder</t>
  </si>
  <si>
    <t>Pashley</t>
  </si>
  <si>
    <t>Wildfinder</t>
  </si>
  <si>
    <t>X-SMALL</t>
  </si>
  <si>
    <t>SMALL</t>
  </si>
  <si>
    <t>MEDIUM</t>
  </si>
  <si>
    <t>LARGE</t>
  </si>
  <si>
    <t>X-LARGE</t>
  </si>
  <si>
    <t>Seat Tube</t>
  </si>
  <si>
    <t>Effective Top Tube</t>
  </si>
  <si>
    <t>Reach</t>
  </si>
  <si>
    <t>Stack</t>
  </si>
  <si>
    <t>Head Tube</t>
  </si>
  <si>
    <t>Chainstay</t>
  </si>
  <si>
    <t>BB Drop</t>
  </si>
  <si>
    <t>Fork Offset</t>
  </si>
  <si>
    <t>Trail (2.4” Tyre)</t>
  </si>
  <si>
    <t>BB Height (2.4” Tyre)</t>
  </si>
  <si>
    <t>Stem Length</t>
  </si>
  <si>
    <t>frame size</t>
  </si>
  <si>
    <t>steel</t>
  </si>
  <si>
    <t>hardtail</t>
  </si>
  <si>
    <t>external</t>
  </si>
  <si>
    <t>a8:g35</t>
  </si>
  <si>
    <t>threaded</t>
  </si>
  <si>
    <r>
      <t>bot</t>
    </r>
    <r>
      <rPr>
        <u/>
        <sz val="14"/>
        <color rgb="FF000000"/>
        <rFont val="Futura"/>
        <family val="2"/>
      </rPr>
      <t>h</t>
    </r>
  </si>
  <si>
    <t>USD</t>
  </si>
  <si>
    <t>https://www.pashley.co.uk/cdn/shop/files/thumbnail_PashleyWildfinderRedside2040x2040_700x.jpg?v=1756388923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</si>
</sst>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4"/>
      <color rgb="FF000000"/>
      <name val="Futura"/>
    </font>
    <font>
      <sz val="14"/>
      <color rgb="FF000000"/>
      <name val="Futura"/>
      <family val="2"/>
    </font>
    <font>
      <sz val="14"/>
      <color rgb="FF2B3136"/>
      <name val="Futura Medium"/>
    </font>
    <font>
      <b/>
      <sz val="14"/>
      <color theme="1"/>
      <name val="Futura Medium"/>
    </font>
    <font>
      <sz val="14"/>
      <color theme="1"/>
      <name val="Futura Medium"/>
    </font>
    <font>
      <b/>
      <sz val="14"/>
      <color rgb="FF000000"/>
      <name val="Futura"/>
      <family val="2"/>
    </font>
    <font>
      <b/>
      <sz val="14"/>
      <color rgb="FF000000"/>
      <name val="OpenSans"/>
    </font>
    <font>
      <sz val="14"/>
      <color rgb="FF000000"/>
      <name val="Calibri"/>
      <family val="2"/>
      <scheme val="minor"/>
    </font>
    <font>
      <sz val="14"/>
      <color rgb="FF222222"/>
      <name val="Helvetica Neue"/>
      <family val="2"/>
    </font>
    <font>
      <sz val="12"/>
      <color rgb="FF555555"/>
      <name val="Helvetica Neue"/>
      <family val="2"/>
    </font>
    <font>
      <u/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15" fontId="0" fillId="0" borderId="0" xfId="0" applyNumberFormat="1"/>
    <xf numFmtId="164" fontId="0" fillId="0" borderId="0" xfId="0" applyNumberForma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abSelected="1" zoomScale="105" zoomScaleNormal="100" workbookViewId="0">
      <selection activeCell="B6" sqref="B6"/>
    </sheetView>
  </sheetViews>
  <sheetFormatPr baseColWidth="10" defaultRowHeight="20"/>
  <cols>
    <col min="1" max="2" width="19.6640625" customWidth="1"/>
  </cols>
  <sheetData>
    <row r="1" spans="1:8">
      <c r="A1" t="s">
        <v>0</v>
      </c>
      <c r="B1" s="4" t="s">
        <v>80</v>
      </c>
    </row>
    <row r="2" spans="1:8">
      <c r="A2" t="s">
        <v>1</v>
      </c>
      <c r="B2" s="1" t="s">
        <v>81</v>
      </c>
    </row>
    <row r="3" spans="1:8">
      <c r="A3" t="s">
        <v>2</v>
      </c>
      <c r="B3">
        <v>2025</v>
      </c>
    </row>
    <row r="4" spans="1:8">
      <c r="A4" t="s">
        <v>3</v>
      </c>
      <c r="B4" s="2">
        <v>45906</v>
      </c>
    </row>
    <row r="5" spans="1:8">
      <c r="A5" t="s">
        <v>4</v>
      </c>
      <c r="B5" t="s">
        <v>79</v>
      </c>
    </row>
    <row r="6" spans="1:8">
      <c r="B6" t="s">
        <v>106</v>
      </c>
    </row>
    <row r="7" spans="1:8">
      <c r="A7" t="s">
        <v>5</v>
      </c>
      <c r="B7" s="1" t="s">
        <v>102</v>
      </c>
    </row>
    <row r="8" spans="1:8">
      <c r="A8" t="s">
        <v>6</v>
      </c>
      <c r="B8" s="1" t="s">
        <v>98</v>
      </c>
      <c r="C8" s="8" t="s">
        <v>82</v>
      </c>
      <c r="D8" s="8" t="s">
        <v>83</v>
      </c>
      <c r="E8" s="8" t="s">
        <v>84</v>
      </c>
      <c r="F8" s="8" t="s">
        <v>85</v>
      </c>
      <c r="G8" s="8" t="s">
        <v>86</v>
      </c>
      <c r="H8" s="5"/>
    </row>
    <row r="9" spans="1:8">
      <c r="A9" t="s">
        <v>10</v>
      </c>
      <c r="B9" s="8" t="s">
        <v>87</v>
      </c>
      <c r="C9" s="9">
        <v>410</v>
      </c>
      <c r="D9" s="9">
        <v>445</v>
      </c>
      <c r="E9" s="9">
        <v>480</v>
      </c>
      <c r="F9" s="9">
        <v>515</v>
      </c>
      <c r="G9" s="9">
        <v>550</v>
      </c>
    </row>
    <row r="10" spans="1:8">
      <c r="A10" t="s">
        <v>11</v>
      </c>
      <c r="B10" s="8" t="s">
        <v>88</v>
      </c>
      <c r="C10" s="9">
        <v>548</v>
      </c>
      <c r="D10" s="9">
        <v>571</v>
      </c>
      <c r="E10" s="9">
        <v>594</v>
      </c>
      <c r="F10" s="9">
        <v>614</v>
      </c>
      <c r="G10" s="9">
        <v>639</v>
      </c>
    </row>
    <row r="11" spans="1:8">
      <c r="A11" t="s">
        <v>13</v>
      </c>
      <c r="B11" s="8" t="s">
        <v>89</v>
      </c>
      <c r="C11" s="9">
        <v>380</v>
      </c>
      <c r="D11" s="9">
        <v>400</v>
      </c>
      <c r="E11" s="9">
        <v>420</v>
      </c>
      <c r="F11" s="9">
        <v>440</v>
      </c>
      <c r="G11" s="9">
        <v>460</v>
      </c>
    </row>
    <row r="12" spans="1:8">
      <c r="A12" s="1" t="s">
        <v>12</v>
      </c>
      <c r="B12" s="8" t="s">
        <v>90</v>
      </c>
      <c r="C12" s="9">
        <v>609</v>
      </c>
      <c r="D12" s="9">
        <v>622</v>
      </c>
      <c r="E12" s="9">
        <v>632</v>
      </c>
      <c r="F12" s="9">
        <v>641</v>
      </c>
      <c r="G12" s="9">
        <v>650</v>
      </c>
    </row>
    <row r="13" spans="1:8">
      <c r="A13" t="s">
        <v>9</v>
      </c>
      <c r="B13" s="8" t="s">
        <v>91</v>
      </c>
      <c r="C13" s="9">
        <v>110</v>
      </c>
      <c r="D13" s="9">
        <v>120</v>
      </c>
      <c r="E13" s="9">
        <v>130</v>
      </c>
      <c r="F13" s="9">
        <v>140</v>
      </c>
      <c r="G13" s="9">
        <v>150</v>
      </c>
    </row>
    <row r="14" spans="1:8">
      <c r="A14" t="s">
        <v>14</v>
      </c>
      <c r="B14" s="8" t="s">
        <v>92</v>
      </c>
      <c r="C14" s="9">
        <v>435</v>
      </c>
      <c r="D14" s="9">
        <v>435</v>
      </c>
      <c r="E14" s="9">
        <v>435</v>
      </c>
      <c r="F14" s="9">
        <v>435</v>
      </c>
      <c r="G14" s="9">
        <v>435</v>
      </c>
    </row>
    <row r="15" spans="1:8">
      <c r="A15" t="s">
        <v>18</v>
      </c>
      <c r="B15" s="8" t="s">
        <v>93</v>
      </c>
      <c r="C15" s="9">
        <v>65</v>
      </c>
      <c r="D15" s="9">
        <v>65</v>
      </c>
      <c r="E15" s="9">
        <v>65</v>
      </c>
      <c r="F15" s="9">
        <v>65</v>
      </c>
      <c r="G15" s="9">
        <v>65</v>
      </c>
    </row>
    <row r="16" spans="1:8">
      <c r="A16" t="s">
        <v>8</v>
      </c>
      <c r="B16" s="8" t="s">
        <v>77</v>
      </c>
      <c r="C16" s="9">
        <v>74.5</v>
      </c>
      <c r="D16" s="9">
        <v>74.5</v>
      </c>
      <c r="E16" s="9">
        <v>74.5</v>
      </c>
      <c r="F16" s="9">
        <v>74.5</v>
      </c>
      <c r="G16" s="9">
        <v>74.5</v>
      </c>
    </row>
    <row r="17" spans="1:9">
      <c r="A17" t="s">
        <v>7</v>
      </c>
      <c r="B17" s="8" t="s">
        <v>76</v>
      </c>
      <c r="C17" s="9">
        <v>68</v>
      </c>
      <c r="D17" s="9">
        <v>68.5</v>
      </c>
      <c r="E17" s="9">
        <v>69</v>
      </c>
      <c r="F17" s="9">
        <v>69</v>
      </c>
      <c r="G17" s="9">
        <v>69</v>
      </c>
    </row>
    <row r="18" spans="1:9">
      <c r="A18" t="s">
        <v>16</v>
      </c>
      <c r="B18" s="7" t="s">
        <v>94</v>
      </c>
      <c r="C18">
        <v>44</v>
      </c>
      <c r="D18">
        <v>44</v>
      </c>
      <c r="E18">
        <v>44</v>
      </c>
      <c r="F18">
        <v>44</v>
      </c>
      <c r="G18">
        <v>44</v>
      </c>
    </row>
    <row r="19" spans="1:9">
      <c r="A19" s="1" t="s">
        <v>73</v>
      </c>
      <c r="B19" t="s">
        <v>95</v>
      </c>
      <c r="C19" s="6">
        <v>103</v>
      </c>
      <c r="D19" s="6">
        <v>99</v>
      </c>
      <c r="E19" s="6">
        <v>96</v>
      </c>
      <c r="F19" s="6">
        <v>96</v>
      </c>
      <c r="G19" s="6">
        <v>96</v>
      </c>
    </row>
    <row r="20" spans="1:9">
      <c r="A20" s="1" t="s">
        <v>78</v>
      </c>
      <c r="B20" t="s">
        <v>96</v>
      </c>
      <c r="C20" s="6">
        <v>300</v>
      </c>
      <c r="D20" s="6">
        <v>300</v>
      </c>
      <c r="E20" s="6">
        <v>300</v>
      </c>
      <c r="F20" s="6">
        <v>300</v>
      </c>
      <c r="G20" s="6">
        <v>300</v>
      </c>
    </row>
    <row r="21" spans="1:9">
      <c r="A21" t="s">
        <v>21</v>
      </c>
      <c r="B21" t="s">
        <v>97</v>
      </c>
      <c r="C21" s="6">
        <v>50</v>
      </c>
      <c r="D21" s="6">
        <v>50</v>
      </c>
      <c r="E21" s="6">
        <v>50</v>
      </c>
      <c r="F21" s="6">
        <v>50</v>
      </c>
      <c r="G21" s="6">
        <v>50</v>
      </c>
    </row>
    <row r="22" spans="1:9">
      <c r="A22" s="1" t="s">
        <v>74</v>
      </c>
      <c r="C22" s="6"/>
      <c r="D22" s="6"/>
      <c r="E22" s="6"/>
      <c r="F22" s="6"/>
      <c r="G22" s="6"/>
    </row>
    <row r="23" spans="1:9">
      <c r="A23" t="s">
        <v>19</v>
      </c>
      <c r="C23" s="6"/>
      <c r="D23" s="6"/>
      <c r="E23" s="6"/>
      <c r="F23" s="6"/>
      <c r="G23" s="6"/>
    </row>
    <row r="24" spans="1:9">
      <c r="A24" t="s">
        <v>15</v>
      </c>
      <c r="C24" s="6">
        <v>483</v>
      </c>
      <c r="D24" s="6">
        <v>483</v>
      </c>
      <c r="E24" s="6">
        <v>483</v>
      </c>
      <c r="F24" s="6">
        <v>483</v>
      </c>
      <c r="G24" s="6">
        <v>483</v>
      </c>
    </row>
    <row r="25" spans="1:9">
      <c r="A25" t="s">
        <v>17</v>
      </c>
      <c r="C25" s="6"/>
      <c r="D25" s="6"/>
      <c r="E25" s="6"/>
      <c r="F25" s="6"/>
      <c r="G25" s="6"/>
    </row>
    <row r="26" spans="1:9">
      <c r="A26" t="s">
        <v>22</v>
      </c>
      <c r="C26" s="6"/>
      <c r="D26" s="6"/>
      <c r="E26" s="6"/>
      <c r="F26" s="6"/>
      <c r="G26" s="6"/>
    </row>
    <row r="27" spans="1:9">
      <c r="A27" t="s">
        <v>20</v>
      </c>
    </row>
    <row r="28" spans="1:9">
      <c r="A28" t="s">
        <v>23</v>
      </c>
    </row>
    <row r="29" spans="1:9">
      <c r="A29" t="s">
        <v>24</v>
      </c>
      <c r="B29" t="s">
        <v>24</v>
      </c>
      <c r="C29">
        <v>700</v>
      </c>
      <c r="D29">
        <v>700</v>
      </c>
      <c r="E29">
        <v>700</v>
      </c>
      <c r="F29">
        <v>700</v>
      </c>
      <c r="G29">
        <v>700</v>
      </c>
    </row>
    <row r="30" spans="1:9">
      <c r="A30" t="s">
        <v>25</v>
      </c>
      <c r="B30" t="s">
        <v>25</v>
      </c>
      <c r="C30">
        <v>42</v>
      </c>
      <c r="D30">
        <v>42</v>
      </c>
      <c r="E30">
        <v>42</v>
      </c>
      <c r="F30">
        <v>42</v>
      </c>
      <c r="G30">
        <v>42</v>
      </c>
    </row>
    <row r="31" spans="1:9">
      <c r="A31" t="s">
        <v>26</v>
      </c>
      <c r="B31" t="s">
        <v>26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9">
      <c r="A32" t="s">
        <v>27</v>
      </c>
      <c r="B32" t="s">
        <v>27</v>
      </c>
      <c r="C32" s="3">
        <f>C34</f>
        <v>155</v>
      </c>
      <c r="D32" s="3">
        <f>AVERAGE(D34,C35)</f>
        <v>161</v>
      </c>
      <c r="E32" s="3">
        <f t="shared" ref="E32:G32" si="0">AVERAGE(E34,D35)</f>
        <v>171</v>
      </c>
      <c r="F32" s="3">
        <f t="shared" si="0"/>
        <v>181</v>
      </c>
      <c r="G32" s="3">
        <f t="shared" si="0"/>
        <v>189</v>
      </c>
      <c r="H32" s="3"/>
      <c r="I32" s="3"/>
    </row>
    <row r="33" spans="1:9">
      <c r="A33" t="s">
        <v>28</v>
      </c>
      <c r="B33" t="s">
        <v>28</v>
      </c>
      <c r="C33" s="3">
        <f>D32</f>
        <v>161</v>
      </c>
      <c r="D33" s="3">
        <f t="shared" ref="D33:F33" si="1">E32</f>
        <v>171</v>
      </c>
      <c r="E33" s="3">
        <f t="shared" si="1"/>
        <v>181</v>
      </c>
      <c r="F33" s="3">
        <f t="shared" si="1"/>
        <v>189</v>
      </c>
      <c r="G33" s="3">
        <f t="shared" ref="G33" si="2">G35</f>
        <v>196</v>
      </c>
      <c r="H33" s="3"/>
      <c r="I33" s="3"/>
    </row>
    <row r="34" spans="1:9">
      <c r="A34" s="1" t="s">
        <v>71</v>
      </c>
      <c r="C34">
        <v>155</v>
      </c>
      <c r="D34">
        <v>160</v>
      </c>
      <c r="E34">
        <v>170</v>
      </c>
      <c r="F34">
        <v>180</v>
      </c>
      <c r="G34">
        <v>188</v>
      </c>
    </row>
    <row r="35" spans="1:9">
      <c r="A35" s="1" t="s">
        <v>72</v>
      </c>
      <c r="C35">
        <v>162</v>
      </c>
      <c r="D35">
        <v>172</v>
      </c>
      <c r="E35">
        <v>182</v>
      </c>
      <c r="F35">
        <v>190</v>
      </c>
      <c r="G35">
        <v>196</v>
      </c>
    </row>
    <row r="36" spans="1:9">
      <c r="C36" s="6"/>
      <c r="D36" s="6"/>
      <c r="E36" s="6"/>
      <c r="F36" s="6"/>
      <c r="G36" s="6"/>
    </row>
    <row r="37" spans="1:9">
      <c r="A37" t="s">
        <v>29</v>
      </c>
      <c r="B37" t="s">
        <v>30</v>
      </c>
      <c r="C37" s="10"/>
      <c r="D37" s="10"/>
      <c r="E37" s="10"/>
      <c r="F37" s="10"/>
      <c r="G37" s="10"/>
    </row>
    <row r="38" spans="1:9">
      <c r="A38" t="s">
        <v>66</v>
      </c>
      <c r="B38" s="1" t="s">
        <v>100</v>
      </c>
      <c r="C38" s="11"/>
      <c r="D38" s="11"/>
      <c r="E38" s="11"/>
      <c r="F38" s="11"/>
      <c r="G38" s="11"/>
    </row>
    <row r="39" spans="1:9">
      <c r="A39" t="s">
        <v>67</v>
      </c>
      <c r="B39" s="1" t="s">
        <v>104</v>
      </c>
      <c r="C39" s="10"/>
      <c r="D39" s="10"/>
      <c r="E39" s="10"/>
      <c r="F39" s="10"/>
    </row>
    <row r="40" spans="1:9">
      <c r="A40" t="s">
        <v>68</v>
      </c>
      <c r="B40" t="s">
        <v>69</v>
      </c>
    </row>
    <row r="41" spans="1:9">
      <c r="A41" t="s">
        <v>31</v>
      </c>
      <c r="B41" s="1" t="s">
        <v>99</v>
      </c>
    </row>
    <row r="42" spans="1:9">
      <c r="A42" t="s">
        <v>32</v>
      </c>
      <c r="B42" s="1" t="s">
        <v>70</v>
      </c>
    </row>
    <row r="43" spans="1:9">
      <c r="A43" t="s">
        <v>33</v>
      </c>
    </row>
    <row r="44" spans="1:9">
      <c r="A44" t="s">
        <v>34</v>
      </c>
      <c r="B44">
        <v>61</v>
      </c>
    </row>
    <row r="45" spans="1:9">
      <c r="A45" t="s">
        <v>35</v>
      </c>
      <c r="B45">
        <v>2.8</v>
      </c>
    </row>
    <row r="46" spans="1:9">
      <c r="A46" t="s">
        <v>36</v>
      </c>
      <c r="B46">
        <v>100</v>
      </c>
    </row>
    <row r="47" spans="1:9">
      <c r="A47" t="s">
        <v>37</v>
      </c>
      <c r="B47" s="1"/>
    </row>
    <row r="48" spans="1:9">
      <c r="A48" t="s">
        <v>38</v>
      </c>
    </row>
    <row r="49" spans="1:2">
      <c r="A49" t="s">
        <v>39</v>
      </c>
    </row>
    <row r="50" spans="1:2">
      <c r="A50" t="s">
        <v>40</v>
      </c>
      <c r="B50">
        <v>148</v>
      </c>
    </row>
    <row r="51" spans="1:2">
      <c r="A51" t="s">
        <v>41</v>
      </c>
      <c r="B51">
        <v>110</v>
      </c>
    </row>
    <row r="52" spans="1:2">
      <c r="A52" t="s">
        <v>42</v>
      </c>
      <c r="B52" s="1" t="s">
        <v>103</v>
      </c>
    </row>
    <row r="53" spans="1:2">
      <c r="A53" t="s">
        <v>43</v>
      </c>
    </row>
    <row r="54" spans="1:2">
      <c r="A54" t="s">
        <v>44</v>
      </c>
      <c r="B54">
        <v>31.6</v>
      </c>
    </row>
    <row r="55" spans="1:2">
      <c r="A55" t="s">
        <v>45</v>
      </c>
      <c r="B55" s="1"/>
    </row>
    <row r="56" spans="1:2">
      <c r="A56" t="s">
        <v>46</v>
      </c>
      <c r="B56">
        <v>42</v>
      </c>
    </row>
    <row r="57" spans="1:2">
      <c r="A57" t="s">
        <v>47</v>
      </c>
    </row>
    <row r="58" spans="1:2">
      <c r="A58" t="s">
        <v>48</v>
      </c>
      <c r="B58">
        <v>180</v>
      </c>
    </row>
    <row r="59" spans="1:2">
      <c r="A59" t="s">
        <v>49</v>
      </c>
      <c r="B59">
        <v>160</v>
      </c>
    </row>
    <row r="60" spans="1:2">
      <c r="A60" t="s">
        <v>50</v>
      </c>
    </row>
    <row r="61" spans="1:2">
      <c r="A61" t="s">
        <v>51</v>
      </c>
      <c r="B61" s="1" t="s">
        <v>101</v>
      </c>
    </row>
    <row r="62" spans="1:2">
      <c r="A62" t="s">
        <v>52</v>
      </c>
      <c r="B62" s="1" t="s">
        <v>75</v>
      </c>
    </row>
    <row r="63" spans="1:2">
      <c r="A63" t="s">
        <v>53</v>
      </c>
      <c r="B63" s="1"/>
    </row>
    <row r="64" spans="1:2">
      <c r="A64" t="s">
        <v>54</v>
      </c>
    </row>
    <row r="65" spans="1:2">
      <c r="A65" t="s">
        <v>55</v>
      </c>
      <c r="B65">
        <v>2</v>
      </c>
    </row>
    <row r="66" spans="1:2">
      <c r="A66" t="s">
        <v>56</v>
      </c>
      <c r="B66">
        <v>1</v>
      </c>
    </row>
    <row r="67" spans="1:2">
      <c r="A67" t="s">
        <v>57</v>
      </c>
      <c r="B67" s="1" t="s">
        <v>70</v>
      </c>
    </row>
    <row r="68" spans="1:2">
      <c r="A68" t="s">
        <v>58</v>
      </c>
      <c r="B68" s="1">
        <v>3</v>
      </c>
    </row>
    <row r="69" spans="1:2">
      <c r="A69" t="s">
        <v>59</v>
      </c>
      <c r="B69" s="1" t="s">
        <v>70</v>
      </c>
    </row>
    <row r="70" spans="1:2">
      <c r="A70" t="s">
        <v>60</v>
      </c>
      <c r="B70" s="1" t="s">
        <v>70</v>
      </c>
    </row>
    <row r="71" spans="1:2">
      <c r="A71" t="s">
        <v>61</v>
      </c>
      <c r="B71" s="1" t="s">
        <v>70</v>
      </c>
    </row>
    <row r="72" spans="1:2">
      <c r="A72" t="s">
        <v>62</v>
      </c>
      <c r="B72">
        <v>2595</v>
      </c>
    </row>
    <row r="73" spans="1:2">
      <c r="A73" t="s">
        <v>63</v>
      </c>
      <c r="B73">
        <v>4195</v>
      </c>
    </row>
    <row r="74" spans="1:2">
      <c r="A74" t="s">
        <v>64</v>
      </c>
      <c r="B74" s="1"/>
    </row>
    <row r="75" spans="1:2">
      <c r="A75" t="s">
        <v>65</v>
      </c>
      <c r="B75" s="1" t="s">
        <v>105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2025-07-26T17:59:04Z</dcterms:created>
  <dcterms:modified xsi:type="dcterms:W3CDTF">2025-10-14T11:38:37Z</dcterms:modified>
</cp:coreProperties>
</file>