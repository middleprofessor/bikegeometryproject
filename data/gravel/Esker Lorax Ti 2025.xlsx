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C46BFB4-C95F-354D-A234-66964349BB14}" xr6:coauthVersionLast="47" xr6:coauthVersionMax="47" xr10:uidLastSave="{00000000-0000-0000-0000-000000000000}"/>
  <bookViews>
    <workbookView xWindow="7380" yWindow="500" windowWidth="20520" windowHeight="1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D31" i="1"/>
  <c r="E31" i="1"/>
  <c r="F31" i="1"/>
  <c r="C30" i="1"/>
  <c r="C31" i="1"/>
  <c r="B42" i="1"/>
  <c r="D33" i="1"/>
  <c r="E33" i="1"/>
  <c r="C33" i="1"/>
  <c r="E32" i="1"/>
  <c r="F32" i="1"/>
  <c r="D32" i="1"/>
  <c r="F33" i="1"/>
  <c r="C32" i="1"/>
</calcChain>
</file>

<file path=xl/sharedStrings.xml><?xml version="1.0" encoding="utf-8"?>
<sst xmlns="http://schemas.openxmlformats.org/spreadsheetml/2006/main" count="116" uniqueCount="112">
  <si>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</si>
  <si>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</si>
  <si>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</si>
  <si>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</si>
  <si>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</si>
  <si>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</si>
  <si>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</si>
  <si>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</si>
  <si>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</si>
  <si>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</si>
  <si>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</si>
  <si>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</si>
  <si>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</si>
  <si>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</si>
  <si>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</si>
  <si>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</si>
  <si>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</si>
  <si>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</si>
  <si>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</si>
  <si>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</si>
  <si>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</si>
  <si>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</si>
  <si>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</si>
  <si>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</si>
  <si>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</si>
  <si>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</si>
  <si>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</si>
  <si>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</si>
  <si>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</si>
  <si>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</si>
  <si>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</si>
  <si>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</si>
  <si>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</si>
  <si>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</si>
  <si>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</si>
  <si>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</si>
  <si>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</si>
  <si>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</si>
  <si>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</si>
  <si>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</si>
  <si>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</si>
  <si>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</si>
  <si>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</si>
  <si>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</si>
  <si>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</si>
  <si>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</si>
  <si>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</si>
  <si>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</si>
  <si>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</si>
  <si>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</si>
  <si>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</si>
  <si>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</si>
  <si>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</si>
  <si>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</si>
  <si>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</si>
  <si>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</si>
  <si>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</si>
  <si>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</si>
  <si>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</si>
  <si>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</si>
  <si>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</si>
  <si>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</si>
  <si>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</si>
  <si>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</si>
  <si>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</si>
  <si>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</si>
  <si>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</si>
  <si>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</si>
  <si>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</si>
  <si>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</si>
  <si>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</si>
  <si>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a8:f33</t>
  </si>
  <si>
    <t>class</t>
  </si>
  <si>
    <t>hardtail</t>
  </si>
  <si>
    <t>handlebar</t>
  </si>
  <si>
    <t>fork</t>
  </si>
  <si>
    <t>Esker</t>
  </si>
  <si>
    <t>Lorax Ti</t>
  </si>
  <si>
    <t>https://eskercycles.com/pages/lorax-ti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</si>
  <si>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</si>
  <si>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</si>
  <si>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</si>
  <si>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</si>
  <si>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</si>
  <si>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</si>
  <si>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</si>
  <si>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</si>
  <si>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Chainstay Length - Forward/Fixed Position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</si>
  <si>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</si>
  <si>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</si>
  <si>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</si>
  <si>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</si>
  <si>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</si>
  <si>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</si>
  <si>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</si>
  <si>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</si>
  <si>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</si>
  <si>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</si>
  <si>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Hardtail geometry based on 30% fork sag</t>
  </si>
  <si>
    <t>drop bar</t>
  </si>
  <si>
    <t>max_seat_tube_insertion</t>
  </si>
  <si>
    <t>frame_weight</t>
  </si>
  <si>
    <t>no</t>
  </si>
  <si>
    <t>us</t>
  </si>
  <si>
    <t>S1/SM</t>
  </si>
  <si>
    <t>S2/MD</t>
  </si>
  <si>
    <t>S3/LG</t>
  </si>
  <si>
    <t>S4/XL</t>
  </si>
  <si>
    <t>threaded 73</t>
  </si>
  <si>
    <t>effectively equal to rigid fork of this length</t>
  </si>
  <si>
    <t>suspension</t>
  </si>
  <si>
    <t>https://eskercycles.com/cdn/shop/files/Lorax_Rigid_Ti_3_5_25_0013_1.jpg?v=1741577688&amp;width=3840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</si>
</sst>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b/>
      <sz val="14"/>
      <color rgb="FF236FA1"/>
      <name val="Avenir Next"/>
      <family val="2"/>
    </font>
    <font>
      <sz val="14"/>
      <color rgb="FF236FA1"/>
      <name val="Inherit"/>
    </font>
    <font>
      <b/>
      <sz val="14"/>
      <color rgb="FF000000"/>
      <name val="Inherit"/>
    </font>
    <font>
      <i/>
      <sz val="14"/>
      <color rgb="FF000000"/>
      <name val="Avenir Next"/>
      <family val="2"/>
    </font>
    <font>
      <b/>
      <sz val="14"/>
      <color rgb="FF236FA1"/>
      <name val="Inherit"/>
    </font>
    <font>
      <i/>
      <sz val="16"/>
      <color rgb="FF396D8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B7" sqref="B7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76</v>
      </c>
    </row>
    <row r="2" spans="1:6">
      <c r="A2" t="s">
        <v>1</v>
      </c>
      <c r="B2" s="1" t="s">
        <v>77</v>
      </c>
    </row>
    <row r="3" spans="1:6">
      <c r="A3" t="s">
        <v>2</v>
      </c>
      <c r="B3" t="s">
        <v>3</v>
      </c>
    </row>
    <row r="4" spans="1:6">
      <c r="A4" t="s">
        <v>4</v>
      </c>
      <c r="B4" s="2">
        <v>45882</v>
      </c>
    </row>
    <row r="5" spans="1:6">
      <c r="A5" t="s">
        <v>5</v>
      </c>
      <c r="B5" t="s">
        <v>78</v>
      </c>
    </row>
    <row r="6" spans="1:6">
      <c r="B6" t="s">
        <v>111</v>
      </c>
    </row>
    <row r="7" spans="1:6" ht="22">
      <c r="A7" t="s">
        <v>6</v>
      </c>
      <c r="B7" s="1" t="s">
        <v>71</v>
      </c>
      <c r="C7" s="9" t="s">
        <v>98</v>
      </c>
    </row>
    <row r="8" spans="1:6">
      <c r="A8" t="s">
        <v>7</v>
      </c>
      <c r="B8" s="1" t="s">
        <v>8</v>
      </c>
      <c r="C8" s="3" t="s">
        <v>104</v>
      </c>
      <c r="D8" s="3" t="s">
        <v>105</v>
      </c>
      <c r="E8" s="3" t="s">
        <v>106</v>
      </c>
      <c r="F8" s="3" t="s">
        <v>107</v>
      </c>
    </row>
    <row r="9" spans="1:6">
      <c r="A9" t="s">
        <v>9</v>
      </c>
      <c r="B9" s="4" t="s">
        <v>79</v>
      </c>
      <c r="C9" s="3">
        <v>537</v>
      </c>
      <c r="D9" s="3">
        <v>560</v>
      </c>
      <c r="E9" s="3">
        <v>587</v>
      </c>
      <c r="F9" s="5">
        <v>610</v>
      </c>
    </row>
    <row r="10" spans="1:6">
      <c r="A10" t="s">
        <v>18</v>
      </c>
      <c r="B10" s="4" t="s">
        <v>80</v>
      </c>
      <c r="C10" s="3">
        <v>365</v>
      </c>
      <c r="D10" s="3">
        <v>380</v>
      </c>
      <c r="E10" s="3">
        <v>390</v>
      </c>
      <c r="F10" s="3">
        <v>405</v>
      </c>
    </row>
    <row r="11" spans="1:6">
      <c r="A11" t="s">
        <v>17</v>
      </c>
      <c r="B11" s="4" t="s">
        <v>81</v>
      </c>
      <c r="C11" s="3">
        <v>600</v>
      </c>
      <c r="D11" s="3">
        <v>610</v>
      </c>
      <c r="E11" s="3">
        <v>645</v>
      </c>
      <c r="F11" s="3">
        <v>670</v>
      </c>
    </row>
    <row r="12" spans="1:6">
      <c r="A12" t="s">
        <v>15</v>
      </c>
      <c r="B12" s="4" t="s">
        <v>82</v>
      </c>
      <c r="C12" s="3">
        <v>68</v>
      </c>
      <c r="D12" s="3">
        <v>68</v>
      </c>
      <c r="E12" s="3">
        <v>68</v>
      </c>
      <c r="F12" s="3">
        <v>68</v>
      </c>
    </row>
    <row r="13" spans="1:6">
      <c r="A13" t="s">
        <v>11</v>
      </c>
      <c r="B13" s="4" t="s">
        <v>83</v>
      </c>
      <c r="C13" s="3">
        <v>90</v>
      </c>
      <c r="D13" s="3">
        <v>100</v>
      </c>
      <c r="E13" s="3">
        <v>138</v>
      </c>
      <c r="F13" s="3">
        <v>165</v>
      </c>
    </row>
    <row r="14" spans="1:6">
      <c r="A14" t="s">
        <v>14</v>
      </c>
      <c r="B14" s="4" t="s">
        <v>84</v>
      </c>
      <c r="C14" s="3">
        <v>74</v>
      </c>
      <c r="D14" s="3">
        <v>73.5</v>
      </c>
      <c r="E14" s="3">
        <v>73</v>
      </c>
      <c r="F14" s="3">
        <v>73</v>
      </c>
    </row>
    <row r="15" spans="1:6">
      <c r="A15" t="s">
        <v>10</v>
      </c>
      <c r="B15" s="4" t="s">
        <v>85</v>
      </c>
      <c r="C15" s="3">
        <v>400</v>
      </c>
      <c r="D15" s="3">
        <v>460</v>
      </c>
      <c r="E15" s="3">
        <v>510</v>
      </c>
      <c r="F15" s="3">
        <v>560</v>
      </c>
    </row>
    <row r="16" spans="1:6">
      <c r="A16" s="1" t="s">
        <v>100</v>
      </c>
      <c r="B16" s="4" t="s">
        <v>86</v>
      </c>
      <c r="C16" s="3">
        <v>300</v>
      </c>
      <c r="D16" s="3">
        <v>360</v>
      </c>
      <c r="E16" s="3">
        <v>410</v>
      </c>
      <c r="F16" s="3">
        <v>460</v>
      </c>
    </row>
    <row r="17" spans="1:7">
      <c r="A17" t="s">
        <v>12</v>
      </c>
      <c r="B17" s="4" t="s">
        <v>87</v>
      </c>
      <c r="C17" s="3">
        <v>445</v>
      </c>
      <c r="D17" s="3">
        <v>445</v>
      </c>
      <c r="E17" s="3">
        <v>445</v>
      </c>
      <c r="F17" s="3">
        <v>445</v>
      </c>
    </row>
    <row r="18" spans="1:7">
      <c r="A18" t="s">
        <v>16</v>
      </c>
      <c r="B18" s="6" t="s">
        <v>88</v>
      </c>
      <c r="C18" s="3">
        <v>44</v>
      </c>
      <c r="D18" s="3">
        <v>44</v>
      </c>
      <c r="E18" s="3">
        <v>44</v>
      </c>
      <c r="F18" s="3">
        <v>44</v>
      </c>
    </row>
    <row r="19" spans="1:7">
      <c r="A19" t="s">
        <v>21</v>
      </c>
      <c r="B19" s="4" t="s">
        <v>89</v>
      </c>
      <c r="C19" s="3">
        <v>495</v>
      </c>
      <c r="D19" s="3">
        <v>495</v>
      </c>
      <c r="E19" s="3">
        <v>495</v>
      </c>
      <c r="F19" s="7">
        <v>495</v>
      </c>
      <c r="G19" s="1" t="s">
        <v>109</v>
      </c>
    </row>
    <row r="20" spans="1:7">
      <c r="A20" t="s">
        <v>13</v>
      </c>
      <c r="B20" s="4" t="s">
        <v>90</v>
      </c>
      <c r="C20" s="3">
        <v>68</v>
      </c>
      <c r="D20" s="3">
        <v>68</v>
      </c>
      <c r="E20" s="3">
        <v>68</v>
      </c>
      <c r="F20" s="3">
        <v>68</v>
      </c>
    </row>
    <row r="21" spans="1:7">
      <c r="A21" t="s">
        <v>19</v>
      </c>
      <c r="B21" s="4" t="s">
        <v>91</v>
      </c>
      <c r="C21" s="3">
        <v>1075</v>
      </c>
      <c r="D21" s="3">
        <v>1094</v>
      </c>
      <c r="E21" s="3">
        <v>1118</v>
      </c>
      <c r="F21" s="3">
        <v>1143</v>
      </c>
    </row>
    <row r="22" spans="1:7">
      <c r="A22" t="s">
        <v>24</v>
      </c>
      <c r="B22" s="4" t="s">
        <v>92</v>
      </c>
      <c r="C22" s="3">
        <v>60</v>
      </c>
      <c r="D22" s="3">
        <v>60</v>
      </c>
      <c r="E22" s="3">
        <v>60</v>
      </c>
      <c r="F22" s="3">
        <v>60</v>
      </c>
      <c r="G22" s="1"/>
    </row>
    <row r="23" spans="1:7">
      <c r="A23" s="1" t="s">
        <v>101</v>
      </c>
      <c r="B23" s="4"/>
      <c r="C23" s="3"/>
      <c r="D23" s="3">
        <v>2284</v>
      </c>
      <c r="E23" s="3"/>
      <c r="F23" s="3"/>
      <c r="G23" s="1"/>
    </row>
    <row r="24" spans="1:7">
      <c r="A24" t="s">
        <v>20</v>
      </c>
      <c r="G24" s="1"/>
    </row>
    <row r="25" spans="1:7">
      <c r="A25" t="s">
        <v>22</v>
      </c>
      <c r="G25" s="1"/>
    </row>
    <row r="26" spans="1:7">
      <c r="A26" t="s">
        <v>23</v>
      </c>
    </row>
    <row r="27" spans="1:7">
      <c r="A27" t="s">
        <v>25</v>
      </c>
    </row>
    <row r="28" spans="1:7">
      <c r="A28" t="s">
        <v>26</v>
      </c>
    </row>
    <row r="29" spans="1:7">
      <c r="A29" t="s">
        <v>27</v>
      </c>
      <c r="C29">
        <v>700</v>
      </c>
      <c r="D29">
        <v>700</v>
      </c>
      <c r="E29">
        <v>700</v>
      </c>
      <c r="F29">
        <v>700</v>
      </c>
    </row>
    <row r="30" spans="1:7">
      <c r="A30" t="s">
        <v>28</v>
      </c>
      <c r="C30">
        <f>2.2*25.4</f>
        <v>55.88</v>
      </c>
      <c r="D30">
        <f t="shared" ref="D30:F30" si="0">2.2*25.4</f>
        <v>55.88</v>
      </c>
      <c r="E30">
        <f t="shared" si="0"/>
        <v>55.88</v>
      </c>
      <c r="F30">
        <f t="shared" si="0"/>
        <v>55.88</v>
      </c>
    </row>
    <row r="31" spans="1:7">
      <c r="A31" t="s">
        <v>29</v>
      </c>
      <c r="C31">
        <f>2.6*25.4</f>
        <v>66.039999999999992</v>
      </c>
      <c r="D31">
        <f t="shared" ref="D31:F31" si="1">2.6*25.4</f>
        <v>66.039999999999992</v>
      </c>
      <c r="E31">
        <f t="shared" si="1"/>
        <v>66.039999999999992</v>
      </c>
      <c r="F31">
        <f t="shared" si="1"/>
        <v>66.039999999999992</v>
      </c>
    </row>
    <row r="32" spans="1:7">
      <c r="A32" t="s">
        <v>30</v>
      </c>
      <c r="C32">
        <f>C34*2.54</f>
        <v>160.02000000000001</v>
      </c>
      <c r="D32">
        <f>AVERAGE(D34,C35)*2.54</f>
        <v>168.91</v>
      </c>
      <c r="E32">
        <f t="shared" ref="E32:F32" si="2">AVERAGE(E34,D35)*2.54</f>
        <v>176.53</v>
      </c>
      <c r="F32">
        <f t="shared" si="2"/>
        <v>184.15</v>
      </c>
    </row>
    <row r="33" spans="1:7">
      <c r="A33" t="s">
        <v>31</v>
      </c>
      <c r="C33" s="1">
        <f>D32</f>
        <v>168.91</v>
      </c>
      <c r="D33" s="1">
        <f t="shared" ref="D33:E33" si="3">E32</f>
        <v>176.53</v>
      </c>
      <c r="E33" s="1">
        <f t="shared" si="3"/>
        <v>184.15</v>
      </c>
      <c r="F33">
        <f t="shared" ref="F33" si="4">F35*2.54</f>
        <v>193.04</v>
      </c>
    </row>
    <row r="34" spans="1:7">
      <c r="C34">
        <v>63</v>
      </c>
      <c r="D34">
        <v>66</v>
      </c>
      <c r="E34">
        <v>69</v>
      </c>
      <c r="F34">
        <v>72</v>
      </c>
    </row>
    <row r="35" spans="1:7">
      <c r="A35" t="s">
        <v>32</v>
      </c>
      <c r="B35" t="s">
        <v>33</v>
      </c>
      <c r="C35">
        <v>67</v>
      </c>
      <c r="D35">
        <v>70</v>
      </c>
      <c r="E35">
        <v>73</v>
      </c>
      <c r="F35">
        <v>76</v>
      </c>
    </row>
    <row r="36" spans="1:7">
      <c r="A36" t="s">
        <v>72</v>
      </c>
      <c r="B36" t="s">
        <v>73</v>
      </c>
      <c r="C36" s="3" t="s">
        <v>94</v>
      </c>
      <c r="D36" s="3" t="s">
        <v>95</v>
      </c>
      <c r="E36" s="3" t="s">
        <v>96</v>
      </c>
      <c r="F36" s="3" t="s">
        <v>97</v>
      </c>
      <c r="G36" s="8" t="s">
        <v>93</v>
      </c>
    </row>
    <row r="37" spans="1:7">
      <c r="A37" t="s">
        <v>74</v>
      </c>
      <c r="B37" s="1" t="s">
        <v>99</v>
      </c>
    </row>
    <row r="38" spans="1:7">
      <c r="A38" t="s">
        <v>75</v>
      </c>
      <c r="B38" s="1" t="s">
        <v>110</v>
      </c>
    </row>
    <row r="39" spans="1:7">
      <c r="A39" t="s">
        <v>34</v>
      </c>
      <c r="B39" t="s">
        <v>35</v>
      </c>
    </row>
    <row r="40" spans="1:7">
      <c r="A40" t="s">
        <v>36</v>
      </c>
      <c r="B40" t="s">
        <v>37</v>
      </c>
    </row>
    <row r="41" spans="1:7">
      <c r="A41" t="s">
        <v>38</v>
      </c>
    </row>
    <row r="42" spans="1:7">
      <c r="A42" t="s">
        <v>39</v>
      </c>
      <c r="B42">
        <f>2.6*25.4</f>
        <v>66.039999999999992</v>
      </c>
    </row>
    <row r="43" spans="1:7">
      <c r="A43" t="s">
        <v>40</v>
      </c>
    </row>
    <row r="44" spans="1:7">
      <c r="A44" t="s">
        <v>41</v>
      </c>
      <c r="B44">
        <v>120</v>
      </c>
    </row>
    <row r="45" spans="1:7">
      <c r="A45" t="s">
        <v>42</v>
      </c>
      <c r="B45" s="1">
        <v>120</v>
      </c>
    </row>
    <row r="46" spans="1:7">
      <c r="A46" t="s">
        <v>43</v>
      </c>
    </row>
    <row r="47" spans="1:7">
      <c r="A47" t="s">
        <v>44</v>
      </c>
    </row>
    <row r="48" spans="1:7">
      <c r="A48" t="s">
        <v>45</v>
      </c>
      <c r="B48">
        <v>148</v>
      </c>
    </row>
    <row r="49" spans="1:2">
      <c r="A49" t="s">
        <v>46</v>
      </c>
      <c r="B49">
        <v>110</v>
      </c>
    </row>
    <row r="50" spans="1:2">
      <c r="A50" t="s">
        <v>47</v>
      </c>
      <c r="B50" s="1" t="s">
        <v>108</v>
      </c>
    </row>
    <row r="51" spans="1:2">
      <c r="A51" t="s">
        <v>48</v>
      </c>
    </row>
    <row r="52" spans="1:2">
      <c r="A52" t="s">
        <v>49</v>
      </c>
      <c r="B52">
        <v>31.6</v>
      </c>
    </row>
    <row r="53" spans="1:2">
      <c r="A53" t="s">
        <v>50</v>
      </c>
      <c r="B53" s="1" t="s">
        <v>102</v>
      </c>
    </row>
    <row r="54" spans="1:2">
      <c r="A54" t="s">
        <v>51</v>
      </c>
      <c r="B54">
        <v>38</v>
      </c>
    </row>
    <row r="55" spans="1:2">
      <c r="A55" t="s">
        <v>52</v>
      </c>
    </row>
    <row r="56" spans="1:2">
      <c r="A56" t="s">
        <v>53</v>
      </c>
    </row>
    <row r="57" spans="1:2">
      <c r="A57" t="s">
        <v>54</v>
      </c>
    </row>
    <row r="58" spans="1:2">
      <c r="A58" t="s">
        <v>55</v>
      </c>
    </row>
    <row r="59" spans="1:2">
      <c r="A59" t="s">
        <v>56</v>
      </c>
    </row>
    <row r="60" spans="1:2">
      <c r="A60" t="s">
        <v>57</v>
      </c>
      <c r="B60" s="1" t="s">
        <v>37</v>
      </c>
    </row>
    <row r="61" spans="1:2">
      <c r="A61" t="s">
        <v>58</v>
      </c>
    </row>
    <row r="62" spans="1:2">
      <c r="A62" t="s">
        <v>59</v>
      </c>
    </row>
    <row r="63" spans="1:2">
      <c r="A63" t="s">
        <v>60</v>
      </c>
      <c r="B63">
        <v>2</v>
      </c>
    </row>
    <row r="64" spans="1:2">
      <c r="A64" t="s">
        <v>61</v>
      </c>
      <c r="B64">
        <v>1</v>
      </c>
    </row>
    <row r="65" spans="1:2">
      <c r="A65" t="s">
        <v>62</v>
      </c>
      <c r="B65" s="1" t="s">
        <v>37</v>
      </c>
    </row>
    <row r="66" spans="1:2">
      <c r="A66" t="s">
        <v>63</v>
      </c>
    </row>
    <row r="67" spans="1:2">
      <c r="A67" t="s">
        <v>64</v>
      </c>
    </row>
    <row r="68" spans="1:2">
      <c r="A68" t="s">
        <v>65</v>
      </c>
    </row>
    <row r="69" spans="1:2">
      <c r="A69" t="s">
        <v>66</v>
      </c>
      <c r="B69" s="1" t="s">
        <v>37</v>
      </c>
    </row>
    <row r="70" spans="1:2">
      <c r="A70" t="s">
        <v>67</v>
      </c>
      <c r="B70">
        <v>2500</v>
      </c>
    </row>
    <row r="71" spans="1:2">
      <c r="A71" t="s">
        <v>68</v>
      </c>
      <c r="B71">
        <v>4500</v>
      </c>
    </row>
    <row r="72" spans="1:2">
      <c r="A72" t="s">
        <v>69</v>
      </c>
      <c r="B72" s="1" t="s">
        <v>37</v>
      </c>
    </row>
    <row r="73" spans="1:2">
      <c r="A73" t="s">
        <v>70</v>
      </c>
      <c r="B73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2025-10-15T12:31:18Z</dcterms:modified>
</cp:coreProperties>
</file>