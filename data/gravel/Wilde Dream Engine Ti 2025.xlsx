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B103AB0-36BC-544B-9C41-869D8D92AA26}" xr6:coauthVersionLast="47" xr6:coauthVersionMax="47" xr10:uidLastSave="{00000000-0000-0000-0000-000000000000}"/>
  <bookViews>
    <workbookView xWindow="31700" yWindow="-1926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G29" i="1"/>
  <c r="H29" i="1"/>
  <c r="C29" i="1"/>
  <c r="D30" i="1"/>
  <c r="E30" i="1"/>
  <c r="F30" i="1"/>
  <c r="G30" i="1"/>
  <c r="H30" i="1"/>
  <c r="C30" i="1"/>
  <c r="B43" i="1"/>
  <c r="H32" i="1"/>
  <c r="E31" i="1"/>
  <c r="D32" i="1" s="1"/>
  <c r="F31" i="1"/>
  <c r="E32" i="1" s="1"/>
  <c r="G31" i="1"/>
  <c r="F32" i="1" s="1"/>
  <c r="H31" i="1"/>
  <c r="G32" i="1" s="1"/>
  <c r="D31" i="1"/>
  <c r="C32" i="1" s="1"/>
  <c r="C34" i="1"/>
  <c r="D34" i="1"/>
  <c r="E34" i="1"/>
  <c r="F34" i="1"/>
  <c r="G34" i="1"/>
  <c r="H34" i="1"/>
  <c r="D33" i="1"/>
  <c r="E33" i="1"/>
  <c r="F33" i="1"/>
  <c r="G33" i="1"/>
  <c r="H33" i="1"/>
  <c r="C33" i="1"/>
  <c r="C31" i="1" s="1"/>
</calcChain>
</file>

<file path=xl/sharedStrings.xml><?xml version="1.0" encoding="utf-8"?>
<sst xmlns="http://schemas.openxmlformats.org/spreadsheetml/2006/main" count="130" uniqueCount="115">
  <si>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</si>
  <si>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</si>
  <si>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</si>
  <si>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</si>
  <si>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</si>
  <si>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</si>
  <si>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</si>
  <si>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</si>
  <si>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</si>
  <si>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</si>
  <si>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</si>
  <si>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</si>
  <si>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</si>
  <si>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</si>
  <si>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</si>
  <si>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</si>
  <si>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</si>
  <si>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</si>
  <si>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trail_spec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</si>
  <si>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</si>
  <si>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</si>
  <si>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</si>
  <si>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</si>
  <si>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</si>
  <si>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</si>
  <si>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</si>
  <si>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</si>
  <si>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</si>
  <si>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</si>
  <si>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</si>
  <si>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</si>
  <si>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</si>
  <si>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</si>
  <si>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</si>
  <si>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</si>
  <si>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</si>
  <si>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</si>
  <si>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</si>
  <si>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</si>
  <si>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</si>
  <si>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</si>
  <si>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</si>
  <si>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</si>
  <si>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</si>
  <si>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</si>
  <si>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</si>
  <si>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</si>
  <si>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</si>
  <si>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</si>
  <si>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</si>
  <si>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</si>
  <si>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</si>
  <si>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</si>
  <si>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</si>
  <si>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</si>
  <si>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</si>
  <si>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</si>
  <si>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</si>
  <si>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</si>
  <si>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</si>
  <si>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</si>
  <si>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</si>
  <si>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</si>
  <si>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</si>
  <si>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</si>
  <si>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</si>
  <si>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</si>
  <si>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</si>
  <si>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</si>
  <si>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</si>
  <si>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</si>
  <si>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</si>
  <si>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</si>
  <si>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</si>
  <si>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</si>
  <si>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</si>
  <si>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</si>
  <si>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external</t>
  </si>
  <si>
    <t>rider_min_spec</t>
  </si>
  <si>
    <t>rider_max_spec</t>
  </si>
  <si>
    <t>Size</t>
  </si>
  <si>
    <t>X-Small</t>
  </si>
  <si>
    <t>Small</t>
  </si>
  <si>
    <t>Medium</t>
  </si>
  <si>
    <t>Large</t>
  </si>
  <si>
    <t>X-Large</t>
  </si>
  <si>
    <t>XX-Large</t>
  </si>
  <si>
    <t>Recommended Rider Height</t>
  </si>
  <si>
    <t>5'1"–5'4"</t>
  </si>
  <si>
    <t>5'5"–5'7"</t>
  </si>
  <si>
    <t>5'7"–5'9"</t>
  </si>
  <si>
    <t>5'9"–5'11"</t>
  </si>
  <si>
    <t>6'0"–6'2"</t>
  </si>
  <si>
    <t>6'1"–6'4"</t>
  </si>
  <si>
    <t>Head Tube Angle (°)</t>
  </si>
  <si>
    <t>Seat Tube Angle (°)</t>
  </si>
  <si>
    <t>Head Tube Length (mm)</t>
  </si>
  <si>
    <t>Seat Tube Length ctc (mm)</t>
  </si>
  <si>
    <t>Top Tube Length Eff (mm)</t>
  </si>
  <si>
    <t>Stack (mm)</t>
  </si>
  <si>
    <t>Reach (mm)</t>
  </si>
  <si>
    <t>Chainstay Length (mm)</t>
  </si>
  <si>
    <t>Fork ATC (mm)</t>
  </si>
  <si>
    <t>Rake (mm)</t>
  </si>
  <si>
    <t>Trail (mm)</t>
  </si>
  <si>
    <t>Standover 2.2" tires (mm)</t>
  </si>
  <si>
    <t>Headtube Extension (mm)</t>
  </si>
  <si>
    <t>BB Drop (mm)</t>
  </si>
  <si>
    <t>internal</t>
  </si>
  <si>
    <t>titanium</t>
  </si>
  <si>
    <t>usd</t>
  </si>
  <si>
    <t>Dream Engine Ti</t>
  </si>
  <si>
    <t>https://www.wildebikes.com/collections/bikepacking-bikes/products/dream-engine-titanium</t>
  </si>
  <si>
    <t>a8:h34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</si>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</sst>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20" workbookViewId="0">
      <selection activeCell="C29" sqref="C29:H29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s="1" t="s">
        <v>111</v>
      </c>
    </row>
    <row r="3" spans="1:8" x14ac:dyDescent="0.3">
      <c r="A3" t="s">
        <v>3</v>
      </c>
      <c r="B3">
        <v>2025</v>
      </c>
    </row>
    <row r="4" spans="1:8" x14ac:dyDescent="0.3">
      <c r="A4" t="s">
        <v>4</v>
      </c>
      <c r="B4" s="2">
        <v>45890</v>
      </c>
    </row>
    <row r="5" spans="1:8" x14ac:dyDescent="0.3">
      <c r="A5" t="s">
        <v>5</v>
      </c>
      <c r="B5" t="s">
        <v>112</v>
      </c>
    </row>
    <row r="7" spans="1:8" x14ac:dyDescent="0.3">
      <c r="A7" t="s">
        <v>6</v>
      </c>
      <c r="B7" s="1" t="s">
        <v>113</v>
      </c>
    </row>
    <row r="8" spans="1:8" x14ac:dyDescent="0.3">
      <c r="A8" t="s">
        <v>7</v>
      </c>
      <c r="B8" t="s">
        <v>80</v>
      </c>
      <c r="C8" s="1" t="s">
        <v>81</v>
      </c>
      <c r="D8" t="s">
        <v>82</v>
      </c>
      <c r="E8" t="s">
        <v>83</v>
      </c>
      <c r="F8" t="s">
        <v>84</v>
      </c>
      <c r="G8" t="s">
        <v>85</v>
      </c>
      <c r="H8" t="s">
        <v>86</v>
      </c>
    </row>
    <row r="9" spans="1:8" x14ac:dyDescent="0.3">
      <c r="A9" t="s">
        <v>8</v>
      </c>
      <c r="B9" t="s">
        <v>94</v>
      </c>
      <c r="C9">
        <v>68</v>
      </c>
      <c r="D9">
        <v>69</v>
      </c>
      <c r="E9">
        <v>69</v>
      </c>
      <c r="F9">
        <v>69</v>
      </c>
      <c r="G9">
        <v>69</v>
      </c>
      <c r="H9">
        <v>69</v>
      </c>
    </row>
    <row r="10" spans="1:8" x14ac:dyDescent="0.3">
      <c r="A10" t="s">
        <v>9</v>
      </c>
      <c r="B10" t="s">
        <v>95</v>
      </c>
      <c r="C10">
        <v>74</v>
      </c>
      <c r="D10">
        <v>74</v>
      </c>
      <c r="E10">
        <v>73.5</v>
      </c>
      <c r="F10">
        <v>73.5</v>
      </c>
      <c r="G10">
        <v>73.5</v>
      </c>
      <c r="H10">
        <v>73.5</v>
      </c>
    </row>
    <row r="11" spans="1:8" x14ac:dyDescent="0.3">
      <c r="A11" t="s">
        <v>10</v>
      </c>
      <c r="B11" t="s">
        <v>96</v>
      </c>
      <c r="C11">
        <v>160</v>
      </c>
      <c r="D11">
        <v>90</v>
      </c>
      <c r="E11">
        <v>110</v>
      </c>
      <c r="F11">
        <v>120</v>
      </c>
      <c r="G11">
        <v>140</v>
      </c>
      <c r="H11">
        <v>160</v>
      </c>
    </row>
    <row r="12" spans="1:8" x14ac:dyDescent="0.3">
      <c r="A12" t="s">
        <v>11</v>
      </c>
      <c r="B12" t="s">
        <v>97</v>
      </c>
      <c r="C12">
        <v>345</v>
      </c>
      <c r="D12">
        <v>345</v>
      </c>
      <c r="E12">
        <v>385</v>
      </c>
      <c r="F12">
        <v>430</v>
      </c>
      <c r="G12">
        <v>470</v>
      </c>
      <c r="H12">
        <v>500</v>
      </c>
    </row>
    <row r="13" spans="1:8" x14ac:dyDescent="0.3">
      <c r="A13" t="s">
        <v>12</v>
      </c>
      <c r="B13" t="s">
        <v>98</v>
      </c>
      <c r="C13">
        <v>525</v>
      </c>
      <c r="D13">
        <v>545</v>
      </c>
      <c r="E13">
        <v>560</v>
      </c>
      <c r="F13">
        <v>570</v>
      </c>
      <c r="G13">
        <v>590</v>
      </c>
      <c r="H13">
        <v>605</v>
      </c>
    </row>
    <row r="14" spans="1:8" x14ac:dyDescent="0.3">
      <c r="A14" t="s">
        <v>13</v>
      </c>
      <c r="B14" t="s">
        <v>99</v>
      </c>
      <c r="C14">
        <v>576.4</v>
      </c>
      <c r="D14">
        <v>604.6</v>
      </c>
      <c r="E14">
        <v>613.6</v>
      </c>
      <c r="F14">
        <v>623.1</v>
      </c>
      <c r="G14">
        <v>641.6</v>
      </c>
      <c r="H14">
        <v>660.3</v>
      </c>
    </row>
    <row r="15" spans="1:8" x14ac:dyDescent="0.3">
      <c r="A15" t="s">
        <v>14</v>
      </c>
      <c r="B15" t="s">
        <v>100</v>
      </c>
      <c r="C15">
        <v>355</v>
      </c>
      <c r="D15">
        <v>369.5</v>
      </c>
      <c r="E15">
        <v>375.4</v>
      </c>
      <c r="F15">
        <v>382.2</v>
      </c>
      <c r="G15">
        <v>396.3</v>
      </c>
      <c r="H15">
        <v>405.9</v>
      </c>
    </row>
    <row r="16" spans="1:8" x14ac:dyDescent="0.3">
      <c r="A16" t="s">
        <v>15</v>
      </c>
      <c r="B16" t="s">
        <v>101</v>
      </c>
      <c r="C16">
        <v>425</v>
      </c>
      <c r="D16">
        <v>440</v>
      </c>
      <c r="E16">
        <v>440</v>
      </c>
      <c r="F16">
        <v>440</v>
      </c>
      <c r="G16">
        <v>440</v>
      </c>
      <c r="H16">
        <v>440</v>
      </c>
    </row>
    <row r="17" spans="1:9" x14ac:dyDescent="0.3">
      <c r="A17" t="s">
        <v>16</v>
      </c>
      <c r="B17" t="s">
        <v>102</v>
      </c>
      <c r="C17">
        <v>406</v>
      </c>
      <c r="D17">
        <v>483</v>
      </c>
      <c r="E17">
        <v>483</v>
      </c>
      <c r="F17">
        <v>483</v>
      </c>
      <c r="G17">
        <v>483</v>
      </c>
      <c r="H17">
        <v>483</v>
      </c>
    </row>
    <row r="18" spans="1:9" x14ac:dyDescent="0.3">
      <c r="A18" t="s">
        <v>17</v>
      </c>
      <c r="B18" t="s">
        <v>103</v>
      </c>
      <c r="C18">
        <v>55.5</v>
      </c>
      <c r="D18">
        <v>51</v>
      </c>
      <c r="E18">
        <v>51</v>
      </c>
      <c r="F18">
        <v>51</v>
      </c>
      <c r="G18">
        <v>51</v>
      </c>
      <c r="H18">
        <v>51</v>
      </c>
    </row>
    <row r="19" spans="1:9" x14ac:dyDescent="0.3">
      <c r="A19" t="s">
        <v>18</v>
      </c>
      <c r="B19" t="s">
        <v>104</v>
      </c>
      <c r="C19">
        <v>81</v>
      </c>
      <c r="D19">
        <v>87</v>
      </c>
      <c r="E19">
        <v>87</v>
      </c>
      <c r="F19">
        <v>87</v>
      </c>
      <c r="G19">
        <v>87</v>
      </c>
      <c r="H19">
        <v>87</v>
      </c>
    </row>
    <row r="20" spans="1:9" x14ac:dyDescent="0.3">
      <c r="A20" t="s">
        <v>19</v>
      </c>
      <c r="B20" t="s">
        <v>105</v>
      </c>
      <c r="C20">
        <v>733</v>
      </c>
      <c r="D20">
        <v>770</v>
      </c>
      <c r="E20">
        <v>789</v>
      </c>
      <c r="F20">
        <v>813</v>
      </c>
      <c r="G20">
        <v>840</v>
      </c>
      <c r="H20">
        <v>867</v>
      </c>
    </row>
    <row r="21" spans="1:9" x14ac:dyDescent="0.3">
      <c r="A21" t="s">
        <v>20</v>
      </c>
      <c r="B21" t="s">
        <v>106</v>
      </c>
      <c r="C21">
        <v>30</v>
      </c>
      <c r="D21">
        <v>11</v>
      </c>
      <c r="E21">
        <v>20</v>
      </c>
      <c r="F21">
        <v>23</v>
      </c>
      <c r="G21">
        <v>25</v>
      </c>
      <c r="H21">
        <v>25</v>
      </c>
    </row>
    <row r="22" spans="1:9" x14ac:dyDescent="0.3">
      <c r="A22" t="s">
        <v>21</v>
      </c>
      <c r="B22" t="s">
        <v>107</v>
      </c>
      <c r="C22">
        <v>63</v>
      </c>
      <c r="D22">
        <v>68</v>
      </c>
      <c r="E22">
        <v>68</v>
      </c>
      <c r="F22">
        <v>68</v>
      </c>
      <c r="G22">
        <v>68</v>
      </c>
      <c r="H22">
        <v>68</v>
      </c>
    </row>
    <row r="23" spans="1:9" x14ac:dyDescent="0.3">
      <c r="A23" t="s">
        <v>22</v>
      </c>
    </row>
    <row r="24" spans="1:9" x14ac:dyDescent="0.3">
      <c r="A24" t="s">
        <v>23</v>
      </c>
      <c r="B24" t="s">
        <v>23</v>
      </c>
    </row>
    <row r="25" spans="1:9" x14ac:dyDescent="0.3">
      <c r="A25" t="s">
        <v>24</v>
      </c>
      <c r="B25" t="s">
        <v>24</v>
      </c>
    </row>
    <row r="26" spans="1:9" x14ac:dyDescent="0.3">
      <c r="A26" t="s">
        <v>25</v>
      </c>
      <c r="B26" t="s">
        <v>25</v>
      </c>
    </row>
    <row r="27" spans="1:9" x14ac:dyDescent="0.3">
      <c r="A27" t="s">
        <v>26</v>
      </c>
    </row>
    <row r="28" spans="1:9" x14ac:dyDescent="0.3">
      <c r="A28" t="s">
        <v>27</v>
      </c>
      <c r="B28" t="s">
        <v>27</v>
      </c>
      <c r="C28">
        <v>650</v>
      </c>
      <c r="D28">
        <v>650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28</v>
      </c>
      <c r="B29" t="s">
        <v>28</v>
      </c>
      <c r="C29">
        <f>2.6*25.4</f>
        <v>66.039999999999992</v>
      </c>
      <c r="D29">
        <f t="shared" ref="D29:H29" si="0">2.6*25.4</f>
        <v>66.039999999999992</v>
      </c>
      <c r="E29">
        <f t="shared" si="0"/>
        <v>66.039999999999992</v>
      </c>
      <c r="F29">
        <f t="shared" si="0"/>
        <v>66.039999999999992</v>
      </c>
      <c r="G29">
        <f t="shared" si="0"/>
        <v>66.039999999999992</v>
      </c>
      <c r="H29">
        <f t="shared" si="0"/>
        <v>66.039999999999992</v>
      </c>
    </row>
    <row r="30" spans="1:9" x14ac:dyDescent="0.3">
      <c r="A30" t="s">
        <v>29</v>
      </c>
      <c r="B30" t="s">
        <v>29</v>
      </c>
      <c r="C30">
        <f>2.6*25.4</f>
        <v>66.039999999999992</v>
      </c>
      <c r="D30">
        <f t="shared" ref="D30:H30" si="1">2.6*25.4</f>
        <v>66.039999999999992</v>
      </c>
      <c r="E30">
        <f t="shared" si="1"/>
        <v>66.039999999999992</v>
      </c>
      <c r="F30">
        <f t="shared" si="1"/>
        <v>66.039999999999992</v>
      </c>
      <c r="G30">
        <f t="shared" si="1"/>
        <v>66.039999999999992</v>
      </c>
      <c r="H30">
        <f t="shared" si="1"/>
        <v>66.039999999999992</v>
      </c>
    </row>
    <row r="31" spans="1:9" x14ac:dyDescent="0.3">
      <c r="A31" t="s">
        <v>30</v>
      </c>
      <c r="B31" t="s">
        <v>30</v>
      </c>
      <c r="C31" s="3">
        <f>C33</f>
        <v>154.94</v>
      </c>
      <c r="D31" s="3">
        <f>AVERAGE(D33,C34)</f>
        <v>163.82999999999998</v>
      </c>
      <c r="E31" s="3">
        <f t="shared" ref="E31:H31" si="2">AVERAGE(E33,D34)</f>
        <v>170.18</v>
      </c>
      <c r="F31" s="3">
        <f t="shared" si="2"/>
        <v>175.26</v>
      </c>
      <c r="G31" s="3">
        <f t="shared" si="2"/>
        <v>181.61</v>
      </c>
      <c r="H31" s="3">
        <f t="shared" si="2"/>
        <v>186.69</v>
      </c>
      <c r="I31" s="3"/>
    </row>
    <row r="32" spans="1:9" x14ac:dyDescent="0.3">
      <c r="A32" t="s">
        <v>31</v>
      </c>
      <c r="B32" t="s">
        <v>31</v>
      </c>
      <c r="C32" s="3">
        <f>D31</f>
        <v>163.82999999999998</v>
      </c>
      <c r="D32" s="3">
        <f t="shared" ref="D32:H32" si="3">E31</f>
        <v>170.18</v>
      </c>
      <c r="E32" s="3">
        <f t="shared" si="3"/>
        <v>175.26</v>
      </c>
      <c r="F32" s="3">
        <f t="shared" si="3"/>
        <v>181.61</v>
      </c>
      <c r="G32" s="3">
        <f t="shared" si="3"/>
        <v>186.69</v>
      </c>
      <c r="H32" s="3">
        <f t="shared" si="3"/>
        <v>0</v>
      </c>
      <c r="I32" s="3"/>
    </row>
    <row r="33" spans="1:9" x14ac:dyDescent="0.3">
      <c r="A33" s="1" t="s">
        <v>78</v>
      </c>
      <c r="C33">
        <f>C35*2.54</f>
        <v>154.94</v>
      </c>
      <c r="D33">
        <f t="shared" ref="D33:H34" si="4">D35*2.54</f>
        <v>165.1</v>
      </c>
      <c r="E33">
        <f t="shared" si="4"/>
        <v>170.18</v>
      </c>
      <c r="F33">
        <f t="shared" si="4"/>
        <v>175.26</v>
      </c>
      <c r="G33">
        <f t="shared" si="4"/>
        <v>182.88</v>
      </c>
      <c r="H33">
        <f t="shared" si="4"/>
        <v>185.42000000000002</v>
      </c>
    </row>
    <row r="34" spans="1:9" x14ac:dyDescent="0.3">
      <c r="A34" s="1" t="s">
        <v>79</v>
      </c>
      <c r="C34">
        <f>C36*2.54</f>
        <v>162.56</v>
      </c>
      <c r="D34">
        <f t="shared" si="4"/>
        <v>170.18</v>
      </c>
      <c r="E34">
        <f t="shared" si="4"/>
        <v>175.26</v>
      </c>
      <c r="F34">
        <f t="shared" si="4"/>
        <v>180.34</v>
      </c>
      <c r="G34">
        <f t="shared" si="4"/>
        <v>187.96</v>
      </c>
      <c r="H34">
        <f t="shared" si="4"/>
        <v>193.04</v>
      </c>
    </row>
    <row r="35" spans="1:9" x14ac:dyDescent="0.3">
      <c r="C35">
        <v>61</v>
      </c>
      <c r="D35">
        <v>65</v>
      </c>
      <c r="E35">
        <v>67</v>
      </c>
      <c r="F35">
        <v>69</v>
      </c>
      <c r="G35">
        <v>72</v>
      </c>
      <c r="H35">
        <v>73</v>
      </c>
    </row>
    <row r="36" spans="1:9" x14ac:dyDescent="0.3">
      <c r="A36" t="s">
        <v>32</v>
      </c>
      <c r="B36" t="s">
        <v>33</v>
      </c>
      <c r="C36">
        <v>64</v>
      </c>
      <c r="D36">
        <v>67</v>
      </c>
      <c r="E36">
        <v>69</v>
      </c>
      <c r="F36">
        <v>71</v>
      </c>
      <c r="G36">
        <v>74</v>
      </c>
      <c r="H36">
        <v>76</v>
      </c>
    </row>
    <row r="37" spans="1:9" x14ac:dyDescent="0.3">
      <c r="A37" t="s">
        <v>69</v>
      </c>
      <c r="B37" t="s">
        <v>70</v>
      </c>
      <c r="C37" t="s">
        <v>88</v>
      </c>
      <c r="D37" t="s">
        <v>89</v>
      </c>
      <c r="E37" t="s">
        <v>90</v>
      </c>
      <c r="F37" t="s">
        <v>91</v>
      </c>
      <c r="G37" t="s">
        <v>92</v>
      </c>
      <c r="H37" t="s">
        <v>93</v>
      </c>
      <c r="I37" t="s">
        <v>87</v>
      </c>
    </row>
    <row r="38" spans="1:9" x14ac:dyDescent="0.3">
      <c r="A38" t="s">
        <v>71</v>
      </c>
      <c r="B38" t="s">
        <v>72</v>
      </c>
    </row>
    <row r="39" spans="1:9" x14ac:dyDescent="0.3">
      <c r="A39" t="s">
        <v>73</v>
      </c>
      <c r="B39" t="s">
        <v>74</v>
      </c>
    </row>
    <row r="40" spans="1:9" x14ac:dyDescent="0.3">
      <c r="A40" t="s">
        <v>34</v>
      </c>
      <c r="B40" s="1" t="s">
        <v>109</v>
      </c>
    </row>
    <row r="41" spans="1:9" x14ac:dyDescent="0.3">
      <c r="A41" t="s">
        <v>35</v>
      </c>
      <c r="B41" s="1" t="s">
        <v>76</v>
      </c>
    </row>
    <row r="42" spans="1:9" x14ac:dyDescent="0.3">
      <c r="A42" t="s">
        <v>36</v>
      </c>
    </row>
    <row r="43" spans="1:9" x14ac:dyDescent="0.3">
      <c r="A43" t="s">
        <v>37</v>
      </c>
      <c r="B43">
        <f>2.6*25.4</f>
        <v>66.039999999999992</v>
      </c>
    </row>
    <row r="44" spans="1:9" x14ac:dyDescent="0.3">
      <c r="A44" t="s">
        <v>38</v>
      </c>
    </row>
    <row r="45" spans="1:9" x14ac:dyDescent="0.3">
      <c r="A45" t="s">
        <v>39</v>
      </c>
      <c r="B45">
        <v>100</v>
      </c>
    </row>
    <row r="46" spans="1:9" x14ac:dyDescent="0.3">
      <c r="A46" t="s">
        <v>40</v>
      </c>
    </row>
    <row r="47" spans="1:9" x14ac:dyDescent="0.3">
      <c r="A47" t="s">
        <v>41</v>
      </c>
    </row>
    <row r="48" spans="1:9" x14ac:dyDescent="0.3">
      <c r="A48" t="s">
        <v>42</v>
      </c>
    </row>
    <row r="49" spans="1:2" x14ac:dyDescent="0.3">
      <c r="A49" t="s">
        <v>43</v>
      </c>
      <c r="B49">
        <v>148</v>
      </c>
    </row>
    <row r="50" spans="1:2" x14ac:dyDescent="0.3">
      <c r="A50" t="s">
        <v>44</v>
      </c>
      <c r="B50">
        <v>110</v>
      </c>
    </row>
    <row r="51" spans="1:2" x14ac:dyDescent="0.3">
      <c r="A51" t="s">
        <v>45</v>
      </c>
      <c r="B51" s="1" t="s">
        <v>75</v>
      </c>
    </row>
    <row r="52" spans="1:2" x14ac:dyDescent="0.3">
      <c r="A52" t="s">
        <v>46</v>
      </c>
    </row>
    <row r="53" spans="1:2" x14ac:dyDescent="0.3">
      <c r="A53" t="s">
        <v>47</v>
      </c>
      <c r="B53">
        <v>30.9</v>
      </c>
    </row>
    <row r="54" spans="1:2" x14ac:dyDescent="0.3">
      <c r="A54" t="s">
        <v>48</v>
      </c>
      <c r="B54" s="1" t="s">
        <v>114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</row>
    <row r="58" spans="1:2" x14ac:dyDescent="0.3">
      <c r="A58" t="s">
        <v>52</v>
      </c>
    </row>
    <row r="59" spans="1:2" x14ac:dyDescent="0.3">
      <c r="A59" t="s">
        <v>53</v>
      </c>
    </row>
    <row r="60" spans="1:2" x14ac:dyDescent="0.3">
      <c r="A60" t="s">
        <v>54</v>
      </c>
      <c r="B60" s="1" t="s">
        <v>77</v>
      </c>
    </row>
    <row r="61" spans="1:2" x14ac:dyDescent="0.3">
      <c r="A61" t="s">
        <v>55</v>
      </c>
      <c r="B61" s="1" t="s">
        <v>108</v>
      </c>
    </row>
    <row r="62" spans="1:2" x14ac:dyDescent="0.3">
      <c r="A62" t="s">
        <v>56</v>
      </c>
      <c r="B62" s="1" t="s">
        <v>76</v>
      </c>
    </row>
    <row r="63" spans="1:2" x14ac:dyDescent="0.3">
      <c r="A63" t="s">
        <v>57</v>
      </c>
    </row>
    <row r="64" spans="1:2" x14ac:dyDescent="0.3">
      <c r="A64" t="s">
        <v>58</v>
      </c>
      <c r="B64">
        <v>2</v>
      </c>
    </row>
    <row r="65" spans="1:2" x14ac:dyDescent="0.3">
      <c r="A65" t="s">
        <v>59</v>
      </c>
      <c r="B65">
        <v>1</v>
      </c>
    </row>
    <row r="66" spans="1:2" x14ac:dyDescent="0.3">
      <c r="A66" t="s">
        <v>60</v>
      </c>
      <c r="B66" s="1" t="s">
        <v>76</v>
      </c>
    </row>
    <row r="67" spans="1:2" x14ac:dyDescent="0.3">
      <c r="A67" t="s">
        <v>61</v>
      </c>
      <c r="B67" s="1" t="s">
        <v>76</v>
      </c>
    </row>
    <row r="68" spans="1:2" x14ac:dyDescent="0.3">
      <c r="A68" t="s">
        <v>62</v>
      </c>
      <c r="B68" s="1" t="s">
        <v>76</v>
      </c>
    </row>
    <row r="69" spans="1:2" x14ac:dyDescent="0.3">
      <c r="A69" t="s">
        <v>63</v>
      </c>
      <c r="B69" s="1" t="s">
        <v>76</v>
      </c>
    </row>
    <row r="70" spans="1:2" x14ac:dyDescent="0.3">
      <c r="A70" t="s">
        <v>64</v>
      </c>
      <c r="B70" s="1" t="s">
        <v>76</v>
      </c>
    </row>
    <row r="71" spans="1:2" x14ac:dyDescent="0.3">
      <c r="A71" t="s">
        <v>65</v>
      </c>
      <c r="B71">
        <v>5700</v>
      </c>
    </row>
    <row r="72" spans="1:2" x14ac:dyDescent="0.3">
      <c r="A72" t="s">
        <v>66</v>
      </c>
    </row>
    <row r="73" spans="1:2" x14ac:dyDescent="0.3">
      <c r="A73" t="s">
        <v>67</v>
      </c>
      <c r="B73" s="1" t="s">
        <v>76</v>
      </c>
    </row>
    <row r="74" spans="1:2" x14ac:dyDescent="0.3">
      <c r="A74" t="s">
        <v>68</v>
      </c>
      <c r="B74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2025-08-22T12:03:59Z</dcterms:modified>
</cp:coreProperties>
</file>