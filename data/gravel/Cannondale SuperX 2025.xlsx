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352738E-9C94-DB49-B705-96410878867C}" xr6:coauthVersionLast="47" xr6:coauthVersionMax="47" xr10:uidLastSave="{00000000-0000-0000-0000-000000000000}"/>
  <bookViews>
    <workbookView xWindow="27880" yWindow="-25140" windowWidth="28460" windowHeight="18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D26" i="1"/>
  <c r="E26" i="1"/>
  <c r="F26" i="1"/>
  <c r="G26" i="1"/>
  <c r="H26" i="1"/>
  <c r="C16" i="1"/>
  <c r="C17" i="1"/>
  <c r="C18" i="1"/>
  <c r="C19" i="1"/>
  <c r="C20" i="1"/>
  <c r="C21" i="1"/>
  <c r="C22" i="1"/>
  <c r="C23" i="1"/>
  <c r="C24" i="1"/>
  <c r="C25" i="1"/>
  <c r="C26" i="1"/>
  <c r="C15" i="1"/>
  <c r="C14" i="1"/>
  <c r="C13" i="1"/>
  <c r="C12" i="1"/>
  <c r="C11" i="1"/>
  <c r="C10" i="1"/>
  <c r="C9" i="1"/>
</calcChain>
</file>

<file path=xl/sharedStrings.xml><?xml version="1.0" encoding="utf-8"?>
<sst xmlns="http://schemas.openxmlformats.org/spreadsheetml/2006/main" count="138" uniqueCount="107">
  <si>
    <t>brand</t>
  </si>
  <si>
    <t>Cannondale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</si>
  <si>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</si>
  <si>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</si>
  <si>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</si>
  <si>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</si>
  <si>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</si>
  <si>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</si>
  <si>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</si>
  <si>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</si>
  <si>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top_tube_actual</t>
  </si>
  <si>
    <t>head_tube_angle</t>
  </si>
  <si>
    <t>seat_tube_angle</t>
  </si>
  <si>
    <t>standover</t>
  </si>
  <si>
    <t>head_tube_length</t>
  </si>
  <si>
    <t>wheelbase</t>
  </si>
  <si>
    <t>front_center</t>
  </si>
  <si>
    <t>chainstay_length</t>
  </si>
  <si>
    <t>bottom_bracket_drop</t>
  </si>
  <si>
    <t>bottom_bracket_height</t>
  </si>
  <si>
    <t>fork_offset_rake</t>
  </si>
  <si>
    <t>trail</t>
  </si>
  <si>
    <t>stack</t>
  </si>
  <si>
    <t>reach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</si>
  <si>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</si>
  <si>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</si>
  <si>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</si>
  <si>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</si>
  <si>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</si>
  <si>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</si>
  <si>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</si>
  <si>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</si>
  <si>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</si>
  <si>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</si>
  <si>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</si>
  <si>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</si>
  <si>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</si>
  <si>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</si>
  <si>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</si>
  <si>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</si>
  <si>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</si>
  <si>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</si>
  <si>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</si>
  <si>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</si>
  <si>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</si>
  <si>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</si>
  <si>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</si>
  <si>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</si>
  <si>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</si>
  <si>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</si>
  <si>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</si>
  <si>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</si>
  <si>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</si>
  <si>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</si>
  <si>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</si>
  <si>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</si>
  <si>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</si>
  <si>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</si>
  <si>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</si>
  <si>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</si>
  <si>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</si>
  <si>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</si>
  <si>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</si>
  <si>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</si>
  <si>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</si>
  <si>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</si>
  <si>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</si>
  <si>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</si>
  <si>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</si>
  <si>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</si>
  <si>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</si>
  <si>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</si>
  <si>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</si>
  <si>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</si>
  <si>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</si>
  <si>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</si>
  <si>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axle_crown</t>
  </si>
  <si>
    <t>yes</t>
  </si>
  <si>
    <t>threaded</t>
  </si>
  <si>
    <t>a8:h34</t>
  </si>
  <si>
    <t>SuperX</t>
  </si>
  <si>
    <t>https://www.cannondale.com/en-us/bikes/road/gravel/superx</t>
  </si>
  <si>
    <t>USD</t>
  </si>
  <si>
    <t>fork is 51</t>
  </si>
  <si>
    <t>integrated</t>
  </si>
  <si>
    <t>Size</t>
  </si>
  <si>
    <t>Wheel Size</t>
  </si>
  <si>
    <t>700C</t>
  </si>
  <si>
    <t>A — Seat Tube Length (cm)</t>
  </si>
  <si>
    <t>B — Top Tube Horizontal (cm)</t>
  </si>
  <si>
    <t>C — Top Tube Actual (cm)</t>
  </si>
  <si>
    <t>D — Head Tube Angle</t>
  </si>
  <si>
    <t>E — Seat Tube Angle</t>
  </si>
  <si>
    <t>F — Standover (cm)</t>
  </si>
  <si>
    <t>G — Head Tube Length (cm)</t>
  </si>
  <si>
    <t>H — Wheelbase (cm)</t>
  </si>
  <si>
    <t>I — Front Center (cm)</t>
  </si>
  <si>
    <t>J — Chain Stay Length (cm)</t>
  </si>
  <si>
    <t>K — Bottom Bracket Drop (cm)</t>
  </si>
  <si>
    <t>L — Bottom Bracket Height (cm)</t>
  </si>
  <si>
    <t>M — Fork Rake (cm)</t>
  </si>
  <si>
    <t>N — Trail (cm)</t>
  </si>
  <si>
    <t>O — Stack (cm)</t>
  </si>
  <si>
    <t>P — Reach (cm)</t>
  </si>
  <si>
    <t>Q — Axle to Crown (cm)</t>
  </si>
  <si>
    <t>rigid</t>
  </si>
  <si>
    <t>https://embed.widencdn.net/img/dorelrl/nwldcxwbez/1700px@1x/C25_C17025U_SuperX_Crb_1_CPO_PD.webp?color=null&amp;q=99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</si>
</sst>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2"/>
      <color rgb="FF000000"/>
      <name val="Helvetic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3" t="s">
        <v>80</v>
      </c>
    </row>
    <row r="3" spans="1:16" x14ac:dyDescent="0.3">
      <c r="A3" t="s">
        <v>3</v>
      </c>
      <c r="B3">
        <v>2025</v>
      </c>
    </row>
    <row r="4" spans="1:16" x14ac:dyDescent="0.3">
      <c r="A4" t="s">
        <v>4</v>
      </c>
      <c r="B4" s="1">
        <v>45916</v>
      </c>
    </row>
    <row r="5" spans="1:16" x14ac:dyDescent="0.3">
      <c r="A5" t="s">
        <v>5</v>
      </c>
      <c r="B5" t="s">
        <v>81</v>
      </c>
    </row>
    <row r="6" spans="1:16" x14ac:dyDescent="0.3">
      <c r="B6" t="s">
        <v>106</v>
      </c>
    </row>
    <row r="7" spans="1:16" x14ac:dyDescent="0.3">
      <c r="A7" t="s">
        <v>6</v>
      </c>
      <c r="B7" s="3" t="s">
        <v>79</v>
      </c>
    </row>
    <row r="8" spans="1:16" x14ac:dyDescent="0.3">
      <c r="A8" t="s">
        <v>7</v>
      </c>
      <c r="B8" s="3" t="s">
        <v>85</v>
      </c>
      <c r="C8">
        <v>46</v>
      </c>
      <c r="D8">
        <v>51</v>
      </c>
      <c r="E8">
        <v>54</v>
      </c>
      <c r="F8">
        <v>56</v>
      </c>
      <c r="G8">
        <v>58</v>
      </c>
      <c r="H8">
        <v>61</v>
      </c>
      <c r="J8" s="2" t="s">
        <v>85</v>
      </c>
      <c r="K8" s="2">
        <v>46</v>
      </c>
      <c r="L8" s="2">
        <v>51</v>
      </c>
      <c r="M8" s="2">
        <v>54</v>
      </c>
      <c r="N8" s="2">
        <v>56</v>
      </c>
      <c r="O8" s="2">
        <v>58</v>
      </c>
      <c r="P8" s="2">
        <v>61</v>
      </c>
    </row>
    <row r="9" spans="1:16" x14ac:dyDescent="0.3">
      <c r="A9" t="s">
        <v>28</v>
      </c>
      <c r="B9" t="s">
        <v>86</v>
      </c>
      <c r="C9">
        <f>VALUE(LEFT(K9,3))</f>
        <v>700</v>
      </c>
      <c r="D9">
        <f t="shared" ref="D9:H9" si="0">VALUE(LEFT(L9,3))</f>
        <v>700</v>
      </c>
      <c r="E9">
        <f t="shared" si="0"/>
        <v>700</v>
      </c>
      <c r="F9">
        <f t="shared" si="0"/>
        <v>700</v>
      </c>
      <c r="G9">
        <f t="shared" si="0"/>
        <v>700</v>
      </c>
      <c r="H9">
        <f t="shared" si="0"/>
        <v>700</v>
      </c>
      <c r="J9" s="2" t="s">
        <v>86</v>
      </c>
      <c r="K9" s="2" t="s">
        <v>87</v>
      </c>
      <c r="L9" s="2" t="s">
        <v>87</v>
      </c>
      <c r="M9" s="2" t="s">
        <v>87</v>
      </c>
      <c r="N9" s="2" t="s">
        <v>87</v>
      </c>
      <c r="O9" s="2" t="s">
        <v>87</v>
      </c>
      <c r="P9" s="2" t="s">
        <v>87</v>
      </c>
    </row>
    <row r="10" spans="1:16" x14ac:dyDescent="0.3">
      <c r="A10" s="3" t="s">
        <v>8</v>
      </c>
      <c r="B10" t="s">
        <v>88</v>
      </c>
      <c r="C10">
        <f>K10*10</f>
        <v>449</v>
      </c>
      <c r="D10">
        <f t="shared" ref="D10:H12" si="1">L10*10</f>
        <v>488</v>
      </c>
      <c r="E10">
        <f t="shared" si="1"/>
        <v>524</v>
      </c>
      <c r="F10">
        <f t="shared" si="1"/>
        <v>546</v>
      </c>
      <c r="G10">
        <f t="shared" si="1"/>
        <v>566</v>
      </c>
      <c r="H10">
        <f t="shared" si="1"/>
        <v>589</v>
      </c>
      <c r="J10" s="2" t="s">
        <v>88</v>
      </c>
      <c r="K10" s="2">
        <v>44.9</v>
      </c>
      <c r="L10" s="2">
        <v>48.8</v>
      </c>
      <c r="M10" s="2">
        <v>52.4</v>
      </c>
      <c r="N10" s="2">
        <v>54.6</v>
      </c>
      <c r="O10" s="2">
        <v>56.6</v>
      </c>
      <c r="P10" s="2">
        <v>58.9</v>
      </c>
    </row>
    <row r="11" spans="1:16" x14ac:dyDescent="0.3">
      <c r="A11" t="s">
        <v>9</v>
      </c>
      <c r="B11" t="s">
        <v>89</v>
      </c>
      <c r="C11">
        <f>K11*10</f>
        <v>510</v>
      </c>
      <c r="D11">
        <f t="shared" si="1"/>
        <v>521</v>
      </c>
      <c r="E11">
        <f t="shared" si="1"/>
        <v>540</v>
      </c>
      <c r="F11">
        <f t="shared" si="1"/>
        <v>558</v>
      </c>
      <c r="G11">
        <f t="shared" si="1"/>
        <v>575</v>
      </c>
      <c r="H11">
        <f t="shared" si="1"/>
        <v>594</v>
      </c>
      <c r="J11" s="2" t="s">
        <v>89</v>
      </c>
      <c r="K11" s="2">
        <v>51</v>
      </c>
      <c r="L11" s="2">
        <v>52.1</v>
      </c>
      <c r="M11" s="2">
        <v>54</v>
      </c>
      <c r="N11" s="2">
        <v>55.8</v>
      </c>
      <c r="O11" s="2">
        <v>57.5</v>
      </c>
      <c r="P11" s="2">
        <v>59.4</v>
      </c>
    </row>
    <row r="12" spans="1:16" x14ac:dyDescent="0.3">
      <c r="A12" t="s">
        <v>10</v>
      </c>
      <c r="B12" t="s">
        <v>90</v>
      </c>
      <c r="C12">
        <f>K12*10</f>
        <v>470</v>
      </c>
      <c r="D12">
        <f t="shared" si="1"/>
        <v>484</v>
      </c>
      <c r="E12">
        <f t="shared" si="1"/>
        <v>504</v>
      </c>
      <c r="F12">
        <f t="shared" si="1"/>
        <v>521</v>
      </c>
      <c r="G12">
        <f t="shared" si="1"/>
        <v>538</v>
      </c>
      <c r="H12">
        <f t="shared" si="1"/>
        <v>556</v>
      </c>
      <c r="J12" s="2" t="s">
        <v>90</v>
      </c>
      <c r="K12" s="2">
        <v>47</v>
      </c>
      <c r="L12" s="2">
        <v>48.4</v>
      </c>
      <c r="M12" s="2">
        <v>50.4</v>
      </c>
      <c r="N12" s="2">
        <v>52.1</v>
      </c>
      <c r="O12" s="2">
        <v>53.8</v>
      </c>
      <c r="P12" s="2">
        <v>55.6</v>
      </c>
    </row>
    <row r="13" spans="1:16" x14ac:dyDescent="0.3">
      <c r="A13" t="s">
        <v>11</v>
      </c>
      <c r="B13" t="s">
        <v>91</v>
      </c>
      <c r="C13">
        <f>K13</f>
        <v>70</v>
      </c>
      <c r="D13">
        <f t="shared" ref="D13:H14" si="2">L13</f>
        <v>71</v>
      </c>
      <c r="E13">
        <f t="shared" si="2"/>
        <v>71</v>
      </c>
      <c r="F13">
        <f t="shared" si="2"/>
        <v>71</v>
      </c>
      <c r="G13">
        <f t="shared" si="2"/>
        <v>71</v>
      </c>
      <c r="H13">
        <f t="shared" si="2"/>
        <v>71</v>
      </c>
      <c r="J13" s="2" t="s">
        <v>91</v>
      </c>
      <c r="K13" s="2">
        <v>70</v>
      </c>
      <c r="L13" s="2">
        <v>71</v>
      </c>
      <c r="M13" s="2">
        <v>71</v>
      </c>
      <c r="N13" s="2">
        <v>71</v>
      </c>
      <c r="O13" s="2">
        <v>71</v>
      </c>
      <c r="P13" s="2">
        <v>71</v>
      </c>
    </row>
    <row r="14" spans="1:16" x14ac:dyDescent="0.3">
      <c r="A14" t="s">
        <v>12</v>
      </c>
      <c r="B14" t="s">
        <v>92</v>
      </c>
      <c r="C14">
        <f>K14</f>
        <v>74.3</v>
      </c>
      <c r="D14">
        <f t="shared" si="2"/>
        <v>74.3</v>
      </c>
      <c r="E14">
        <f t="shared" si="2"/>
        <v>73.7</v>
      </c>
      <c r="F14">
        <f t="shared" si="2"/>
        <v>73.3</v>
      </c>
      <c r="G14">
        <f t="shared" si="2"/>
        <v>72.900000000000006</v>
      </c>
      <c r="H14">
        <f t="shared" si="2"/>
        <v>72.3</v>
      </c>
      <c r="J14" s="2" t="s">
        <v>92</v>
      </c>
      <c r="K14" s="2">
        <v>74.3</v>
      </c>
      <c r="L14" s="2">
        <v>74.3</v>
      </c>
      <c r="M14" s="2">
        <v>73.7</v>
      </c>
      <c r="N14" s="2">
        <v>73.3</v>
      </c>
      <c r="O14" s="2">
        <v>72.900000000000006</v>
      </c>
      <c r="P14" s="2">
        <v>72.3</v>
      </c>
    </row>
    <row r="15" spans="1:16" x14ac:dyDescent="0.3">
      <c r="A15" t="s">
        <v>13</v>
      </c>
      <c r="B15" t="s">
        <v>93</v>
      </c>
      <c r="C15">
        <f>K15*10</f>
        <v>746</v>
      </c>
      <c r="D15">
        <f t="shared" ref="D15:H26" si="3">L15*10</f>
        <v>782</v>
      </c>
      <c r="E15">
        <f t="shared" si="3"/>
        <v>812</v>
      </c>
      <c r="F15">
        <f t="shared" si="3"/>
        <v>832</v>
      </c>
      <c r="G15">
        <f t="shared" si="3"/>
        <v>836</v>
      </c>
      <c r="H15">
        <f t="shared" si="3"/>
        <v>849</v>
      </c>
      <c r="J15" s="2" t="s">
        <v>93</v>
      </c>
      <c r="K15" s="2">
        <v>74.599999999999994</v>
      </c>
      <c r="L15" s="2">
        <v>78.2</v>
      </c>
      <c r="M15" s="2">
        <v>81.2</v>
      </c>
      <c r="N15" s="2">
        <v>83.2</v>
      </c>
      <c r="O15" s="2">
        <v>83.6</v>
      </c>
      <c r="P15" s="2">
        <v>84.9</v>
      </c>
    </row>
    <row r="16" spans="1:16" x14ac:dyDescent="0.3">
      <c r="A16" t="s">
        <v>14</v>
      </c>
      <c r="B16" t="s">
        <v>94</v>
      </c>
      <c r="C16">
        <f t="shared" ref="C16:C26" si="4">K16*10</f>
        <v>86</v>
      </c>
      <c r="D16">
        <f t="shared" si="3"/>
        <v>108</v>
      </c>
      <c r="E16">
        <f t="shared" si="3"/>
        <v>132</v>
      </c>
      <c r="F16">
        <f t="shared" si="3"/>
        <v>153</v>
      </c>
      <c r="G16">
        <f t="shared" si="3"/>
        <v>177</v>
      </c>
      <c r="H16">
        <f t="shared" si="3"/>
        <v>198</v>
      </c>
      <c r="J16" s="2" t="s">
        <v>94</v>
      </c>
      <c r="K16" s="2">
        <v>8.6</v>
      </c>
      <c r="L16" s="2">
        <v>10.8</v>
      </c>
      <c r="M16" s="2">
        <v>13.2</v>
      </c>
      <c r="N16" s="2">
        <v>15.3</v>
      </c>
      <c r="O16" s="2">
        <v>17.7</v>
      </c>
      <c r="P16" s="2">
        <v>19.8</v>
      </c>
    </row>
    <row r="17" spans="1:16" x14ac:dyDescent="0.3">
      <c r="A17" t="s">
        <v>15</v>
      </c>
      <c r="B17" t="s">
        <v>95</v>
      </c>
      <c r="C17">
        <f t="shared" si="4"/>
        <v>998</v>
      </c>
      <c r="D17">
        <f t="shared" si="3"/>
        <v>1005</v>
      </c>
      <c r="E17">
        <f t="shared" si="3"/>
        <v>1020</v>
      </c>
      <c r="F17">
        <f t="shared" si="3"/>
        <v>1034</v>
      </c>
      <c r="G17">
        <f t="shared" si="3"/>
        <v>1049</v>
      </c>
      <c r="H17">
        <f t="shared" si="3"/>
        <v>1062</v>
      </c>
      <c r="J17" s="2" t="s">
        <v>95</v>
      </c>
      <c r="K17" s="2">
        <v>99.8</v>
      </c>
      <c r="L17" s="2">
        <v>100.5</v>
      </c>
      <c r="M17" s="2">
        <v>102</v>
      </c>
      <c r="N17" s="2">
        <v>103.4</v>
      </c>
      <c r="O17" s="2">
        <v>104.9</v>
      </c>
      <c r="P17" s="2">
        <v>106.2</v>
      </c>
    </row>
    <row r="18" spans="1:16" x14ac:dyDescent="0.3">
      <c r="A18" t="s">
        <v>16</v>
      </c>
      <c r="B18" t="s">
        <v>96</v>
      </c>
      <c r="C18">
        <f t="shared" si="4"/>
        <v>588</v>
      </c>
      <c r="D18">
        <f t="shared" si="3"/>
        <v>593</v>
      </c>
      <c r="E18">
        <f t="shared" si="3"/>
        <v>607</v>
      </c>
      <c r="F18">
        <f t="shared" si="3"/>
        <v>621</v>
      </c>
      <c r="G18">
        <f t="shared" si="3"/>
        <v>636</v>
      </c>
      <c r="H18">
        <f t="shared" si="3"/>
        <v>648</v>
      </c>
      <c r="J18" s="2" t="s">
        <v>96</v>
      </c>
      <c r="K18" s="2">
        <v>58.8</v>
      </c>
      <c r="L18" s="2">
        <v>59.3</v>
      </c>
      <c r="M18" s="2">
        <v>60.7</v>
      </c>
      <c r="N18" s="2">
        <v>62.1</v>
      </c>
      <c r="O18" s="2">
        <v>63.6</v>
      </c>
      <c r="P18" s="2">
        <v>64.8</v>
      </c>
    </row>
    <row r="19" spans="1:16" x14ac:dyDescent="0.3">
      <c r="A19" t="s">
        <v>17</v>
      </c>
      <c r="B19" t="s">
        <v>97</v>
      </c>
      <c r="C19">
        <f t="shared" si="4"/>
        <v>422</v>
      </c>
      <c r="D19">
        <f t="shared" si="3"/>
        <v>422</v>
      </c>
      <c r="E19">
        <f>M19*10</f>
        <v>422</v>
      </c>
      <c r="F19">
        <f t="shared" si="3"/>
        <v>422</v>
      </c>
      <c r="G19">
        <f t="shared" si="3"/>
        <v>422</v>
      </c>
      <c r="H19">
        <f t="shared" si="3"/>
        <v>422</v>
      </c>
      <c r="J19" s="2" t="s">
        <v>97</v>
      </c>
      <c r="K19" s="2">
        <v>42.2</v>
      </c>
      <c r="L19" s="2">
        <v>42.2</v>
      </c>
      <c r="M19" s="2">
        <v>42.2</v>
      </c>
      <c r="N19" s="2">
        <v>42.2</v>
      </c>
      <c r="O19" s="2">
        <v>42.2</v>
      </c>
      <c r="P19" s="2">
        <v>42.2</v>
      </c>
    </row>
    <row r="20" spans="1:16" x14ac:dyDescent="0.3">
      <c r="A20" t="s">
        <v>18</v>
      </c>
      <c r="B20" t="s">
        <v>98</v>
      </c>
      <c r="C20">
        <f t="shared" si="4"/>
        <v>77</v>
      </c>
      <c r="D20">
        <f t="shared" si="3"/>
        <v>72</v>
      </c>
      <c r="E20">
        <f t="shared" si="3"/>
        <v>69</v>
      </c>
      <c r="F20">
        <f t="shared" si="3"/>
        <v>69</v>
      </c>
      <c r="G20">
        <f t="shared" si="3"/>
        <v>67</v>
      </c>
      <c r="H20">
        <f t="shared" si="3"/>
        <v>67</v>
      </c>
      <c r="J20" s="2" t="s">
        <v>98</v>
      </c>
      <c r="K20" s="2">
        <v>7.7</v>
      </c>
      <c r="L20" s="2">
        <v>7.2</v>
      </c>
      <c r="M20" s="2">
        <v>6.9</v>
      </c>
      <c r="N20" s="2">
        <v>6.9</v>
      </c>
      <c r="O20" s="2">
        <v>6.7</v>
      </c>
      <c r="P20" s="2">
        <v>6.7</v>
      </c>
    </row>
    <row r="21" spans="1:16" x14ac:dyDescent="0.3">
      <c r="A21" t="s">
        <v>19</v>
      </c>
      <c r="B21" t="s">
        <v>99</v>
      </c>
      <c r="C21">
        <f t="shared" si="4"/>
        <v>283</v>
      </c>
      <c r="D21">
        <f t="shared" si="3"/>
        <v>288</v>
      </c>
      <c r="E21">
        <f t="shared" si="3"/>
        <v>290</v>
      </c>
      <c r="F21">
        <f t="shared" si="3"/>
        <v>290</v>
      </c>
      <c r="G21">
        <f t="shared" si="3"/>
        <v>293</v>
      </c>
      <c r="H21">
        <f t="shared" si="3"/>
        <v>293</v>
      </c>
      <c r="J21" s="2" t="s">
        <v>99</v>
      </c>
      <c r="K21" s="2">
        <v>28.3</v>
      </c>
      <c r="L21" s="2">
        <v>28.8</v>
      </c>
      <c r="M21" s="2">
        <v>29</v>
      </c>
      <c r="N21" s="2">
        <v>29</v>
      </c>
      <c r="O21" s="2">
        <v>29.3</v>
      </c>
      <c r="P21" s="2">
        <v>29.3</v>
      </c>
    </row>
    <row r="22" spans="1:16" x14ac:dyDescent="0.3">
      <c r="A22" t="s">
        <v>20</v>
      </c>
      <c r="B22" t="s">
        <v>100</v>
      </c>
      <c r="C22">
        <f t="shared" si="4"/>
        <v>55</v>
      </c>
      <c r="D22">
        <f t="shared" si="3"/>
        <v>55</v>
      </c>
      <c r="E22">
        <f t="shared" si="3"/>
        <v>55</v>
      </c>
      <c r="F22">
        <f t="shared" si="3"/>
        <v>55</v>
      </c>
      <c r="G22">
        <f t="shared" si="3"/>
        <v>55</v>
      </c>
      <c r="H22">
        <f t="shared" si="3"/>
        <v>55</v>
      </c>
      <c r="J22" s="2" t="s">
        <v>100</v>
      </c>
      <c r="K22" s="2">
        <v>5.5</v>
      </c>
      <c r="L22" s="2">
        <v>5.5</v>
      </c>
      <c r="M22" s="2">
        <v>5.5</v>
      </c>
      <c r="N22" s="2">
        <v>5.5</v>
      </c>
      <c r="O22" s="2">
        <v>5.5</v>
      </c>
      <c r="P22" s="2">
        <v>5.5</v>
      </c>
    </row>
    <row r="23" spans="1:16" x14ac:dyDescent="0.3">
      <c r="A23" t="s">
        <v>21</v>
      </c>
      <c r="B23" t="s">
        <v>101</v>
      </c>
      <c r="C23">
        <f t="shared" si="4"/>
        <v>72</v>
      </c>
      <c r="D23">
        <f t="shared" si="3"/>
        <v>65</v>
      </c>
      <c r="E23">
        <f t="shared" si="3"/>
        <v>65</v>
      </c>
      <c r="F23">
        <f t="shared" si="3"/>
        <v>65</v>
      </c>
      <c r="G23">
        <f t="shared" si="3"/>
        <v>65</v>
      </c>
      <c r="H23">
        <f t="shared" si="3"/>
        <v>65</v>
      </c>
      <c r="J23" s="2" t="s">
        <v>101</v>
      </c>
      <c r="K23" s="2">
        <v>7.2</v>
      </c>
      <c r="L23" s="2">
        <v>6.5</v>
      </c>
      <c r="M23" s="2">
        <v>6.5</v>
      </c>
      <c r="N23" s="2">
        <v>6.5</v>
      </c>
      <c r="O23" s="2">
        <v>6.5</v>
      </c>
      <c r="P23" s="2">
        <v>6.5</v>
      </c>
    </row>
    <row r="24" spans="1:16" x14ac:dyDescent="0.3">
      <c r="A24" t="s">
        <v>22</v>
      </c>
      <c r="B24" t="s">
        <v>102</v>
      </c>
      <c r="C24">
        <f t="shared" si="4"/>
        <v>515</v>
      </c>
      <c r="D24">
        <f t="shared" si="3"/>
        <v>535</v>
      </c>
      <c r="E24">
        <f t="shared" si="3"/>
        <v>555</v>
      </c>
      <c r="F24">
        <f t="shared" si="3"/>
        <v>575</v>
      </c>
      <c r="G24">
        <f t="shared" si="3"/>
        <v>595</v>
      </c>
      <c r="H24">
        <f t="shared" si="3"/>
        <v>615</v>
      </c>
      <c r="J24" s="2" t="s">
        <v>102</v>
      </c>
      <c r="K24" s="2">
        <v>51.5</v>
      </c>
      <c r="L24" s="2">
        <v>53.5</v>
      </c>
      <c r="M24" s="2">
        <v>55.5</v>
      </c>
      <c r="N24" s="2">
        <v>57.5</v>
      </c>
      <c r="O24" s="2">
        <v>59.5</v>
      </c>
      <c r="P24" s="2">
        <v>61.5</v>
      </c>
    </row>
    <row r="25" spans="1:16" x14ac:dyDescent="0.3">
      <c r="A25" t="s">
        <v>23</v>
      </c>
      <c r="B25" t="s">
        <v>103</v>
      </c>
      <c r="C25">
        <f t="shared" si="4"/>
        <v>365</v>
      </c>
      <c r="D25">
        <f t="shared" si="3"/>
        <v>371</v>
      </c>
      <c r="E25">
        <f t="shared" si="3"/>
        <v>378</v>
      </c>
      <c r="F25">
        <f t="shared" si="3"/>
        <v>385</v>
      </c>
      <c r="G25">
        <f t="shared" si="3"/>
        <v>392</v>
      </c>
      <c r="H25">
        <f t="shared" si="3"/>
        <v>398</v>
      </c>
      <c r="J25" s="2" t="s">
        <v>103</v>
      </c>
      <c r="K25" s="2">
        <v>36.5</v>
      </c>
      <c r="L25" s="2">
        <v>37.1</v>
      </c>
      <c r="M25" s="2">
        <v>37.799999999999997</v>
      </c>
      <c r="N25" s="2">
        <v>38.5</v>
      </c>
      <c r="O25" s="2">
        <v>39.200000000000003</v>
      </c>
      <c r="P25" s="2">
        <v>39.799999999999997</v>
      </c>
    </row>
    <row r="26" spans="1:16" x14ac:dyDescent="0.3">
      <c r="A26" s="3" t="s">
        <v>76</v>
      </c>
      <c r="B26" t="s">
        <v>104</v>
      </c>
      <c r="C26">
        <f t="shared" si="4"/>
        <v>400</v>
      </c>
      <c r="D26">
        <f t="shared" si="3"/>
        <v>400</v>
      </c>
      <c r="E26">
        <f t="shared" si="3"/>
        <v>400</v>
      </c>
      <c r="F26">
        <f t="shared" si="3"/>
        <v>400</v>
      </c>
      <c r="G26">
        <f t="shared" si="3"/>
        <v>400</v>
      </c>
      <c r="H26">
        <f t="shared" si="3"/>
        <v>400</v>
      </c>
      <c r="J26" t="s">
        <v>104</v>
      </c>
      <c r="K26">
        <v>40</v>
      </c>
      <c r="L26">
        <v>40</v>
      </c>
      <c r="M26">
        <v>40</v>
      </c>
      <c r="N26">
        <v>40</v>
      </c>
      <c r="O26">
        <v>40</v>
      </c>
      <c r="P26">
        <v>40</v>
      </c>
    </row>
    <row r="27" spans="1:16" x14ac:dyDescent="0.3">
      <c r="A27" t="s">
        <v>24</v>
      </c>
    </row>
    <row r="28" spans="1:16" x14ac:dyDescent="0.3">
      <c r="A28" t="s">
        <v>25</v>
      </c>
      <c r="B28" t="s">
        <v>25</v>
      </c>
    </row>
    <row r="29" spans="1:16" x14ac:dyDescent="0.3">
      <c r="A29" t="s">
        <v>26</v>
      </c>
      <c r="B29" t="s">
        <v>26</v>
      </c>
    </row>
    <row r="30" spans="1:16" x14ac:dyDescent="0.3">
      <c r="A30" t="s">
        <v>27</v>
      </c>
    </row>
    <row r="31" spans="1:16" x14ac:dyDescent="0.3">
      <c r="A31" t="s">
        <v>29</v>
      </c>
      <c r="B31" t="s">
        <v>29</v>
      </c>
      <c r="C31">
        <v>40</v>
      </c>
      <c r="D31">
        <v>40</v>
      </c>
      <c r="E31">
        <v>40</v>
      </c>
      <c r="F31">
        <v>40</v>
      </c>
      <c r="G31">
        <v>40</v>
      </c>
      <c r="H31">
        <v>40</v>
      </c>
    </row>
    <row r="32" spans="1:16" x14ac:dyDescent="0.3">
      <c r="A32" t="s">
        <v>30</v>
      </c>
      <c r="B32" t="s">
        <v>30</v>
      </c>
      <c r="C32">
        <v>48</v>
      </c>
      <c r="D32">
        <v>48</v>
      </c>
      <c r="E32">
        <v>48</v>
      </c>
      <c r="F32">
        <v>48</v>
      </c>
      <c r="G32">
        <v>48</v>
      </c>
      <c r="H32">
        <v>48</v>
      </c>
    </row>
    <row r="33" spans="1:8" x14ac:dyDescent="0.3">
      <c r="A33" t="s">
        <v>31</v>
      </c>
      <c r="B33" t="s">
        <v>31</v>
      </c>
      <c r="C33">
        <v>152</v>
      </c>
      <c r="D33">
        <v>165</v>
      </c>
      <c r="E33">
        <v>170</v>
      </c>
      <c r="F33">
        <v>177</v>
      </c>
      <c r="G33">
        <v>182</v>
      </c>
      <c r="H33">
        <v>190</v>
      </c>
    </row>
    <row r="34" spans="1:8" x14ac:dyDescent="0.3">
      <c r="A34" t="s">
        <v>32</v>
      </c>
      <c r="B34" t="s">
        <v>32</v>
      </c>
      <c r="C34">
        <v>162</v>
      </c>
      <c r="D34">
        <v>175</v>
      </c>
      <c r="E34">
        <v>180</v>
      </c>
      <c r="F34">
        <v>185</v>
      </c>
      <c r="G34">
        <v>193</v>
      </c>
      <c r="H34">
        <v>200</v>
      </c>
    </row>
    <row r="36" spans="1:8" x14ac:dyDescent="0.3">
      <c r="A36" t="s">
        <v>33</v>
      </c>
      <c r="B36" t="s">
        <v>34</v>
      </c>
    </row>
    <row r="37" spans="1:8" x14ac:dyDescent="0.3">
      <c r="A37" t="s">
        <v>71</v>
      </c>
      <c r="B37" t="s">
        <v>72</v>
      </c>
    </row>
    <row r="38" spans="1:8" x14ac:dyDescent="0.3">
      <c r="A38" t="s">
        <v>73</v>
      </c>
      <c r="B38" t="s">
        <v>74</v>
      </c>
    </row>
    <row r="39" spans="1:8" x14ac:dyDescent="0.3">
      <c r="A39" t="s">
        <v>75</v>
      </c>
      <c r="B39" s="3" t="s">
        <v>105</v>
      </c>
    </row>
    <row r="40" spans="1:8" x14ac:dyDescent="0.3">
      <c r="A40" t="s">
        <v>35</v>
      </c>
      <c r="B40" t="s">
        <v>36</v>
      </c>
    </row>
    <row r="41" spans="1:8" x14ac:dyDescent="0.3">
      <c r="A41" t="s">
        <v>37</v>
      </c>
      <c r="B41" s="3" t="s">
        <v>77</v>
      </c>
    </row>
    <row r="42" spans="1:8" x14ac:dyDescent="0.3">
      <c r="A42" t="s">
        <v>38</v>
      </c>
    </row>
    <row r="43" spans="1:8" x14ac:dyDescent="0.3">
      <c r="A43" t="s">
        <v>39</v>
      </c>
      <c r="B43">
        <v>48</v>
      </c>
      <c r="C43" s="3" t="s">
        <v>83</v>
      </c>
    </row>
    <row r="44" spans="1:8" x14ac:dyDescent="0.3">
      <c r="A44" t="s">
        <v>40</v>
      </c>
    </row>
    <row r="45" spans="1:8" x14ac:dyDescent="0.3">
      <c r="A45" t="s">
        <v>41</v>
      </c>
    </row>
    <row r="46" spans="1:8" x14ac:dyDescent="0.3">
      <c r="A46" t="s">
        <v>42</v>
      </c>
    </row>
    <row r="47" spans="1:8" x14ac:dyDescent="0.3">
      <c r="A47" t="s">
        <v>43</v>
      </c>
      <c r="B47" s="4"/>
    </row>
    <row r="48" spans="1:8" x14ac:dyDescent="0.3">
      <c r="A48" t="s">
        <v>44</v>
      </c>
    </row>
    <row r="49" spans="1:2" x14ac:dyDescent="0.3">
      <c r="A49" t="s">
        <v>45</v>
      </c>
      <c r="B49">
        <v>142</v>
      </c>
    </row>
    <row r="50" spans="1:2" x14ac:dyDescent="0.3">
      <c r="A50" t="s">
        <v>46</v>
      </c>
      <c r="B50">
        <v>100</v>
      </c>
    </row>
    <row r="51" spans="1:2" x14ac:dyDescent="0.3">
      <c r="A51" t="s">
        <v>47</v>
      </c>
      <c r="B51" s="3" t="s">
        <v>78</v>
      </c>
    </row>
    <row r="52" spans="1:2" x14ac:dyDescent="0.3">
      <c r="A52" t="s">
        <v>48</v>
      </c>
    </row>
    <row r="53" spans="1:2" x14ac:dyDescent="0.3">
      <c r="A53" t="s">
        <v>49</v>
      </c>
      <c r="B53">
        <v>27.2</v>
      </c>
    </row>
    <row r="54" spans="1:2" x14ac:dyDescent="0.3">
      <c r="A54" t="s">
        <v>50</v>
      </c>
      <c r="B54" s="3" t="s">
        <v>77</v>
      </c>
    </row>
    <row r="55" spans="1:2" x14ac:dyDescent="0.3">
      <c r="A55" t="s">
        <v>51</v>
      </c>
    </row>
    <row r="56" spans="1:2" x14ac:dyDescent="0.3">
      <c r="A56" t="s">
        <v>52</v>
      </c>
    </row>
    <row r="57" spans="1:2" x14ac:dyDescent="0.3">
      <c r="A57" t="s">
        <v>53</v>
      </c>
    </row>
    <row r="58" spans="1:2" x14ac:dyDescent="0.3">
      <c r="A58" t="s">
        <v>54</v>
      </c>
    </row>
    <row r="59" spans="1:2" x14ac:dyDescent="0.3">
      <c r="A59" t="s">
        <v>55</v>
      </c>
    </row>
    <row r="60" spans="1:2" x14ac:dyDescent="0.3">
      <c r="A60" t="s">
        <v>56</v>
      </c>
      <c r="B60" s="3" t="s">
        <v>84</v>
      </c>
    </row>
    <row r="61" spans="1:2" x14ac:dyDescent="0.3">
      <c r="A61" t="s">
        <v>57</v>
      </c>
      <c r="B61" s="3"/>
    </row>
    <row r="62" spans="1:2" x14ac:dyDescent="0.3">
      <c r="A62" t="s">
        <v>58</v>
      </c>
    </row>
    <row r="63" spans="1:2" x14ac:dyDescent="0.3">
      <c r="A63" t="s">
        <v>59</v>
      </c>
      <c r="B63" s="3"/>
    </row>
    <row r="64" spans="1:2" x14ac:dyDescent="0.3">
      <c r="A64" t="s">
        <v>60</v>
      </c>
      <c r="B64">
        <v>2</v>
      </c>
    </row>
    <row r="65" spans="1:2" x14ac:dyDescent="0.3">
      <c r="A65" t="s">
        <v>61</v>
      </c>
    </row>
    <row r="66" spans="1:2" x14ac:dyDescent="0.3">
      <c r="A66" t="s">
        <v>62</v>
      </c>
    </row>
    <row r="67" spans="1:2" x14ac:dyDescent="0.3">
      <c r="A67" t="s">
        <v>63</v>
      </c>
    </row>
    <row r="68" spans="1:2" x14ac:dyDescent="0.3">
      <c r="A68" t="s">
        <v>64</v>
      </c>
    </row>
    <row r="69" spans="1:2" x14ac:dyDescent="0.3">
      <c r="A69" t="s">
        <v>65</v>
      </c>
    </row>
    <row r="70" spans="1:2" x14ac:dyDescent="0.3">
      <c r="A70" t="s">
        <v>66</v>
      </c>
    </row>
    <row r="71" spans="1:2" x14ac:dyDescent="0.3">
      <c r="A71" t="s">
        <v>67</v>
      </c>
    </row>
    <row r="72" spans="1:2" x14ac:dyDescent="0.3">
      <c r="A72" t="s">
        <v>68</v>
      </c>
      <c r="B72">
        <v>4599</v>
      </c>
    </row>
    <row r="73" spans="1:2" x14ac:dyDescent="0.3">
      <c r="A73" t="s">
        <v>69</v>
      </c>
    </row>
    <row r="74" spans="1:2" x14ac:dyDescent="0.3">
      <c r="A74" t="s">
        <v>70</v>
      </c>
      <c r="B74" s="3" t="s">
        <v>82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2025-10-14T13:40:23Z</dcterms:modified>
</cp:coreProperties>
</file>