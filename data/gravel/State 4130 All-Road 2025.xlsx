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39980CF-64DC-8E4C-8311-B2B01243C051}" xr6:coauthVersionLast="47" xr6:coauthVersionMax="47" xr10:uidLastSave="{00000000-0000-0000-0000-000000000000}"/>
  <bookViews>
    <workbookView xWindow="16260" yWindow="1180" windowWidth="265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E35" i="1"/>
  <c r="F35" i="1"/>
  <c r="D34" i="1"/>
  <c r="E34" i="1"/>
  <c r="F34" i="1"/>
  <c r="C34" i="1"/>
  <c r="D25" i="1"/>
  <c r="E25" i="1"/>
  <c r="F25" i="1"/>
  <c r="C25" i="1"/>
</calcChain>
</file>

<file path=xl/sharedStrings.xml><?xml version="1.0" encoding="utf-8"?>
<sst xmlns="http://schemas.openxmlformats.org/spreadsheetml/2006/main" count="134" uniqueCount="131">
  <si>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</si>
  <si>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</si>
  <si>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</si>
  <si>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</si>
  <si>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</si>
  <si>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</si>
  <si>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</si>
  <si>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</si>
  <si>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</si>
  <si>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</si>
  <si>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</si>
  <si>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</si>
  <si>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</si>
  <si>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</si>
  <si>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</si>
  <si>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</si>
  <si>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</si>
  <si>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</si>
  <si>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</si>
  <si>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</si>
  <si>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</si>
  <si>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</si>
  <si>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</si>
  <si>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</si>
  <si>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</si>
  <si>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</si>
  <si>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</si>
  <si>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</si>
  <si>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</si>
  <si>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</si>
  <si>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</si>
  <si>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</si>
  <si>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</si>
  <si>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</si>
  <si>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</si>
  <si>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</si>
  <si>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</si>
  <si>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</si>
  <si>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</si>
  <si>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</si>
  <si>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</si>
  <si>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</si>
  <si>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</si>
  <si>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</si>
  <si>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</si>
  <si>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</si>
  <si>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</si>
  <si>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</si>
  <si>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</si>
  <si>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</si>
  <si>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</si>
  <si>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</si>
  <si>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</si>
  <si>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</si>
  <si>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</si>
  <si>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</si>
  <si>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</si>
  <si>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</si>
  <si>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</si>
  <si>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</si>
  <si>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</si>
  <si>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</si>
  <si>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</si>
  <si>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</si>
  <si>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</si>
  <si>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</si>
  <si>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</si>
  <si>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</si>
  <si>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</si>
  <si>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</si>
  <si>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</si>
  <si>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</si>
  <si>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</si>
  <si>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Reach</t>
  </si>
  <si>
    <t>Stack</t>
  </si>
  <si>
    <t>M</t>
  </si>
  <si>
    <t>bb_height</t>
  </si>
  <si>
    <t>both</t>
  </si>
  <si>
    <t>XS</t>
  </si>
  <si>
    <t>S</t>
  </si>
  <si>
    <t>Measurement</t>
  </si>
  <si>
    <t>Actual Top Tube Length</t>
  </si>
  <si>
    <t>BB Drop</t>
  </si>
  <si>
    <t>BB Height</t>
  </si>
  <si>
    <t>Chain Stay Length</t>
  </si>
  <si>
    <t>Complete Bike Weight (650)</t>
  </si>
  <si>
    <t>27lbs 5oz</t>
  </si>
  <si>
    <t>27lbs 6oz</t>
  </si>
  <si>
    <t>27lbs 12oz</t>
  </si>
  <si>
    <t>27lbs 14oz</t>
  </si>
  <si>
    <t>Complete Bike Weight (700)</t>
  </si>
  <si>
    <t>25lbs 15oz</t>
  </si>
  <si>
    <t>26lbs 0oz</t>
  </si>
  <si>
    <t>26lbs 6oz</t>
  </si>
  <si>
    <t>26lbs 8oz</t>
  </si>
  <si>
    <t>Crank Arm Length</t>
  </si>
  <si>
    <t>Effective Top Tube Length</t>
  </si>
  <si>
    <t>Fork Length</t>
  </si>
  <si>
    <t>Fork Offset</t>
  </si>
  <si>
    <t>Head Tube Angle</t>
  </si>
  <si>
    <t>Head Tube Length</t>
  </si>
  <si>
    <t>Seat Tube</t>
  </si>
  <si>
    <t>Seat Tube Angle</t>
  </si>
  <si>
    <t>Standover Height (700 / 650)</t>
  </si>
  <si>
    <t>743 / 735</t>
  </si>
  <si>
    <t>772 / 764</t>
  </si>
  <si>
    <t>798 / 790</t>
  </si>
  <si>
    <t>827 / 819</t>
  </si>
  <si>
    <t>Wheel Base</t>
  </si>
  <si>
    <t>State</t>
  </si>
  <si>
    <t>bike_weight_650</t>
  </si>
  <si>
    <t>bike_weight_700</t>
  </si>
  <si>
    <t>top_tube_actual_length</t>
  </si>
  <si>
    <t>steel</t>
  </si>
  <si>
    <t>4130 All-Road</t>
  </si>
  <si>
    <t>external</t>
  </si>
  <si>
    <t>https://www.statebicycle.com/collections/4130-all-road</t>
  </si>
  <si>
    <t>55 frame, 45 stock fork, 50 carbon fork, 58 monster fork</t>
  </si>
  <si>
    <t>threaded</t>
  </si>
  <si>
    <t>https://www.statebicycle.com/cdn/shop/files/4130All-Road-DromendaryTan_12Speed_UDH_-16.jpg?v=1737954578</t>
  </si>
  <si>
    <t>USD</t>
  </si>
  <si>
    <t>location</t>
  </si>
  <si>
    <t>Phoenix, Arizona, USA</t>
  </si>
  <si>
    <t>L</t>
  </si>
  <si>
    <t>a8:f35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</si>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</sst>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51" workbookViewId="0">
      <selection activeCell="B75" sqref="B75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109</v>
      </c>
    </row>
    <row r="2" spans="1:11" x14ac:dyDescent="0.3">
      <c r="A2" s="1" t="s">
        <v>1</v>
      </c>
      <c r="B2" s="1" t="s">
        <v>114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45901</v>
      </c>
    </row>
    <row r="5" spans="1:11" x14ac:dyDescent="0.3">
      <c r="A5" s="1" t="s">
        <v>4</v>
      </c>
      <c r="B5" s="1" t="s">
        <v>116</v>
      </c>
    </row>
    <row r="6" spans="1:11" x14ac:dyDescent="0.3">
      <c r="B6" s="1" t="s">
        <v>119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124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80</v>
      </c>
      <c r="C8" s="1" t="s">
        <v>78</v>
      </c>
      <c r="D8" s="1" t="s">
        <v>79</v>
      </c>
      <c r="E8" s="1" t="s">
        <v>75</v>
      </c>
      <c r="F8" s="1" t="s">
        <v>123</v>
      </c>
    </row>
    <row r="9" spans="1:11" x14ac:dyDescent="0.3">
      <c r="A9" s="1" t="s">
        <v>112</v>
      </c>
      <c r="B9" s="1" t="s">
        <v>81</v>
      </c>
      <c r="C9" s="1">
        <v>496</v>
      </c>
      <c r="D9" s="1">
        <v>517.29999999999995</v>
      </c>
      <c r="E9" s="1">
        <v>528.9</v>
      </c>
      <c r="F9" s="1">
        <v>553.1</v>
      </c>
    </row>
    <row r="10" spans="1:11" x14ac:dyDescent="0.3">
      <c r="A10" s="1" t="s">
        <v>13</v>
      </c>
      <c r="B10" s="1" t="s">
        <v>82</v>
      </c>
      <c r="C10" s="1">
        <v>75</v>
      </c>
      <c r="D10" s="1">
        <v>75</v>
      </c>
      <c r="E10" s="1">
        <v>75</v>
      </c>
      <c r="F10" s="1">
        <v>75</v>
      </c>
    </row>
    <row r="11" spans="1:11" x14ac:dyDescent="0.3">
      <c r="A11" s="1" t="s">
        <v>76</v>
      </c>
      <c r="B11" s="1" t="s">
        <v>83</v>
      </c>
      <c r="C11" s="1">
        <v>268</v>
      </c>
      <c r="D11" s="1">
        <v>268</v>
      </c>
      <c r="E11" s="1">
        <v>268</v>
      </c>
      <c r="F11" s="1">
        <v>268</v>
      </c>
    </row>
    <row r="12" spans="1:11" x14ac:dyDescent="0.3">
      <c r="A12" s="1" t="s">
        <v>12</v>
      </c>
      <c r="B12" s="1" t="s">
        <v>84</v>
      </c>
      <c r="C12" s="1">
        <v>450</v>
      </c>
      <c r="D12" s="1">
        <v>450</v>
      </c>
      <c r="E12" s="1">
        <v>450</v>
      </c>
      <c r="F12" s="1">
        <v>450</v>
      </c>
    </row>
    <row r="13" spans="1:11" x14ac:dyDescent="0.3">
      <c r="A13" s="1" t="s">
        <v>110</v>
      </c>
      <c r="B13" s="1" t="s">
        <v>85</v>
      </c>
      <c r="G13" s="1" t="s">
        <v>86</v>
      </c>
      <c r="H13" s="1" t="s">
        <v>87</v>
      </c>
      <c r="I13" s="1" t="s">
        <v>88</v>
      </c>
      <c r="J13" s="1" t="s">
        <v>89</v>
      </c>
    </row>
    <row r="14" spans="1:11" x14ac:dyDescent="0.3">
      <c r="A14" s="1" t="s">
        <v>111</v>
      </c>
      <c r="B14" s="1" t="s">
        <v>90</v>
      </c>
      <c r="G14" s="1" t="s">
        <v>91</v>
      </c>
      <c r="H14" s="1" t="s">
        <v>92</v>
      </c>
      <c r="I14" s="1" t="s">
        <v>93</v>
      </c>
      <c r="J14" s="1" t="s">
        <v>94</v>
      </c>
    </row>
    <row r="15" spans="1:11" x14ac:dyDescent="0.3">
      <c r="A15" s="1" t="s">
        <v>19</v>
      </c>
      <c r="B15" s="1" t="s">
        <v>95</v>
      </c>
      <c r="C15" s="1">
        <v>165</v>
      </c>
      <c r="D15" s="1">
        <v>165</v>
      </c>
      <c r="E15" s="1">
        <v>170</v>
      </c>
      <c r="F15" s="1">
        <v>175</v>
      </c>
    </row>
    <row r="16" spans="1:11" x14ac:dyDescent="0.3">
      <c r="A16" s="1" t="s">
        <v>8</v>
      </c>
      <c r="B16" s="1" t="s">
        <v>96</v>
      </c>
      <c r="C16" s="1">
        <v>510</v>
      </c>
      <c r="D16" s="1">
        <v>535</v>
      </c>
      <c r="E16" s="1">
        <v>550</v>
      </c>
      <c r="F16" s="1">
        <v>575</v>
      </c>
    </row>
    <row r="17" spans="1:11" x14ac:dyDescent="0.3">
      <c r="A17" s="1" t="s">
        <v>22</v>
      </c>
      <c r="B17" s="1" t="s">
        <v>97</v>
      </c>
      <c r="C17" s="1">
        <v>405</v>
      </c>
      <c r="D17" s="1">
        <v>405</v>
      </c>
      <c r="E17" s="1">
        <v>405</v>
      </c>
      <c r="F17" s="1">
        <v>405</v>
      </c>
    </row>
    <row r="18" spans="1:11" x14ac:dyDescent="0.3">
      <c r="A18" s="1" t="s">
        <v>18</v>
      </c>
      <c r="B18" s="1" t="s">
        <v>98</v>
      </c>
      <c r="C18" s="1">
        <v>50</v>
      </c>
      <c r="D18" s="1">
        <v>50</v>
      </c>
      <c r="E18" s="1">
        <v>50</v>
      </c>
      <c r="F18" s="1">
        <v>50</v>
      </c>
    </row>
    <row r="19" spans="1:11" x14ac:dyDescent="0.3">
      <c r="A19" s="1" t="s">
        <v>11</v>
      </c>
      <c r="B19" s="1" t="s">
        <v>99</v>
      </c>
      <c r="C19" s="1">
        <v>70.5</v>
      </c>
      <c r="D19" s="1">
        <v>71</v>
      </c>
      <c r="E19" s="1">
        <v>71.5</v>
      </c>
      <c r="F19" s="1">
        <v>71.5</v>
      </c>
    </row>
    <row r="20" spans="1:11" x14ac:dyDescent="0.3">
      <c r="A20" s="1" t="s">
        <v>9</v>
      </c>
      <c r="B20" s="1" t="s">
        <v>100</v>
      </c>
      <c r="C20" s="1">
        <v>125</v>
      </c>
      <c r="D20" s="1">
        <v>145</v>
      </c>
      <c r="E20" s="1">
        <v>165</v>
      </c>
      <c r="F20" s="1">
        <v>185</v>
      </c>
    </row>
    <row r="21" spans="1:11" x14ac:dyDescent="0.3">
      <c r="A21" s="1" t="s">
        <v>17</v>
      </c>
      <c r="B21" s="1" t="s">
        <v>73</v>
      </c>
      <c r="C21" s="1">
        <v>359.8</v>
      </c>
      <c r="D21" s="1">
        <v>373.7</v>
      </c>
      <c r="E21" s="1">
        <v>371.5</v>
      </c>
      <c r="F21" s="1">
        <v>385</v>
      </c>
    </row>
    <row r="22" spans="1:11" x14ac:dyDescent="0.3">
      <c r="A22" s="1" t="s">
        <v>7</v>
      </c>
      <c r="B22" s="1" t="s">
        <v>101</v>
      </c>
      <c r="C22" s="1">
        <v>430</v>
      </c>
      <c r="D22" s="1">
        <v>470</v>
      </c>
      <c r="E22" s="1">
        <v>510</v>
      </c>
      <c r="F22" s="1">
        <v>550</v>
      </c>
    </row>
    <row r="23" spans="1:11" x14ac:dyDescent="0.3">
      <c r="A23" s="1" t="s">
        <v>10</v>
      </c>
      <c r="B23" s="1" t="s">
        <v>102</v>
      </c>
      <c r="C23" s="1">
        <v>75</v>
      </c>
      <c r="D23" s="1">
        <v>74.5</v>
      </c>
      <c r="E23" s="1">
        <v>73.5</v>
      </c>
      <c r="F23" s="1">
        <v>73</v>
      </c>
    </row>
    <row r="24" spans="1:11" x14ac:dyDescent="0.3">
      <c r="A24" s="1" t="s">
        <v>16</v>
      </c>
      <c r="B24" s="1" t="s">
        <v>74</v>
      </c>
      <c r="C24" s="1">
        <v>560.70000000000005</v>
      </c>
      <c r="D24" s="1">
        <v>581.6</v>
      </c>
      <c r="E24" s="1">
        <v>602.5</v>
      </c>
      <c r="F24" s="1">
        <v>621.5</v>
      </c>
    </row>
    <row r="25" spans="1:11" x14ac:dyDescent="0.3">
      <c r="A25" s="1" t="s">
        <v>15</v>
      </c>
      <c r="B25" s="1" t="s">
        <v>103</v>
      </c>
      <c r="C25" s="1">
        <f>VALUE(LEFT(G25,3))</f>
        <v>743</v>
      </c>
      <c r="D25" s="1">
        <f t="shared" ref="D25:F25" si="0">VALUE(LEFT(H25,3))</f>
        <v>772</v>
      </c>
      <c r="E25" s="1">
        <f t="shared" si="0"/>
        <v>798</v>
      </c>
      <c r="F25" s="1">
        <f t="shared" si="0"/>
        <v>827</v>
      </c>
      <c r="G25" s="1" t="s">
        <v>104</v>
      </c>
      <c r="H25" s="1" t="s">
        <v>105</v>
      </c>
      <c r="I25" s="1" t="s">
        <v>106</v>
      </c>
      <c r="J25" s="1" t="s">
        <v>107</v>
      </c>
    </row>
    <row r="26" spans="1:11" x14ac:dyDescent="0.3">
      <c r="A26" s="1" t="s">
        <v>14</v>
      </c>
      <c r="B26" s="1" t="s">
        <v>108</v>
      </c>
      <c r="C26" s="1">
        <v>997.1</v>
      </c>
      <c r="D26" s="1">
        <v>1013.1</v>
      </c>
      <c r="E26" s="1">
        <v>1054.0999999999999</v>
      </c>
      <c r="F26" s="1">
        <v>1062.9000000000001</v>
      </c>
    </row>
    <row r="27" spans="1:11" x14ac:dyDescent="0.3">
      <c r="A27" s="1" t="s">
        <v>72</v>
      </c>
    </row>
    <row r="28" spans="1:11" x14ac:dyDescent="0.3">
      <c r="A28" s="1" t="s">
        <v>20</v>
      </c>
    </row>
    <row r="29" spans="1:11" x14ac:dyDescent="0.3">
      <c r="A29" s="1" t="s">
        <v>21</v>
      </c>
    </row>
    <row r="30" spans="1:11" x14ac:dyDescent="0.3">
      <c r="A30" s="1" t="s">
        <v>23</v>
      </c>
    </row>
    <row r="31" spans="1:11" x14ac:dyDescent="0.3">
      <c r="A31" s="1" t="s">
        <v>24</v>
      </c>
      <c r="C31" s="4">
        <v>700</v>
      </c>
      <c r="D31" s="4">
        <v>700</v>
      </c>
      <c r="E31" s="4">
        <v>700</v>
      </c>
      <c r="F31" s="4">
        <v>700</v>
      </c>
      <c r="G31" s="4"/>
      <c r="H31" s="4"/>
      <c r="I31" s="4"/>
      <c r="J31" s="4"/>
      <c r="K31" s="4"/>
    </row>
    <row r="32" spans="1:11" x14ac:dyDescent="0.3">
      <c r="A32" s="1" t="s">
        <v>25</v>
      </c>
      <c r="C32" s="4">
        <v>38</v>
      </c>
      <c r="D32" s="4">
        <v>38</v>
      </c>
      <c r="E32" s="4">
        <v>38</v>
      </c>
      <c r="F32" s="4">
        <v>38</v>
      </c>
      <c r="G32" s="4"/>
      <c r="H32" s="4"/>
      <c r="I32" s="4"/>
      <c r="J32" s="4"/>
      <c r="K32" s="4"/>
    </row>
    <row r="33" spans="1:8" x14ac:dyDescent="0.3">
      <c r="A33" s="1" t="s">
        <v>26</v>
      </c>
      <c r="C33" s="1">
        <v>55</v>
      </c>
      <c r="D33" s="1">
        <v>55</v>
      </c>
      <c r="E33" s="1">
        <v>55</v>
      </c>
      <c r="F33" s="1">
        <v>55</v>
      </c>
    </row>
    <row r="34" spans="1:8" x14ac:dyDescent="0.3">
      <c r="A34" s="1" t="s">
        <v>27</v>
      </c>
      <c r="C34" s="1">
        <f>C36*2.54</f>
        <v>154.94</v>
      </c>
      <c r="D34" s="1">
        <f t="shared" ref="D34:F35" si="1">D36*2.54</f>
        <v>165.1</v>
      </c>
      <c r="E34" s="1">
        <f t="shared" si="1"/>
        <v>175.26</v>
      </c>
      <c r="F34" s="1">
        <f t="shared" si="1"/>
        <v>185.42000000000002</v>
      </c>
    </row>
    <row r="35" spans="1:8" x14ac:dyDescent="0.3">
      <c r="A35" s="1" t="s">
        <v>28</v>
      </c>
      <c r="C35" s="1">
        <f>C37*2.54</f>
        <v>167.64000000000001</v>
      </c>
      <c r="D35" s="1">
        <f t="shared" si="1"/>
        <v>177.8</v>
      </c>
      <c r="E35" s="1">
        <f t="shared" si="1"/>
        <v>187.96</v>
      </c>
      <c r="F35" s="1">
        <f t="shared" si="1"/>
        <v>193.04</v>
      </c>
    </row>
    <row r="36" spans="1:8" x14ac:dyDescent="0.3">
      <c r="C36" s="1">
        <v>61</v>
      </c>
      <c r="D36" s="1">
        <v>65</v>
      </c>
      <c r="E36" s="1">
        <v>69</v>
      </c>
      <c r="F36" s="1">
        <v>73</v>
      </c>
    </row>
    <row r="37" spans="1:8" x14ac:dyDescent="0.3">
      <c r="A37" s="1" t="s">
        <v>29</v>
      </c>
      <c r="B37" s="1" t="s">
        <v>30</v>
      </c>
      <c r="C37" s="1">
        <v>66</v>
      </c>
      <c r="D37" s="1">
        <v>70</v>
      </c>
      <c r="E37" s="1">
        <v>74</v>
      </c>
      <c r="F37" s="1">
        <v>76</v>
      </c>
    </row>
    <row r="38" spans="1:8" x14ac:dyDescent="0.3">
      <c r="A38" s="1" t="s">
        <v>66</v>
      </c>
      <c r="B38" s="1" t="s">
        <v>67</v>
      </c>
    </row>
    <row r="39" spans="1:8" x14ac:dyDescent="0.3">
      <c r="A39" s="1" t="s">
        <v>68</v>
      </c>
      <c r="B39" s="1" t="s">
        <v>77</v>
      </c>
      <c r="H39" s="4"/>
    </row>
    <row r="40" spans="1:8" x14ac:dyDescent="0.3">
      <c r="A40" s="1" t="s">
        <v>69</v>
      </c>
      <c r="B40" s="1" t="s">
        <v>70</v>
      </c>
      <c r="C40" s="4"/>
      <c r="D40" s="4"/>
      <c r="E40" s="4"/>
      <c r="F40" s="4"/>
      <c r="G40" s="4"/>
    </row>
    <row r="41" spans="1:8" x14ac:dyDescent="0.3">
      <c r="A41" s="1" t="s">
        <v>31</v>
      </c>
      <c r="B41" s="1" t="s">
        <v>113</v>
      </c>
    </row>
    <row r="42" spans="1:8" x14ac:dyDescent="0.3">
      <c r="A42" s="1" t="s">
        <v>32</v>
      </c>
      <c r="B42" s="1" t="s">
        <v>71</v>
      </c>
    </row>
    <row r="43" spans="1:8" x14ac:dyDescent="0.3">
      <c r="A43" s="1" t="s">
        <v>33</v>
      </c>
    </row>
    <row r="44" spans="1:8" x14ac:dyDescent="0.3">
      <c r="A44" s="1" t="s">
        <v>34</v>
      </c>
      <c r="B44" s="1">
        <v>55</v>
      </c>
    </row>
    <row r="45" spans="1:8" x14ac:dyDescent="0.3">
      <c r="A45" s="1" t="s">
        <v>35</v>
      </c>
      <c r="B45" s="6">
        <v>2.25</v>
      </c>
    </row>
    <row r="46" spans="1:8" x14ac:dyDescent="0.3">
      <c r="A46" s="1" t="s">
        <v>36</v>
      </c>
      <c r="C46" s="1" t="s">
        <v>117</v>
      </c>
    </row>
    <row r="47" spans="1:8" x14ac:dyDescent="0.3">
      <c r="A47" s="1" t="s">
        <v>37</v>
      </c>
    </row>
    <row r="48" spans="1:8" x14ac:dyDescent="0.3">
      <c r="A48" s="1" t="s">
        <v>38</v>
      </c>
    </row>
    <row r="49" spans="1:2" x14ac:dyDescent="0.3">
      <c r="A49" s="1" t="s">
        <v>39</v>
      </c>
    </row>
    <row r="50" spans="1:2" x14ac:dyDescent="0.3">
      <c r="A50" s="1" t="s">
        <v>40</v>
      </c>
      <c r="B50" s="1">
        <v>142</v>
      </c>
    </row>
    <row r="51" spans="1:2" x14ac:dyDescent="0.3">
      <c r="A51" s="1" t="s">
        <v>41</v>
      </c>
      <c r="B51" s="1">
        <v>100</v>
      </c>
    </row>
    <row r="52" spans="1:2" x14ac:dyDescent="0.3">
      <c r="A52" s="1" t="s">
        <v>125</v>
      </c>
    </row>
    <row r="53" spans="1:2" x14ac:dyDescent="0.3">
      <c r="A53" s="1" t="s">
        <v>126</v>
      </c>
    </row>
    <row r="54" spans="1:2" x14ac:dyDescent="0.3">
      <c r="A54" s="1" t="s">
        <v>127</v>
      </c>
    </row>
    <row r="55" spans="1:2" x14ac:dyDescent="0.3">
      <c r="A55" s="1" t="s">
        <v>128</v>
      </c>
    </row>
    <row r="56" spans="1:2" x14ac:dyDescent="0.3">
      <c r="A56" s="1" t="s">
        <v>129</v>
      </c>
    </row>
    <row r="57" spans="1:2" x14ac:dyDescent="0.3">
      <c r="A57" s="1" t="s">
        <v>130</v>
      </c>
    </row>
    <row r="58" spans="1:2" x14ac:dyDescent="0.3">
      <c r="A58" s="1" t="s">
        <v>42</v>
      </c>
      <c r="B58" s="1" t="s">
        <v>118</v>
      </c>
    </row>
    <row r="59" spans="1:2" x14ac:dyDescent="0.3">
      <c r="A59" s="1" t="s">
        <v>43</v>
      </c>
    </row>
    <row r="60" spans="1:2" x14ac:dyDescent="0.3">
      <c r="A60" s="1" t="s">
        <v>44</v>
      </c>
      <c r="B60" s="1">
        <v>27.2</v>
      </c>
    </row>
    <row r="61" spans="1:2" x14ac:dyDescent="0.3">
      <c r="A61" s="1" t="s">
        <v>45</v>
      </c>
    </row>
    <row r="62" spans="1:2" x14ac:dyDescent="0.3">
      <c r="A62" s="1" t="s">
        <v>46</v>
      </c>
    </row>
    <row r="63" spans="1:2" x14ac:dyDescent="0.3">
      <c r="A63" s="1" t="s">
        <v>47</v>
      </c>
    </row>
    <row r="64" spans="1:2" x14ac:dyDescent="0.3">
      <c r="A64" s="1" t="s">
        <v>48</v>
      </c>
    </row>
    <row r="65" spans="1:2" x14ac:dyDescent="0.3">
      <c r="A65" s="1" t="s">
        <v>49</v>
      </c>
    </row>
    <row r="66" spans="1:2" x14ac:dyDescent="0.3">
      <c r="A66" s="1" t="s">
        <v>50</v>
      </c>
    </row>
    <row r="67" spans="1:2" x14ac:dyDescent="0.3">
      <c r="A67" s="1" t="s">
        <v>51</v>
      </c>
      <c r="B67" s="1" t="s">
        <v>115</v>
      </c>
    </row>
    <row r="68" spans="1:2" x14ac:dyDescent="0.3">
      <c r="A68" s="1" t="s">
        <v>52</v>
      </c>
    </row>
    <row r="69" spans="1:2" x14ac:dyDescent="0.3">
      <c r="A69" s="1" t="s">
        <v>53</v>
      </c>
    </row>
    <row r="70" spans="1:2" x14ac:dyDescent="0.3">
      <c r="A70" s="1" t="s">
        <v>54</v>
      </c>
    </row>
    <row r="71" spans="1:2" x14ac:dyDescent="0.3">
      <c r="A71" s="1" t="s">
        <v>55</v>
      </c>
      <c r="B71" s="1">
        <v>2</v>
      </c>
    </row>
    <row r="72" spans="1:2" x14ac:dyDescent="0.3">
      <c r="A72" s="1" t="s">
        <v>56</v>
      </c>
      <c r="B72" s="1">
        <v>1</v>
      </c>
    </row>
    <row r="73" spans="1:2" x14ac:dyDescent="0.3">
      <c r="A73" s="1" t="s">
        <v>57</v>
      </c>
      <c r="B73" s="1">
        <v>1</v>
      </c>
    </row>
    <row r="74" spans="1:2" x14ac:dyDescent="0.3">
      <c r="A74" s="1" t="s">
        <v>58</v>
      </c>
      <c r="B74" s="1">
        <v>3</v>
      </c>
    </row>
    <row r="75" spans="1:2" x14ac:dyDescent="0.3">
      <c r="A75" s="1" t="s">
        <v>59</v>
      </c>
      <c r="B75" s="1" t="s">
        <v>71</v>
      </c>
    </row>
    <row r="76" spans="1:2" x14ac:dyDescent="0.3">
      <c r="A76" s="1" t="s">
        <v>60</v>
      </c>
      <c r="B76" s="1" t="s">
        <v>71</v>
      </c>
    </row>
    <row r="77" spans="1:2" x14ac:dyDescent="0.3">
      <c r="A77" s="1" t="s">
        <v>61</v>
      </c>
      <c r="B77" s="1" t="s">
        <v>71</v>
      </c>
    </row>
    <row r="78" spans="1:2" x14ac:dyDescent="0.3">
      <c r="A78" s="1" t="s">
        <v>62</v>
      </c>
      <c r="B78" s="1">
        <v>499</v>
      </c>
    </row>
    <row r="79" spans="1:2" x14ac:dyDescent="0.3">
      <c r="A79" s="1" t="s">
        <v>63</v>
      </c>
      <c r="B79" s="1">
        <v>999</v>
      </c>
    </row>
    <row r="80" spans="1:2" x14ac:dyDescent="0.3">
      <c r="A80" s="1" t="s">
        <v>64</v>
      </c>
    </row>
    <row r="81" spans="1:2" x14ac:dyDescent="0.3">
      <c r="A81" s="1" t="s">
        <v>65</v>
      </c>
      <c r="B81" s="1" t="s">
        <v>120</v>
      </c>
    </row>
    <row r="82" spans="1:2" x14ac:dyDescent="0.3">
      <c r="A82" s="1" t="s">
        <v>121</v>
      </c>
      <c r="B82" s="1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2025-11-23T23:36:31Z</dcterms:modified>
</cp:coreProperties>
</file>