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07707E6-318E-4044-ADF0-41578D5FF53D}" xr6:coauthVersionLast="47" xr6:coauthVersionMax="47" xr10:uidLastSave="{00000000-0000-0000-0000-000000000000}"/>
  <bookViews>
    <workbookView xWindow="17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C13" i="1"/>
  <c r="C31" i="1"/>
  <c r="D31" i="1"/>
  <c r="E31" i="1"/>
  <c r="F31" i="1"/>
  <c r="G31" i="1"/>
  <c r="H31" i="1"/>
  <c r="D30" i="1"/>
  <c r="E30" i="1"/>
  <c r="F30" i="1"/>
  <c r="G30" i="1"/>
  <c r="H30" i="1"/>
  <c r="C30" i="1"/>
  <c r="D16" i="1"/>
  <c r="E16" i="1"/>
  <c r="F16" i="1"/>
  <c r="G16" i="1"/>
  <c r="H16" i="1"/>
  <c r="C16" i="1"/>
  <c r="D14" i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<sst xmlns="http://schemas.openxmlformats.org/spreadsheetml/2006/main" count="161" uniqueCount="135">
  <si>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</si>
  <si>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</si>
  <si>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</si>
  <si>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</si>
  <si>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</si>
  <si>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</si>
  <si>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</si>
  <si>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</si>
  <si>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</si>
  <si>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</si>
  <si>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</si>
  <si>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</si>
  <si>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</si>
  <si>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</si>
  <si>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</si>
  <si>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</si>
  <si>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</si>
  <si>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</si>
  <si>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</si>
  <si>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</si>
  <si>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</si>
  <si>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</si>
  <si>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</si>
  <si>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</si>
  <si>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</si>
  <si>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</si>
  <si>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</si>
  <si>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</si>
  <si>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</si>
  <si>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</si>
  <si>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</si>
  <si>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</si>
  <si>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</si>
  <si>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</si>
  <si>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</si>
  <si>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</si>
  <si>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</si>
  <si>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</si>
  <si>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</si>
  <si>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</si>
  <si>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</si>
  <si>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</si>
  <si>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</si>
  <si>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</si>
  <si>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</si>
  <si>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</si>
  <si>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</si>
  <si>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</si>
  <si>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</si>
  <si>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</si>
  <si>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</si>
  <si>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</si>
  <si>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</si>
  <si>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</si>
  <si>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</si>
  <si>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</si>
  <si>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</si>
  <si>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</si>
  <si>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</si>
  <si>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</si>
  <si>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</si>
  <si>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</si>
  <si>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</si>
  <si>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</si>
  <si>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</si>
  <si>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</si>
  <si>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</si>
  <si>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</si>
  <si>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</si>
  <si>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</si>
  <si>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</si>
  <si>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</si>
  <si>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</si>
  <si>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</si>
  <si>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</si>
  <si>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</si>
  <si>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</si>
  <si>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</si>
  <si>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</si>
  <si>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</si>
  <si>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</si>
  <si>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</si>
  <si>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</si>
  <si>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</si>
  <si>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</si>
  <si>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</si>
  <si>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</si>
  <si>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</si>
  <si>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</si>
  <si>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</si>
  <si>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</si>
  <si>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</si>
  <si>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</si>
  <si>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</si>
  <si>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</si>
  <si>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</si>
  <si>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</si>
  <si>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</si>
  <si>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</si>
  <si>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</si>
  <si>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</si>
  <si>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</si>
  <si>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no</t>
  </si>
  <si>
    <t>internal</t>
  </si>
  <si>
    <t>external</t>
  </si>
  <si>
    <t>optional</t>
  </si>
  <si>
    <t>trail</t>
  </si>
  <si>
    <t>a8:h31</t>
  </si>
  <si>
    <t>class</t>
  </si>
  <si>
    <t>hardtail</t>
  </si>
  <si>
    <t>handlebar</t>
  </si>
  <si>
    <t>drop bar</t>
  </si>
  <si>
    <t>fork</t>
  </si>
  <si>
    <t>rigid</t>
  </si>
  <si>
    <t>USD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</si>
  <si>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</si>
  <si>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</si>
  <si>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</si>
  <si>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</si>
  <si>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</si>
  <si>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</si>
  <si>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</si>
  <si>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</si>
  <si>
    <t>titanium</t>
  </si>
  <si>
    <t>Yaupon Titanium</t>
  </si>
  <si>
    <t>https://images.squarespace-cdn.com/content/v1/52f98c74e4b097d8674dc15e/1686239765783-TVGR3CX0OQVT4DQMYOL0/Ti+XL+Yaupon.jpeg?format=2500w</t>
  </si>
  <si>
    <t>https://chumbausa.com/yaupon-titanium-mountain-bike-29er-27plus</t>
  </si>
  <si>
    <t>threaded 73</t>
  </si>
  <si>
    <t>1106-1126</t>
  </si>
  <si>
    <t>1126-1146</t>
  </si>
  <si>
    <t>1136-1156</t>
  </si>
  <si>
    <t>1147-1167</t>
  </si>
  <si>
    <t>1158-1178</t>
  </si>
  <si>
    <t>1169-1189</t>
  </si>
  <si>
    <t>Enve Mtn Boost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</si>
</sst>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A21" workbookViewId="0">
      <selection activeCell="H18" sqref="H18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124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126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107</v>
      </c>
    </row>
    <row r="8" spans="1:16" ht="24" x14ac:dyDescent="0.3">
      <c r="A8" t="s">
        <v>7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84</v>
      </c>
      <c r="O8" s="2" t="s">
        <v>85</v>
      </c>
      <c r="P8" s="2" t="s">
        <v>8</v>
      </c>
    </row>
    <row r="9" spans="1:16" ht="21" x14ac:dyDescent="0.3">
      <c r="A9" t="s">
        <v>9</v>
      </c>
      <c r="B9" t="s">
        <v>10</v>
      </c>
      <c r="C9">
        <v>575</v>
      </c>
      <c r="D9">
        <v>600</v>
      </c>
      <c r="E9">
        <v>610</v>
      </c>
      <c r="F9">
        <v>620</v>
      </c>
      <c r="G9">
        <v>630</v>
      </c>
      <c r="H9">
        <v>640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11</v>
      </c>
      <c r="B10" t="s">
        <v>12</v>
      </c>
      <c r="C10">
        <v>68</v>
      </c>
      <c r="D10">
        <v>68</v>
      </c>
      <c r="E10">
        <v>68</v>
      </c>
      <c r="F10">
        <v>68</v>
      </c>
      <c r="G10">
        <v>68</v>
      </c>
      <c r="H10">
        <v>68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13</v>
      </c>
      <c r="B11" t="s">
        <v>14</v>
      </c>
      <c r="C11">
        <v>95</v>
      </c>
      <c r="D11">
        <v>110</v>
      </c>
      <c r="E11">
        <v>115</v>
      </c>
      <c r="F11">
        <v>120</v>
      </c>
      <c r="G11">
        <v>130</v>
      </c>
      <c r="H11">
        <v>140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15</v>
      </c>
      <c r="B12" t="s">
        <v>16</v>
      </c>
      <c r="C12">
        <v>74</v>
      </c>
      <c r="D12">
        <v>73.5</v>
      </c>
      <c r="E12">
        <v>73.5</v>
      </c>
      <c r="F12">
        <v>73.5</v>
      </c>
      <c r="G12">
        <v>73.5</v>
      </c>
      <c r="H12">
        <v>73.5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17</v>
      </c>
      <c r="B13" t="s">
        <v>18</v>
      </c>
      <c r="C13">
        <f>I13*25.4</f>
        <v>381</v>
      </c>
      <c r="D13">
        <f t="shared" ref="D13:H13" si="0">J13*25.4</f>
        <v>412.75</v>
      </c>
      <c r="E13">
        <f t="shared" si="0"/>
        <v>412.75</v>
      </c>
      <c r="F13">
        <f t="shared" si="0"/>
        <v>463.54999999999995</v>
      </c>
      <c r="G13">
        <f t="shared" si="0"/>
        <v>463.54999999999995</v>
      </c>
      <c r="H13">
        <f t="shared" si="0"/>
        <v>514.35</v>
      </c>
      <c r="I13">
        <v>15</v>
      </c>
      <c r="J13">
        <v>16.25</v>
      </c>
      <c r="K13">
        <v>16.25</v>
      </c>
      <c r="L13">
        <v>18.25</v>
      </c>
      <c r="M13">
        <v>18.25</v>
      </c>
      <c r="N13">
        <v>20.25</v>
      </c>
      <c r="O13" s="3"/>
      <c r="P13" s="3"/>
    </row>
    <row r="14" spans="1:16" ht="21" x14ac:dyDescent="0.3">
      <c r="A14" t="s">
        <v>19</v>
      </c>
      <c r="B14" t="s">
        <v>20</v>
      </c>
      <c r="C14">
        <f>VALUE(LEFT(I14,3))</f>
        <v>440</v>
      </c>
      <c r="D14">
        <f t="shared" ref="D14:H14" si="1">VALUE(LEFT(J14,3))</f>
        <v>440</v>
      </c>
      <c r="E14">
        <f t="shared" si="1"/>
        <v>440</v>
      </c>
      <c r="F14">
        <f t="shared" si="1"/>
        <v>440</v>
      </c>
      <c r="G14">
        <f t="shared" si="1"/>
        <v>440</v>
      </c>
      <c r="H14">
        <f t="shared" si="1"/>
        <v>440</v>
      </c>
      <c r="I14" t="s">
        <v>101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s="3"/>
      <c r="P14" s="3"/>
    </row>
    <row r="15" spans="1:16" ht="21" x14ac:dyDescent="0.3">
      <c r="A15" t="s">
        <v>21</v>
      </c>
      <c r="B15" t="s">
        <v>22</v>
      </c>
      <c r="C15">
        <v>60</v>
      </c>
      <c r="D15">
        <v>60</v>
      </c>
      <c r="E15">
        <v>60</v>
      </c>
      <c r="F15">
        <v>60</v>
      </c>
      <c r="G15">
        <v>60</v>
      </c>
      <c r="H15">
        <v>60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23</v>
      </c>
      <c r="B16" t="s">
        <v>24</v>
      </c>
      <c r="C16">
        <f>VALUE(LEFT(I16,4))</f>
        <v>1106</v>
      </c>
      <c r="D16">
        <f t="shared" ref="D16:H16" si="2">VALUE(LEFT(J16,4))</f>
        <v>1126</v>
      </c>
      <c r="E16">
        <f t="shared" si="2"/>
        <v>1136</v>
      </c>
      <c r="F16">
        <f t="shared" si="2"/>
        <v>1147</v>
      </c>
      <c r="G16">
        <f t="shared" si="2"/>
        <v>1158</v>
      </c>
      <c r="H16">
        <f t="shared" si="2"/>
        <v>1169</v>
      </c>
      <c r="I16" t="s">
        <v>128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s="3"/>
      <c r="P16" s="3"/>
    </row>
    <row r="17" spans="1:16" ht="21" x14ac:dyDescent="0.3">
      <c r="A17" t="s">
        <v>25</v>
      </c>
      <c r="B17" t="s">
        <v>26</v>
      </c>
      <c r="C17">
        <v>28.8</v>
      </c>
      <c r="D17">
        <v>29.8</v>
      </c>
      <c r="E17">
        <v>29.8</v>
      </c>
      <c r="F17">
        <v>31.3</v>
      </c>
      <c r="G17">
        <v>31.4</v>
      </c>
      <c r="H17">
        <v>32.9</v>
      </c>
      <c r="J17" s="3"/>
      <c r="K17" s="3"/>
      <c r="L17" s="3"/>
      <c r="M17" s="3"/>
      <c r="N17" s="3"/>
      <c r="O17" s="3"/>
      <c r="P17" s="3"/>
    </row>
    <row r="18" spans="1:16" ht="21" x14ac:dyDescent="0.3">
      <c r="A18" t="s">
        <v>27</v>
      </c>
      <c r="B18" t="s">
        <v>28</v>
      </c>
      <c r="C18">
        <v>391</v>
      </c>
      <c r="D18">
        <v>406</v>
      </c>
      <c r="E18">
        <v>414</v>
      </c>
      <c r="F18">
        <v>423</v>
      </c>
      <c r="G18">
        <v>431</v>
      </c>
      <c r="H18">
        <v>438</v>
      </c>
      <c r="J18" s="3"/>
      <c r="K18" s="3"/>
      <c r="L18" s="3"/>
      <c r="M18" s="3"/>
      <c r="N18" s="3"/>
      <c r="O18" s="3"/>
      <c r="P18" s="3"/>
    </row>
    <row r="19" spans="1:16" ht="21" x14ac:dyDescent="0.3">
      <c r="A19" t="s">
        <v>29</v>
      </c>
      <c r="B19" t="s">
        <v>30</v>
      </c>
      <c r="C19">
        <v>632</v>
      </c>
      <c r="D19">
        <v>646</v>
      </c>
      <c r="E19">
        <v>651</v>
      </c>
      <c r="F19">
        <v>656</v>
      </c>
      <c r="G19">
        <v>665</v>
      </c>
      <c r="H19">
        <v>674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I20" s="1" t="s">
        <v>134</v>
      </c>
      <c r="J20" s="3"/>
      <c r="K20" s="3"/>
      <c r="L20" s="3"/>
      <c r="M20" s="3"/>
      <c r="N20" s="3"/>
      <c r="O20" s="3"/>
      <c r="P20" s="3"/>
    </row>
    <row r="21" spans="1:16" ht="21" x14ac:dyDescent="0.3">
      <c r="A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/>
      <c r="K21" s="3"/>
      <c r="L21" s="3"/>
      <c r="M21" s="3"/>
      <c r="N21" s="3"/>
      <c r="O21" s="3"/>
      <c r="P21" s="3"/>
    </row>
    <row r="22" spans="1:16" ht="21" x14ac:dyDescent="0.3">
      <c r="A22" s="1" t="s">
        <v>106</v>
      </c>
      <c r="J22" s="3"/>
      <c r="K22" s="3"/>
      <c r="L22" s="3"/>
      <c r="M22" s="3"/>
      <c r="N22" s="3"/>
      <c r="O22" s="3"/>
      <c r="P22" s="3"/>
    </row>
    <row r="23" spans="1:16" x14ac:dyDescent="0.3">
      <c r="A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2.4</v>
      </c>
      <c r="D28">
        <v>2.4</v>
      </c>
      <c r="E28">
        <v>2.4</v>
      </c>
      <c r="F28">
        <v>2.4</v>
      </c>
      <c r="G28">
        <v>2.4</v>
      </c>
      <c r="H28">
        <v>2.4</v>
      </c>
    </row>
    <row r="29" spans="1:16" x14ac:dyDescent="0.3">
      <c r="A29" t="s">
        <v>39</v>
      </c>
      <c r="B29" t="s">
        <v>39</v>
      </c>
      <c r="C29">
        <v>2.6</v>
      </c>
      <c r="D29">
        <v>2.6</v>
      </c>
      <c r="E29">
        <v>2.6</v>
      </c>
      <c r="F29">
        <v>2.6</v>
      </c>
      <c r="G29">
        <v>2.6</v>
      </c>
      <c r="H29">
        <v>2.6</v>
      </c>
    </row>
    <row r="30" spans="1:16" x14ac:dyDescent="0.3">
      <c r="A30" t="s">
        <v>40</v>
      </c>
      <c r="C30">
        <f>C32*2.54</f>
        <v>162.56</v>
      </c>
      <c r="D30">
        <f t="shared" ref="D30:H31" si="3">D32*2.54</f>
        <v>170.18</v>
      </c>
      <c r="E30">
        <f t="shared" si="3"/>
        <v>175.26</v>
      </c>
      <c r="F30">
        <f t="shared" si="3"/>
        <v>180.34</v>
      </c>
      <c r="G30">
        <f t="shared" si="3"/>
        <v>185.42000000000002</v>
      </c>
      <c r="H30">
        <f t="shared" si="3"/>
        <v>187.96</v>
      </c>
    </row>
    <row r="31" spans="1:16" x14ac:dyDescent="0.3">
      <c r="A31" t="s">
        <v>41</v>
      </c>
      <c r="C31">
        <f>C33*2.54</f>
        <v>167.64000000000001</v>
      </c>
      <c r="D31">
        <f t="shared" si="3"/>
        <v>175.26</v>
      </c>
      <c r="E31">
        <f t="shared" si="3"/>
        <v>177.8</v>
      </c>
      <c r="F31">
        <f t="shared" si="3"/>
        <v>185.42000000000002</v>
      </c>
      <c r="G31">
        <f t="shared" si="3"/>
        <v>187.96</v>
      </c>
      <c r="H31">
        <f t="shared" si="3"/>
        <v>193.04</v>
      </c>
    </row>
    <row r="32" spans="1:16" x14ac:dyDescent="0.3">
      <c r="C32">
        <v>64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9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76</v>
      </c>
    </row>
    <row r="34" spans="1:9" x14ac:dyDescent="0.3">
      <c r="A34" t="s">
        <v>108</v>
      </c>
      <c r="B34" t="s">
        <v>109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  <c r="I34" t="s">
        <v>86</v>
      </c>
    </row>
    <row r="35" spans="1:9" x14ac:dyDescent="0.3">
      <c r="A35" t="s">
        <v>110</v>
      </c>
      <c r="B35" t="s">
        <v>111</v>
      </c>
      <c r="C35" t="s">
        <v>94</v>
      </c>
      <c r="D35" t="s">
        <v>95</v>
      </c>
      <c r="E35" t="s">
        <v>95</v>
      </c>
      <c r="F35" t="s">
        <v>96</v>
      </c>
      <c r="G35" t="s">
        <v>96</v>
      </c>
      <c r="H35" t="s">
        <v>97</v>
      </c>
      <c r="I35" t="s">
        <v>93</v>
      </c>
    </row>
    <row r="36" spans="1:9" x14ac:dyDescent="0.3">
      <c r="A36" t="s">
        <v>112</v>
      </c>
      <c r="B36" s="1" t="s">
        <v>113</v>
      </c>
      <c r="C36" t="s">
        <v>99</v>
      </c>
      <c r="D36" t="s">
        <v>99</v>
      </c>
      <c r="E36" t="s">
        <v>99</v>
      </c>
      <c r="F36" t="s">
        <v>99</v>
      </c>
      <c r="G36" t="s">
        <v>94</v>
      </c>
      <c r="H36" t="s">
        <v>100</v>
      </c>
      <c r="I36" t="s">
        <v>98</v>
      </c>
    </row>
    <row r="37" spans="1:9" x14ac:dyDescent="0.3">
      <c r="A37" t="s">
        <v>44</v>
      </c>
      <c r="B37" s="1" t="s">
        <v>123</v>
      </c>
    </row>
    <row r="38" spans="1:9" x14ac:dyDescent="0.3">
      <c r="A38" t="s">
        <v>45</v>
      </c>
      <c r="B38" s="1" t="s">
        <v>79</v>
      </c>
    </row>
    <row r="39" spans="1:9" x14ac:dyDescent="0.3">
      <c r="A39" t="s">
        <v>46</v>
      </c>
      <c r="B39">
        <v>20</v>
      </c>
    </row>
    <row r="40" spans="1:9" x14ac:dyDescent="0.3">
      <c r="A40" t="s">
        <v>47</v>
      </c>
      <c r="B40">
        <v>2.6</v>
      </c>
    </row>
    <row r="41" spans="1:9" x14ac:dyDescent="0.3">
      <c r="A41" t="s">
        <v>48</v>
      </c>
    </row>
    <row r="42" spans="1:9" x14ac:dyDescent="0.3">
      <c r="A42" t="s">
        <v>49</v>
      </c>
      <c r="B42">
        <v>120</v>
      </c>
    </row>
    <row r="43" spans="1:9" x14ac:dyDescent="0.3">
      <c r="A43" t="s">
        <v>50</v>
      </c>
      <c r="B43" s="1"/>
    </row>
    <row r="44" spans="1:9" x14ac:dyDescent="0.3">
      <c r="A44" t="s">
        <v>51</v>
      </c>
    </row>
    <row r="45" spans="1:9" x14ac:dyDescent="0.3">
      <c r="A45" t="s">
        <v>52</v>
      </c>
    </row>
    <row r="46" spans="1:9" x14ac:dyDescent="0.3">
      <c r="A46" t="s">
        <v>53</v>
      </c>
      <c r="B46">
        <v>148</v>
      </c>
    </row>
    <row r="47" spans="1:9" x14ac:dyDescent="0.3">
      <c r="A47" t="s">
        <v>54</v>
      </c>
      <c r="B47">
        <v>110</v>
      </c>
    </row>
    <row r="48" spans="1:9" x14ac:dyDescent="0.3">
      <c r="A48" t="s">
        <v>117</v>
      </c>
    </row>
    <row r="49" spans="1:2" x14ac:dyDescent="0.3">
      <c r="A49" t="s">
        <v>118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55</v>
      </c>
      <c r="B54" s="1" t="s">
        <v>127</v>
      </c>
    </row>
    <row r="55" spans="1:2" x14ac:dyDescent="0.3">
      <c r="A55" t="s">
        <v>56</v>
      </c>
    </row>
    <row r="56" spans="1:2" x14ac:dyDescent="0.3">
      <c r="A56" t="s">
        <v>57</v>
      </c>
      <c r="B56">
        <v>31.6</v>
      </c>
    </row>
    <row r="57" spans="1:2" x14ac:dyDescent="0.3">
      <c r="A57" t="s">
        <v>58</v>
      </c>
      <c r="B57" s="1" t="s">
        <v>102</v>
      </c>
    </row>
    <row r="58" spans="1:2" x14ac:dyDescent="0.3">
      <c r="A58" t="s">
        <v>59</v>
      </c>
      <c r="B58">
        <v>38</v>
      </c>
    </row>
    <row r="59" spans="1:2" x14ac:dyDescent="0.3">
      <c r="A59" t="s">
        <v>60</v>
      </c>
    </row>
    <row r="60" spans="1:2" x14ac:dyDescent="0.3">
      <c r="A60" t="s">
        <v>61</v>
      </c>
    </row>
    <row r="61" spans="1:2" x14ac:dyDescent="0.3">
      <c r="A61" t="s">
        <v>62</v>
      </c>
    </row>
    <row r="62" spans="1:2" x14ac:dyDescent="0.3">
      <c r="A62" t="s">
        <v>63</v>
      </c>
    </row>
    <row r="63" spans="1:2" x14ac:dyDescent="0.3">
      <c r="A63" t="s">
        <v>64</v>
      </c>
      <c r="B63" s="1" t="s">
        <v>104</v>
      </c>
    </row>
    <row r="64" spans="1:2" x14ac:dyDescent="0.3">
      <c r="A64" t="s">
        <v>65</v>
      </c>
      <c r="B64" s="1" t="s">
        <v>103</v>
      </c>
    </row>
    <row r="65" spans="1:3" x14ac:dyDescent="0.3">
      <c r="A65" t="s">
        <v>66</v>
      </c>
    </row>
    <row r="66" spans="1:3" x14ac:dyDescent="0.3">
      <c r="A66" t="s">
        <v>67</v>
      </c>
    </row>
    <row r="67" spans="1:3" x14ac:dyDescent="0.3">
      <c r="A67" t="s">
        <v>68</v>
      </c>
      <c r="B67">
        <v>3</v>
      </c>
    </row>
    <row r="68" spans="1:3" x14ac:dyDescent="0.3">
      <c r="A68" t="s">
        <v>69</v>
      </c>
      <c r="B68">
        <v>1</v>
      </c>
      <c r="C68" s="1" t="s">
        <v>105</v>
      </c>
    </row>
    <row r="69" spans="1:3" x14ac:dyDescent="0.3">
      <c r="A69" t="s">
        <v>70</v>
      </c>
      <c r="B69" s="1" t="s">
        <v>79</v>
      </c>
      <c r="C69" s="1" t="s">
        <v>105</v>
      </c>
    </row>
    <row r="70" spans="1:3" x14ac:dyDescent="0.3">
      <c r="A70" t="s">
        <v>71</v>
      </c>
    </row>
    <row r="71" spans="1:3" x14ac:dyDescent="0.3">
      <c r="A71" t="s">
        <v>72</v>
      </c>
    </row>
    <row r="72" spans="1:3" x14ac:dyDescent="0.3">
      <c r="A72" t="s">
        <v>73</v>
      </c>
    </row>
    <row r="73" spans="1:3" x14ac:dyDescent="0.3">
      <c r="A73" t="s">
        <v>74</v>
      </c>
    </row>
    <row r="74" spans="1:3" x14ac:dyDescent="0.3">
      <c r="A74" t="s">
        <v>75</v>
      </c>
      <c r="B74">
        <v>1695</v>
      </c>
    </row>
    <row r="75" spans="1:3" x14ac:dyDescent="0.3">
      <c r="A75" t="s">
        <v>76</v>
      </c>
    </row>
    <row r="76" spans="1:3" x14ac:dyDescent="0.3">
      <c r="A76" t="s">
        <v>77</v>
      </c>
      <c r="B76" s="1" t="s">
        <v>79</v>
      </c>
    </row>
    <row r="77" spans="1:3" x14ac:dyDescent="0.3">
      <c r="A77" t="s">
        <v>78</v>
      </c>
      <c r="B77" s="1" t="s">
        <v>114</v>
      </c>
    </row>
    <row r="78" spans="1:3" x14ac:dyDescent="0.3">
      <c r="A78" t="s">
        <v>115</v>
      </c>
      <c r="B78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2025-11-08T14:06:22Z</dcterms:modified>
</cp:coreProperties>
</file>