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AB5D224F-10D4-8047-921E-87DF7BEB2D9A}" xr6:coauthVersionLast="47" xr6:coauthVersionMax="47" xr10:uidLastSave="{00000000-0000-0000-0000-000000000000}"/>
  <bookViews>
    <workbookView xWindow="37140" yWindow="-23540" windowWidth="25400" windowHeight="172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" l="1"/>
  <c r="J10" i="1"/>
  <c r="K10" i="1"/>
  <c r="H10" i="1"/>
</calcChain>
</file>

<file path=xl/sharedStrings.xml><?xml version="1.0" encoding="utf-8"?>
<sst xmlns="http://schemas.openxmlformats.org/spreadsheetml/2006/main" count="115" uniqueCount="111">
  <si>
    <t>brand</t>
  </si>
  <si>
    <t>model</t>
  </si>
  <si>
    <t>model_year</t>
  </si>
  <si>
    <t>input_date</t>
  </si>
  <si>
    <t>url</t>
  </si>
  <si>
    <t>data_range</t>
  </si>
  <si>
    <t>frame_size</t>
  </si>
  <si>
    <t>XL</t>
  </si>
  <si>
    <t>top_tube_effective_length</t>
  </si>
  <si>
    <t>head_tube_angle</t>
  </si>
  <si>
    <t>head_tube_length</t>
  </si>
  <si>
    <t>seat_tube_angle</t>
  </si>
  <si>
    <t>seat_tube_length</t>
  </si>
  <si>
    <t>chainstay_length</t>
  </si>
  <si>
    <t>bottom_bracket_drop</t>
  </si>
  <si>
    <t>wheelbase</t>
  </si>
  <si>
    <t>standover</t>
  </si>
  <si>
    <t>reach</t>
  </si>
  <si>
    <t>stack</t>
  </si>
  <si>
    <t>axle_crown</t>
  </si>
  <si>
    <t>fork_offset_rake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</si>
  <si>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</si>
  <si>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</si>
  <si>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</si>
  <si>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</si>
  <si>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</si>
  <si>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</si>
  <si>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</si>
  <si>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</si>
  <si>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</si>
  <si>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</si>
  <si>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</si>
  <si>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</si>
  <si>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</si>
  <si>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</si>
  <si>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</si>
  <si>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</si>
  <si>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</si>
  <si>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</si>
  <si>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</si>
  <si>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</si>
  <si>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</si>
  <si>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</si>
  <si>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</si>
  <si>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</si>
  <si>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</si>
  <si>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</si>
  <si>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</si>
  <si>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</si>
  <si>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</si>
  <si>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</si>
  <si>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</si>
  <si>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</si>
  <si>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</si>
  <si>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</si>
  <si>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</si>
  <si>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</si>
  <si>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</si>
  <si>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</si>
  <si>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</si>
  <si>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</si>
  <si>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</si>
  <si>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</si>
  <si>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</si>
  <si>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</si>
  <si>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</si>
  <si>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</si>
  <si>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L/XL</t>
  </si>
  <si>
    <t>trail</t>
  </si>
  <si>
    <t>class</t>
  </si>
  <si>
    <t>handlebar</t>
  </si>
  <si>
    <t>drop bar</t>
  </si>
  <si>
    <t>fork</t>
  </si>
  <si>
    <t>rigid</t>
  </si>
  <si>
    <t>location</t>
  </si>
  <si>
    <t>head_tube_d</t>
  </si>
  <si>
    <t>headset_upper</t>
  </si>
  <si>
    <t>headset_lower</t>
  </si>
  <si>
    <t>fork_steerer</t>
  </si>
  <si>
    <t>fork_steerer_d</t>
  </si>
  <si>
    <t>fork_material</t>
  </si>
  <si>
    <t>gravel</t>
  </si>
  <si>
    <t>yes</t>
  </si>
  <si>
    <t>EUR</t>
  </si>
  <si>
    <t>carbon</t>
  </si>
  <si>
    <t>front_center</t>
  </si>
  <si>
    <t>integrated</t>
  </si>
  <si>
    <t>8Bar</t>
  </si>
  <si>
    <t>X-Small</t>
  </si>
  <si>
    <t>Small</t>
  </si>
  <si>
    <t>Medium</t>
  </si>
  <si>
    <t>Large</t>
  </si>
  <si>
    <t>A seat tube C-T mm</t>
  </si>
  <si>
    <t>B top tube – horizontal mm</t>
  </si>
  <si>
    <t>C head tube mm</t>
  </si>
  <si>
    <t>D chain stay mm</t>
  </si>
  <si>
    <t>E head tube angle °</t>
  </si>
  <si>
    <t>F seat tube angle °</t>
  </si>
  <si>
    <t>G BB drop mm</t>
  </si>
  <si>
    <t>H wheel base mm</t>
  </si>
  <si>
    <t>I reach mm</t>
  </si>
  <si>
    <t>K stack mm</t>
  </si>
  <si>
    <t>L Stand over height mm</t>
  </si>
  <si>
    <t>frame size</t>
  </si>
  <si>
    <t>Mitte Carbon V1 2in1</t>
  </si>
  <si>
    <t>frame only</t>
  </si>
  <si>
    <t>https://8bar-bikes.com/shop/8bar-mitte-carbon-v1-2in1-gravel-x-road-dropbar/#bike-category</t>
  </si>
  <si>
    <t>https://8bar-bikes.com/wp-content/uploads/2025/10/mitte-carbon-CB-artikelbild.jpg</t>
  </si>
  <si>
    <t>a8:f32</t>
  </si>
  <si>
    <t>Berlin, Germany</t>
  </si>
  <si>
    <t>https://8bar-bikes.com/shop/2in1-gravel-x-all-road-internal-carbon-disc-fork/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</si>
</sst>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8"/>
      <color rgb="FFFFFFFF"/>
      <name val="Arial"/>
      <family val="2"/>
    </font>
    <font>
      <sz val="15"/>
      <color rgb="FF808080"/>
      <name val="Arial"/>
      <family val="2"/>
    </font>
    <font>
      <sz val="14"/>
      <name val="Futura Medium"/>
    </font>
    <font>
      <sz val="14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5" fontId="0" fillId="0" borderId="0" xfId="0" applyNumberForma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9"/>
  <sheetViews>
    <sheetView tabSelected="1" workbookViewId="0">
      <selection activeCell="B5" sqref="B5"/>
    </sheetView>
  </sheetViews>
  <sheetFormatPr baseColWidth="10" defaultRowHeight="20" x14ac:dyDescent="0.3"/>
  <cols>
    <col min="1" max="2" width="19.6640625" customWidth="1"/>
  </cols>
  <sheetData>
    <row r="1" spans="1:16" x14ac:dyDescent="0.3">
      <c r="A1" t="s">
        <v>0</v>
      </c>
      <c r="B1" s="1" t="s">
        <v>87</v>
      </c>
    </row>
    <row r="2" spans="1:16" x14ac:dyDescent="0.3">
      <c r="A2" t="s">
        <v>1</v>
      </c>
      <c r="B2" s="1" t="s">
        <v>104</v>
      </c>
    </row>
    <row r="3" spans="1:16" x14ac:dyDescent="0.3">
      <c r="A3" t="s">
        <v>2</v>
      </c>
      <c r="B3">
        <v>2025</v>
      </c>
    </row>
    <row r="4" spans="1:16" x14ac:dyDescent="0.3">
      <c r="A4" t="s">
        <v>3</v>
      </c>
      <c r="B4" s="4">
        <v>45969</v>
      </c>
    </row>
    <row r="5" spans="1:16" x14ac:dyDescent="0.3">
      <c r="A5" t="s">
        <v>4</v>
      </c>
      <c r="B5" t="s">
        <v>106</v>
      </c>
    </row>
    <row r="6" spans="1:16" x14ac:dyDescent="0.3">
      <c r="B6" t="s">
        <v>107</v>
      </c>
    </row>
    <row r="7" spans="1:16" x14ac:dyDescent="0.3">
      <c r="A7" t="s">
        <v>5</v>
      </c>
      <c r="B7" s="1" t="s">
        <v>108</v>
      </c>
      <c r="H7" s="1"/>
    </row>
    <row r="8" spans="1:16" ht="24" x14ac:dyDescent="0.3">
      <c r="A8" t="s">
        <v>6</v>
      </c>
      <c r="B8" s="1" t="s">
        <v>103</v>
      </c>
      <c r="C8" t="s">
        <v>88</v>
      </c>
      <c r="D8" s="5" t="s">
        <v>89</v>
      </c>
      <c r="E8" s="6" t="s">
        <v>90</v>
      </c>
      <c r="F8" s="6" t="s">
        <v>91</v>
      </c>
      <c r="I8" s="5"/>
      <c r="J8" s="5"/>
      <c r="K8" s="5"/>
      <c r="L8" s="5"/>
      <c r="N8" s="2"/>
      <c r="O8" s="2" t="s">
        <v>67</v>
      </c>
      <c r="P8" s="2" t="s">
        <v>7</v>
      </c>
    </row>
    <row r="9" spans="1:16" ht="21" x14ac:dyDescent="0.3">
      <c r="A9" t="s">
        <v>12</v>
      </c>
      <c r="B9" s="6" t="s">
        <v>92</v>
      </c>
      <c r="C9" s="6">
        <v>461</v>
      </c>
      <c r="D9" s="6">
        <v>491</v>
      </c>
      <c r="E9" s="5">
        <v>521</v>
      </c>
      <c r="F9" s="6">
        <v>551</v>
      </c>
      <c r="I9" s="6"/>
      <c r="J9" s="6"/>
      <c r="K9" s="6"/>
      <c r="L9" s="6"/>
      <c r="M9" s="1"/>
      <c r="N9" s="3"/>
      <c r="O9" s="3"/>
      <c r="P9" s="3"/>
    </row>
    <row r="10" spans="1:16" ht="21" x14ac:dyDescent="0.3">
      <c r="A10" t="s">
        <v>8</v>
      </c>
      <c r="B10" s="6" t="s">
        <v>93</v>
      </c>
      <c r="C10" s="6">
        <v>513</v>
      </c>
      <c r="D10" s="6">
        <v>533</v>
      </c>
      <c r="E10" s="5">
        <v>553</v>
      </c>
      <c r="F10" s="6">
        <v>576</v>
      </c>
      <c r="H10">
        <f>C17 + C18/TAN(C14*PI()/180)</f>
        <v>537.95445321746593</v>
      </c>
      <c r="I10">
        <f t="shared" ref="I10:K10" si="0">D17 + D18/TAN(D14*PI()/180)</f>
        <v>552.54041343934591</v>
      </c>
      <c r="J10">
        <f t="shared" si="0"/>
        <v>567.73783502414312</v>
      </c>
      <c r="K10">
        <f t="shared" si="0"/>
        <v>585.38110206060969</v>
      </c>
      <c r="L10" s="6"/>
      <c r="N10" s="3"/>
      <c r="O10" s="3"/>
      <c r="P10" s="3"/>
    </row>
    <row r="11" spans="1:16" ht="21" x14ac:dyDescent="0.3">
      <c r="A11" t="s">
        <v>10</v>
      </c>
      <c r="B11" s="6" t="s">
        <v>94</v>
      </c>
      <c r="C11" s="6">
        <v>102</v>
      </c>
      <c r="D11" s="6">
        <v>114</v>
      </c>
      <c r="E11" s="5">
        <v>130</v>
      </c>
      <c r="F11" s="6">
        <v>154</v>
      </c>
      <c r="I11" s="6"/>
      <c r="J11" s="6"/>
      <c r="K11" s="6"/>
      <c r="L11" s="6"/>
      <c r="N11" s="3"/>
      <c r="O11" s="3"/>
      <c r="P11" s="3"/>
    </row>
    <row r="12" spans="1:16" ht="21" x14ac:dyDescent="0.3">
      <c r="A12" s="1" t="s">
        <v>13</v>
      </c>
      <c r="B12" s="6" t="s">
        <v>95</v>
      </c>
      <c r="C12" s="6">
        <v>420</v>
      </c>
      <c r="D12" s="6">
        <v>420</v>
      </c>
      <c r="E12" s="5">
        <v>420</v>
      </c>
      <c r="F12" s="6">
        <v>420</v>
      </c>
      <c r="I12" s="6"/>
      <c r="J12" s="6"/>
      <c r="K12" s="6"/>
      <c r="L12" s="6"/>
      <c r="N12" s="3"/>
      <c r="O12" s="3"/>
      <c r="P12" s="3"/>
    </row>
    <row r="13" spans="1:16" ht="21" x14ac:dyDescent="0.3">
      <c r="A13" t="s">
        <v>9</v>
      </c>
      <c r="B13" s="6" t="s">
        <v>96</v>
      </c>
      <c r="C13" s="6">
        <v>70</v>
      </c>
      <c r="D13" s="6">
        <v>71</v>
      </c>
      <c r="E13" s="5">
        <v>71</v>
      </c>
      <c r="F13" s="6">
        <v>72</v>
      </c>
      <c r="I13" s="6"/>
      <c r="J13" s="6"/>
      <c r="K13" s="6"/>
      <c r="L13" s="6"/>
      <c r="O13" s="3"/>
      <c r="P13" s="3"/>
    </row>
    <row r="14" spans="1:16" ht="21" x14ac:dyDescent="0.3">
      <c r="A14" t="s">
        <v>11</v>
      </c>
      <c r="B14" s="6" t="s">
        <v>97</v>
      </c>
      <c r="C14" s="6">
        <v>73</v>
      </c>
      <c r="D14" s="6">
        <v>73</v>
      </c>
      <c r="E14" s="5">
        <v>73</v>
      </c>
      <c r="F14" s="6">
        <v>73</v>
      </c>
      <c r="I14" s="6"/>
      <c r="J14" s="6"/>
      <c r="K14" s="6"/>
      <c r="L14" s="6"/>
      <c r="O14" s="3"/>
      <c r="P14" s="3"/>
    </row>
    <row r="15" spans="1:16" ht="21" x14ac:dyDescent="0.3">
      <c r="A15" t="s">
        <v>14</v>
      </c>
      <c r="B15" s="6" t="s">
        <v>98</v>
      </c>
      <c r="C15" s="6">
        <v>77</v>
      </c>
      <c r="D15" s="6">
        <v>77</v>
      </c>
      <c r="E15" s="5">
        <v>77</v>
      </c>
      <c r="F15" s="6">
        <v>77</v>
      </c>
      <c r="I15" s="6"/>
      <c r="J15" s="6"/>
      <c r="K15" s="6"/>
      <c r="L15" s="6"/>
      <c r="N15" s="3"/>
      <c r="O15" s="3"/>
      <c r="P15" s="3"/>
    </row>
    <row r="16" spans="1:16" ht="21" x14ac:dyDescent="0.3">
      <c r="A16" s="1" t="s">
        <v>15</v>
      </c>
      <c r="B16" s="6" t="s">
        <v>99</v>
      </c>
      <c r="C16" s="6">
        <v>1005</v>
      </c>
      <c r="D16" s="6">
        <v>1011</v>
      </c>
      <c r="E16" s="5">
        <v>1022</v>
      </c>
      <c r="F16" s="6">
        <v>1035</v>
      </c>
      <c r="I16" s="6"/>
      <c r="J16" s="6"/>
      <c r="K16" s="6"/>
      <c r="L16" s="6"/>
      <c r="O16" s="3"/>
      <c r="P16" s="3"/>
    </row>
    <row r="17" spans="1:16" ht="21" x14ac:dyDescent="0.3">
      <c r="A17" t="s">
        <v>17</v>
      </c>
      <c r="B17" s="6" t="s">
        <v>100</v>
      </c>
      <c r="C17" s="6">
        <v>375</v>
      </c>
      <c r="D17" s="6">
        <v>385</v>
      </c>
      <c r="E17" s="5">
        <v>395</v>
      </c>
      <c r="F17" s="6">
        <v>405</v>
      </c>
      <c r="I17" s="6"/>
      <c r="J17" s="6"/>
      <c r="K17" s="6"/>
      <c r="L17" s="6"/>
      <c r="N17" s="3"/>
      <c r="O17" s="3"/>
      <c r="P17" s="3"/>
    </row>
    <row r="18" spans="1:16" ht="21" x14ac:dyDescent="0.3">
      <c r="A18" t="s">
        <v>18</v>
      </c>
      <c r="B18" s="6" t="s">
        <v>101</v>
      </c>
      <c r="C18" s="6">
        <v>533</v>
      </c>
      <c r="D18" s="6">
        <v>548</v>
      </c>
      <c r="E18" s="5">
        <v>565</v>
      </c>
      <c r="F18" s="6">
        <v>590</v>
      </c>
      <c r="I18" s="6"/>
      <c r="J18" s="6"/>
      <c r="K18" s="6"/>
      <c r="L18" s="6"/>
      <c r="N18" s="3"/>
      <c r="O18" s="3"/>
      <c r="P18" s="3"/>
    </row>
    <row r="19" spans="1:16" ht="21" x14ac:dyDescent="0.3">
      <c r="A19" t="s">
        <v>16</v>
      </c>
      <c r="B19" s="5" t="s">
        <v>102</v>
      </c>
      <c r="C19" s="5">
        <v>723</v>
      </c>
      <c r="D19" s="5">
        <v>748</v>
      </c>
      <c r="E19" s="5">
        <v>775</v>
      </c>
      <c r="F19" s="6">
        <v>803</v>
      </c>
      <c r="I19" s="6"/>
      <c r="J19" s="6"/>
      <c r="K19" s="6"/>
      <c r="L19" s="6"/>
      <c r="N19" s="3"/>
      <c r="O19" s="3"/>
      <c r="P19" s="3"/>
    </row>
    <row r="20" spans="1:16" ht="21" x14ac:dyDescent="0.3">
      <c r="A20" s="1" t="s">
        <v>85</v>
      </c>
      <c r="M20" s="3"/>
      <c r="N20" s="3"/>
      <c r="O20" s="3"/>
      <c r="P20" s="3"/>
    </row>
    <row r="21" spans="1:16" ht="21" x14ac:dyDescent="0.3">
      <c r="A21" t="s">
        <v>20</v>
      </c>
      <c r="C21" s="6">
        <v>48</v>
      </c>
      <c r="D21" s="6">
        <v>48</v>
      </c>
      <c r="E21" s="6">
        <v>48</v>
      </c>
      <c r="F21" s="6">
        <v>48</v>
      </c>
      <c r="G21" t="s">
        <v>110</v>
      </c>
      <c r="H21" s="6"/>
      <c r="I21" s="6"/>
      <c r="J21" s="6"/>
      <c r="K21" s="6"/>
      <c r="L21" s="6"/>
      <c r="M21" s="3"/>
      <c r="N21" s="3"/>
      <c r="O21" s="3"/>
      <c r="P21" s="3"/>
    </row>
    <row r="22" spans="1:16" ht="21" x14ac:dyDescent="0.3">
      <c r="A22" t="s">
        <v>19</v>
      </c>
      <c r="C22" s="6">
        <v>396</v>
      </c>
      <c r="D22" s="6">
        <v>396</v>
      </c>
      <c r="E22" s="6">
        <v>396</v>
      </c>
      <c r="F22" s="6">
        <v>396</v>
      </c>
      <c r="M22" s="3"/>
      <c r="N22" s="3"/>
      <c r="O22" s="3"/>
      <c r="P22" s="3"/>
    </row>
    <row r="23" spans="1:16" ht="21" x14ac:dyDescent="0.3">
      <c r="A23" s="1" t="s">
        <v>68</v>
      </c>
      <c r="M23" s="3"/>
      <c r="N23" s="3"/>
      <c r="O23" s="3"/>
      <c r="P23" s="3"/>
    </row>
    <row r="24" spans="1:16" x14ac:dyDescent="0.3">
      <c r="A24" t="s">
        <v>21</v>
      </c>
    </row>
    <row r="25" spans="1:16" x14ac:dyDescent="0.3">
      <c r="A25" t="s">
        <v>22</v>
      </c>
    </row>
    <row r="26" spans="1:16" x14ac:dyDescent="0.3">
      <c r="A26" t="s">
        <v>23</v>
      </c>
    </row>
    <row r="27" spans="1:16" x14ac:dyDescent="0.3">
      <c r="A27" t="s">
        <v>24</v>
      </c>
    </row>
    <row r="28" spans="1:16" x14ac:dyDescent="0.3">
      <c r="A28" t="s">
        <v>25</v>
      </c>
      <c r="C28">
        <v>700</v>
      </c>
      <c r="D28">
        <v>700</v>
      </c>
      <c r="E28">
        <v>700</v>
      </c>
      <c r="F28">
        <v>700</v>
      </c>
    </row>
    <row r="29" spans="1:16" x14ac:dyDescent="0.3">
      <c r="A29" t="s">
        <v>26</v>
      </c>
      <c r="C29">
        <v>45</v>
      </c>
      <c r="D29">
        <v>45</v>
      </c>
      <c r="E29">
        <v>45</v>
      </c>
      <c r="F29">
        <v>45</v>
      </c>
    </row>
    <row r="30" spans="1:16" x14ac:dyDescent="0.3">
      <c r="A30" t="s">
        <v>27</v>
      </c>
      <c r="C30">
        <v>45</v>
      </c>
      <c r="D30">
        <v>45</v>
      </c>
      <c r="E30">
        <v>45</v>
      </c>
      <c r="F30">
        <v>45</v>
      </c>
    </row>
    <row r="31" spans="1:16" x14ac:dyDescent="0.3">
      <c r="A31" t="s">
        <v>28</v>
      </c>
      <c r="C31">
        <v>150</v>
      </c>
      <c r="D31">
        <v>160</v>
      </c>
      <c r="E31">
        <v>170</v>
      </c>
      <c r="F31">
        <v>180</v>
      </c>
    </row>
    <row r="32" spans="1:16" x14ac:dyDescent="0.3">
      <c r="A32" t="s">
        <v>29</v>
      </c>
      <c r="C32">
        <v>163</v>
      </c>
      <c r="D32">
        <v>173</v>
      </c>
      <c r="E32">
        <v>183</v>
      </c>
      <c r="F32">
        <v>193</v>
      </c>
    </row>
    <row r="34" spans="1:3" x14ac:dyDescent="0.3">
      <c r="A34" t="s">
        <v>30</v>
      </c>
      <c r="B34" t="s">
        <v>31</v>
      </c>
    </row>
    <row r="35" spans="1:3" x14ac:dyDescent="0.3">
      <c r="A35" t="s">
        <v>69</v>
      </c>
      <c r="B35" s="1" t="s">
        <v>81</v>
      </c>
    </row>
    <row r="36" spans="1:3" x14ac:dyDescent="0.3">
      <c r="A36" t="s">
        <v>70</v>
      </c>
      <c r="B36" t="s">
        <v>71</v>
      </c>
    </row>
    <row r="37" spans="1:3" x14ac:dyDescent="0.3">
      <c r="A37" t="s">
        <v>72</v>
      </c>
      <c r="B37" s="1" t="s">
        <v>73</v>
      </c>
    </row>
    <row r="38" spans="1:3" x14ac:dyDescent="0.3">
      <c r="A38" t="s">
        <v>32</v>
      </c>
      <c r="B38" s="1" t="s">
        <v>84</v>
      </c>
    </row>
    <row r="39" spans="1:3" x14ac:dyDescent="0.3">
      <c r="A39" t="s">
        <v>33</v>
      </c>
      <c r="B39" s="1" t="s">
        <v>82</v>
      </c>
    </row>
    <row r="40" spans="1:3" x14ac:dyDescent="0.3">
      <c r="A40" t="s">
        <v>34</v>
      </c>
    </row>
    <row r="41" spans="1:3" x14ac:dyDescent="0.3">
      <c r="A41" t="s">
        <v>35</v>
      </c>
      <c r="B41">
        <v>45</v>
      </c>
      <c r="C41" s="1"/>
    </row>
    <row r="42" spans="1:3" x14ac:dyDescent="0.3">
      <c r="A42" t="s">
        <v>36</v>
      </c>
      <c r="B42">
        <v>50</v>
      </c>
    </row>
    <row r="43" spans="1:3" x14ac:dyDescent="0.3">
      <c r="A43" t="s">
        <v>37</v>
      </c>
    </row>
    <row r="44" spans="1:3" x14ac:dyDescent="0.3">
      <c r="A44" t="s">
        <v>38</v>
      </c>
      <c r="B44" s="1"/>
    </row>
    <row r="45" spans="1:3" x14ac:dyDescent="0.3">
      <c r="A45" t="s">
        <v>39</v>
      </c>
    </row>
    <row r="46" spans="1:3" x14ac:dyDescent="0.3">
      <c r="A46" t="s">
        <v>40</v>
      </c>
    </row>
    <row r="47" spans="1:3" x14ac:dyDescent="0.3">
      <c r="A47" t="s">
        <v>41</v>
      </c>
      <c r="B47">
        <v>142</v>
      </c>
    </row>
    <row r="48" spans="1:3" x14ac:dyDescent="0.3">
      <c r="A48" t="s">
        <v>42</v>
      </c>
      <c r="B48">
        <v>100</v>
      </c>
    </row>
    <row r="49" spans="1:2" x14ac:dyDescent="0.3">
      <c r="A49" t="s">
        <v>75</v>
      </c>
    </row>
    <row r="50" spans="1:2" x14ac:dyDescent="0.3">
      <c r="A50" t="s">
        <v>76</v>
      </c>
    </row>
    <row r="51" spans="1:2" x14ac:dyDescent="0.3">
      <c r="A51" t="s">
        <v>77</v>
      </c>
    </row>
    <row r="52" spans="1:2" x14ac:dyDescent="0.3">
      <c r="A52" t="s">
        <v>78</v>
      </c>
    </row>
    <row r="53" spans="1:2" x14ac:dyDescent="0.3">
      <c r="A53" t="s">
        <v>79</v>
      </c>
    </row>
    <row r="54" spans="1:2" x14ac:dyDescent="0.3">
      <c r="A54" t="s">
        <v>80</v>
      </c>
      <c r="B54" s="1" t="s">
        <v>84</v>
      </c>
    </row>
    <row r="55" spans="1:2" x14ac:dyDescent="0.3">
      <c r="A55" t="s">
        <v>43</v>
      </c>
      <c r="B55" s="1"/>
    </row>
    <row r="56" spans="1:2" x14ac:dyDescent="0.3">
      <c r="A56" t="s">
        <v>44</v>
      </c>
    </row>
    <row r="57" spans="1:2" x14ac:dyDescent="0.3">
      <c r="A57" t="s">
        <v>45</v>
      </c>
      <c r="B57">
        <v>27.2</v>
      </c>
    </row>
    <row r="58" spans="1:2" x14ac:dyDescent="0.3">
      <c r="A58" t="s">
        <v>46</v>
      </c>
      <c r="B58" s="1"/>
    </row>
    <row r="59" spans="1:2" x14ac:dyDescent="0.3">
      <c r="A59" t="s">
        <v>47</v>
      </c>
    </row>
    <row r="60" spans="1:2" x14ac:dyDescent="0.3">
      <c r="A60" t="s">
        <v>48</v>
      </c>
    </row>
    <row r="61" spans="1:2" x14ac:dyDescent="0.3">
      <c r="A61" t="s">
        <v>49</v>
      </c>
    </row>
    <row r="62" spans="1:2" x14ac:dyDescent="0.3">
      <c r="A62" t="s">
        <v>50</v>
      </c>
    </row>
    <row r="63" spans="1:2" x14ac:dyDescent="0.3">
      <c r="A63" t="s">
        <v>51</v>
      </c>
    </row>
    <row r="64" spans="1:2" x14ac:dyDescent="0.3">
      <c r="A64" t="s">
        <v>52</v>
      </c>
      <c r="B64" s="1" t="s">
        <v>86</v>
      </c>
    </row>
    <row r="65" spans="1:3" x14ac:dyDescent="0.3">
      <c r="A65" t="s">
        <v>53</v>
      </c>
      <c r="B65" s="1"/>
    </row>
    <row r="66" spans="1:3" x14ac:dyDescent="0.3">
      <c r="A66" t="s">
        <v>54</v>
      </c>
      <c r="B66" s="1"/>
    </row>
    <row r="67" spans="1:3" x14ac:dyDescent="0.3">
      <c r="A67" t="s">
        <v>55</v>
      </c>
    </row>
    <row r="68" spans="1:3" x14ac:dyDescent="0.3">
      <c r="A68" t="s">
        <v>56</v>
      </c>
      <c r="B68">
        <v>2</v>
      </c>
    </row>
    <row r="69" spans="1:3" x14ac:dyDescent="0.3">
      <c r="A69" t="s">
        <v>57</v>
      </c>
      <c r="B69">
        <v>1</v>
      </c>
      <c r="C69" s="1"/>
    </row>
    <row r="70" spans="1:3" x14ac:dyDescent="0.3">
      <c r="A70" t="s">
        <v>58</v>
      </c>
      <c r="B70" s="1">
        <v>1</v>
      </c>
      <c r="C70" s="1"/>
    </row>
    <row r="71" spans="1:3" x14ac:dyDescent="0.3">
      <c r="A71" t="s">
        <v>59</v>
      </c>
      <c r="B71" s="1"/>
    </row>
    <row r="72" spans="1:3" x14ac:dyDescent="0.3">
      <c r="A72" t="s">
        <v>60</v>
      </c>
      <c r="B72" s="1" t="s">
        <v>82</v>
      </c>
    </row>
    <row r="73" spans="1:3" x14ac:dyDescent="0.3">
      <c r="A73" t="s">
        <v>61</v>
      </c>
      <c r="B73" s="1" t="s">
        <v>82</v>
      </c>
    </row>
    <row r="74" spans="1:3" x14ac:dyDescent="0.3">
      <c r="A74" t="s">
        <v>62</v>
      </c>
      <c r="B74" s="1" t="s">
        <v>82</v>
      </c>
    </row>
    <row r="75" spans="1:3" x14ac:dyDescent="0.3">
      <c r="A75" t="s">
        <v>63</v>
      </c>
      <c r="B75">
        <v>2184</v>
      </c>
      <c r="C75" s="1" t="s">
        <v>105</v>
      </c>
    </row>
    <row r="76" spans="1:3" x14ac:dyDescent="0.3">
      <c r="A76" t="s">
        <v>64</v>
      </c>
      <c r="B76">
        <v>3235.29</v>
      </c>
    </row>
    <row r="77" spans="1:3" x14ac:dyDescent="0.3">
      <c r="A77" t="s">
        <v>65</v>
      </c>
      <c r="B77" s="1"/>
    </row>
    <row r="78" spans="1:3" x14ac:dyDescent="0.3">
      <c r="A78" t="s">
        <v>66</v>
      </c>
      <c r="B78" s="1" t="s">
        <v>83</v>
      </c>
    </row>
    <row r="79" spans="1:3" x14ac:dyDescent="0.3">
      <c r="A79" t="s">
        <v>74</v>
      </c>
      <c r="B79" t="s">
        <v>109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2025-07-26T17:59:00Z</dcterms:created>
  <dcterms:modified xsi:type="dcterms:W3CDTF">2025-11-18T21:11:15Z</dcterms:modified>
</cp:coreProperties>
</file>