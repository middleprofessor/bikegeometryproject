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4F1C6C-8896-4040-84B7-FA892F223CA5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9" i="1"/>
  <c r="E29" i="1"/>
  <c r="C29" i="1"/>
  <c r="E30" i="1"/>
  <c r="D30" i="1"/>
  <c r="C30" i="1"/>
  <c r="B41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<sst xmlns="http://schemas.openxmlformats.org/spreadsheetml/2006/main" count="115" uniqueCount="105">
  <si>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</si>
  <si>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</si>
  <si>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</si>
  <si>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</si>
  <si>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</si>
  <si>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</si>
  <si>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</si>
  <si>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</si>
  <si>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</si>
  <si>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</si>
  <si>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</si>
  <si>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</si>
  <si>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</si>
  <si>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</si>
  <si>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</si>
  <si>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</si>
  <si>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</si>
  <si>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</si>
  <si>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</si>
  <si>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</si>
  <si>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</si>
  <si>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</si>
  <si>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</si>
  <si>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</si>
  <si>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</si>
  <si>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</si>
  <si>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</si>
  <si>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</si>
  <si>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</si>
  <si>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</si>
  <si>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</si>
  <si>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</si>
  <si>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</si>
  <si>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</si>
  <si>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</si>
  <si>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</si>
  <si>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</si>
  <si>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</si>
  <si>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</si>
  <si>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</si>
  <si>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</si>
  <si>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</si>
  <si>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</si>
  <si>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</si>
  <si>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</si>
  <si>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</si>
  <si>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</si>
  <si>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</si>
  <si>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</si>
  <si>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</si>
  <si>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</si>
  <si>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</si>
  <si>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</si>
  <si>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</si>
  <si>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</si>
  <si>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</si>
  <si>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</si>
  <si>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</si>
  <si>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</si>
  <si>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</si>
  <si>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</si>
  <si>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</si>
  <si>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</si>
  <si>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</si>
  <si>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</si>
  <si>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</si>
  <si>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</si>
  <si>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</si>
  <si>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</si>
  <si>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</si>
  <si>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</si>
  <si>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</si>
  <si>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</si>
  <si>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</si>
  <si>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</si>
  <si>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</si>
  <si>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</si>
  <si>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</si>
  <si>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</si>
  <si>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</si>
  <si>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</si>
  <si>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</si>
  <si>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</si>
  <si>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</si>
  <si>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</si>
  <si>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</si>
  <si>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</si>
  <si>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</si>
  <si>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</si>
  <si>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</si>
  <si>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</si>
  <si>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</si>
  <si>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</si>
  <si>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</si>
  <si>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</si>
  <si>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</si>
  <si>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</si>
  <si>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</si>
  <si>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</si>
  <si>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</si>
  <si>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</si>
  <si>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a8:e32</t>
  </si>
  <si>
    <t> (100mm SUSPENSION FORK EQUIVALENT AT 25% SAG)</t>
  </si>
  <si>
    <t>USD</t>
  </si>
  <si>
    <t>https://www.panoramacycles.com/cdn/shop/files/taiga-exp-2-501891.jpg?v=1732295839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</si>
</sst>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6" spans="1:5" x14ac:dyDescent="0.3">
      <c r="B6" t="s">
        <v>104</v>
      </c>
    </row>
    <row r="7" spans="1:5" x14ac:dyDescent="0.3">
      <c r="A7" t="s">
        <v>5</v>
      </c>
      <c r="B7" s="1" t="s">
        <v>101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102</v>
      </c>
    </row>
    <row r="25" spans="1:8" x14ac:dyDescent="0.3">
      <c r="A25" t="s">
        <v>22</v>
      </c>
      <c r="F25">
        <f>505 - 0.25*100</f>
        <v>480</v>
      </c>
    </row>
    <row r="26" spans="1:8" x14ac:dyDescent="0.3">
      <c r="A26" t="s">
        <v>23</v>
      </c>
    </row>
    <row r="27" spans="1:8" x14ac:dyDescent="0.3">
      <c r="A27" t="s">
        <v>25</v>
      </c>
    </row>
    <row r="28" spans="1:8" x14ac:dyDescent="0.3">
      <c r="A28" t="s">
        <v>26</v>
      </c>
      <c r="C28">
        <v>700</v>
      </c>
      <c r="D28">
        <v>700</v>
      </c>
      <c r="E28">
        <v>700</v>
      </c>
    </row>
    <row r="29" spans="1:8" x14ac:dyDescent="0.3">
      <c r="A29" t="s">
        <v>27</v>
      </c>
      <c r="C29">
        <f>2.2*25.4</f>
        <v>55.88</v>
      </c>
      <c r="D29">
        <f t="shared" ref="D29:E29" si="0">2.2*25.4</f>
        <v>55.88</v>
      </c>
      <c r="E29">
        <f t="shared" si="0"/>
        <v>55.88</v>
      </c>
    </row>
    <row r="30" spans="1:8" x14ac:dyDescent="0.3">
      <c r="A30" t="s">
        <v>28</v>
      </c>
      <c r="C30">
        <f>2.6*25.4</f>
        <v>66.039999999999992</v>
      </c>
      <c r="D30">
        <f>2.6*25.4</f>
        <v>66.039999999999992</v>
      </c>
      <c r="E30">
        <f>2.6*25.4</f>
        <v>66.039999999999992</v>
      </c>
    </row>
    <row r="31" spans="1:8" x14ac:dyDescent="0.3">
      <c r="A31" t="s">
        <v>29</v>
      </c>
      <c r="C31">
        <f>C33*2.54</f>
        <v>162.56</v>
      </c>
      <c r="D31">
        <f t="shared" ref="D31:E32" si="1">D33*2.54</f>
        <v>172.72</v>
      </c>
      <c r="E31">
        <f t="shared" si="1"/>
        <v>180.34</v>
      </c>
    </row>
    <row r="32" spans="1:8" x14ac:dyDescent="0.3">
      <c r="A32" t="s">
        <v>30</v>
      </c>
      <c r="C32">
        <f>C34*2.54</f>
        <v>172.72</v>
      </c>
      <c r="D32">
        <f t="shared" si="1"/>
        <v>180.34</v>
      </c>
      <c r="E32">
        <f t="shared" si="1"/>
        <v>190.5</v>
      </c>
    </row>
    <row r="33" spans="1:5" x14ac:dyDescent="0.3">
      <c r="C33">
        <v>64</v>
      </c>
      <c r="D33">
        <v>68</v>
      </c>
      <c r="E33">
        <v>71</v>
      </c>
    </row>
    <row r="34" spans="1:5" x14ac:dyDescent="0.3">
      <c r="A34" t="s">
        <v>31</v>
      </c>
      <c r="B34" t="s">
        <v>32</v>
      </c>
      <c r="C34">
        <v>68</v>
      </c>
      <c r="D34">
        <v>71</v>
      </c>
      <c r="E34">
        <v>75</v>
      </c>
    </row>
    <row r="35" spans="1:5" x14ac:dyDescent="0.3">
      <c r="A35" t="s">
        <v>71</v>
      </c>
      <c r="B35" t="s">
        <v>72</v>
      </c>
      <c r="C35" t="s">
        <v>83</v>
      </c>
      <c r="D35" t="s">
        <v>84</v>
      </c>
      <c r="E35" t="s">
        <v>85</v>
      </c>
    </row>
    <row r="36" spans="1:5" x14ac:dyDescent="0.3">
      <c r="A36" t="s">
        <v>73</v>
      </c>
      <c r="B36" t="s">
        <v>74</v>
      </c>
    </row>
    <row r="37" spans="1:5" x14ac:dyDescent="0.3">
      <c r="A37" t="s">
        <v>75</v>
      </c>
      <c r="B37" s="1" t="s">
        <v>76</v>
      </c>
    </row>
    <row r="38" spans="1:5" x14ac:dyDescent="0.3">
      <c r="A38" t="s">
        <v>33</v>
      </c>
      <c r="B38" t="s">
        <v>34</v>
      </c>
    </row>
    <row r="39" spans="1:5" x14ac:dyDescent="0.3">
      <c r="A39" t="s">
        <v>35</v>
      </c>
      <c r="B39" s="1" t="s">
        <v>70</v>
      </c>
    </row>
    <row r="40" spans="1:5" x14ac:dyDescent="0.3">
      <c r="A40" t="s">
        <v>36</v>
      </c>
    </row>
    <row r="41" spans="1:5" x14ac:dyDescent="0.3">
      <c r="A41" t="s">
        <v>37</v>
      </c>
      <c r="B41">
        <f>2.6*25.4</f>
        <v>66.039999999999992</v>
      </c>
    </row>
    <row r="42" spans="1:5" x14ac:dyDescent="0.3">
      <c r="A42" t="s">
        <v>38</v>
      </c>
      <c r="B42" s="1">
        <v>2.8</v>
      </c>
    </row>
    <row r="43" spans="1:5" x14ac:dyDescent="0.3">
      <c r="A43" t="s">
        <v>39</v>
      </c>
      <c r="B43">
        <v>100</v>
      </c>
    </row>
    <row r="44" spans="1:5" x14ac:dyDescent="0.3">
      <c r="A44" t="s">
        <v>40</v>
      </c>
    </row>
    <row r="45" spans="1:5" x14ac:dyDescent="0.3">
      <c r="A45" t="s">
        <v>41</v>
      </c>
    </row>
    <row r="46" spans="1:5" x14ac:dyDescent="0.3">
      <c r="A46" t="s">
        <v>42</v>
      </c>
    </row>
    <row r="47" spans="1:5" x14ac:dyDescent="0.3">
      <c r="A47" t="s">
        <v>43</v>
      </c>
      <c r="B47">
        <v>148</v>
      </c>
    </row>
    <row r="48" spans="1:5" x14ac:dyDescent="0.3">
      <c r="A48" t="s">
        <v>44</v>
      </c>
      <c r="B48">
        <v>110</v>
      </c>
    </row>
    <row r="49" spans="1:2" x14ac:dyDescent="0.3">
      <c r="A49" t="s">
        <v>45</v>
      </c>
      <c r="B49" s="1"/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1"/>
    </row>
    <row r="53" spans="1:2" x14ac:dyDescent="0.3">
      <c r="A53" t="s">
        <v>49</v>
      </c>
      <c r="B53">
        <v>42</v>
      </c>
    </row>
    <row r="54" spans="1:2" x14ac:dyDescent="0.3">
      <c r="A54" t="s">
        <v>50</v>
      </c>
    </row>
    <row r="55" spans="1:2" x14ac:dyDescent="0.3">
      <c r="A55" t="s">
        <v>51</v>
      </c>
      <c r="B55">
        <v>180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1" t="s">
        <v>70</v>
      </c>
    </row>
    <row r="61" spans="1:2" x14ac:dyDescent="0.3">
      <c r="A61" t="s">
        <v>57</v>
      </c>
    </row>
    <row r="62" spans="1:2" x14ac:dyDescent="0.3">
      <c r="A62" t="s">
        <v>58</v>
      </c>
      <c r="B62" s="1" t="s">
        <v>70</v>
      </c>
    </row>
    <row r="63" spans="1:2" x14ac:dyDescent="0.3">
      <c r="A63" t="s">
        <v>59</v>
      </c>
      <c r="B63" s="1" t="s">
        <v>70</v>
      </c>
    </row>
    <row r="64" spans="1:2" x14ac:dyDescent="0.3">
      <c r="A64" t="s">
        <v>60</v>
      </c>
      <c r="B64" s="1" t="s">
        <v>70</v>
      </c>
    </row>
    <row r="65" spans="1:2" x14ac:dyDescent="0.3">
      <c r="A65" t="s">
        <v>61</v>
      </c>
      <c r="B65" s="1" t="s">
        <v>70</v>
      </c>
    </row>
    <row r="66" spans="1:2" x14ac:dyDescent="0.3">
      <c r="A66" t="s">
        <v>62</v>
      </c>
      <c r="B66" s="1" t="s">
        <v>70</v>
      </c>
    </row>
    <row r="67" spans="1:2" x14ac:dyDescent="0.3">
      <c r="A67" t="s">
        <v>63</v>
      </c>
      <c r="B67" s="1" t="s">
        <v>70</v>
      </c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v>1349</v>
      </c>
    </row>
    <row r="70" spans="1:2" x14ac:dyDescent="0.3">
      <c r="A70" t="s">
        <v>66</v>
      </c>
      <c r="B70">
        <v>3149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2025-10-14T15:34:59Z</dcterms:modified>
</cp:coreProperties>
</file>