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B5F591A-6CD3-9F4B-A341-EC6744253E09}" xr6:coauthVersionLast="47" xr6:coauthVersionMax="47" xr10:uidLastSave="{00000000-0000-0000-0000-000000000000}"/>
  <bookViews>
    <workbookView xWindow="10080" yWindow="1060" windowWidth="22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C35" i="1"/>
  <c r="D35" i="1"/>
  <c r="E35" i="1"/>
  <c r="F35" i="1"/>
</calcChain>
</file>

<file path=xl/sharedStrings.xml><?xml version="1.0" encoding="utf-8"?>
<sst xmlns="http://schemas.openxmlformats.org/spreadsheetml/2006/main" count="120" uniqueCount="116">
  <si>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</si>
  <si>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</si>
  <si>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</si>
  <si>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</si>
  <si>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</si>
  <si>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</si>
  <si>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</si>
  <si>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</si>
  <si>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</si>
  <si>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</si>
  <si>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</si>
  <si>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</si>
  <si>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</si>
  <si>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</si>
  <si>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</si>
  <si>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</si>
  <si>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</si>
  <si>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</si>
  <si>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</si>
  <si>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</si>
  <si>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</si>
  <si>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</si>
  <si>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</si>
  <si>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</si>
  <si>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</si>
  <si>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</si>
  <si>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</si>
  <si>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</si>
  <si>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</si>
  <si>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</si>
  <si>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</si>
  <si>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</si>
  <si>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</si>
  <si>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</si>
  <si>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</si>
  <si>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</si>
  <si>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</si>
  <si>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</si>
  <si>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</si>
  <si>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</si>
  <si>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</si>
  <si>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</si>
  <si>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</si>
  <si>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</si>
  <si>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</si>
  <si>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</si>
  <si>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</si>
  <si>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</si>
  <si>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</si>
  <si>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</si>
  <si>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</si>
  <si>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</si>
  <si>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</si>
  <si>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</si>
  <si>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</si>
  <si>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</si>
  <si>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</si>
  <si>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</si>
  <si>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</si>
  <si>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</si>
  <si>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</si>
  <si>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</si>
  <si>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</si>
  <si>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</si>
  <si>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</si>
  <si>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</si>
  <si>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</si>
  <si>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</si>
  <si>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</si>
  <si>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</si>
  <si>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</si>
  <si>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</si>
  <si>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</si>
  <si>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</si>
  <si>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</si>
  <si>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Stack</t>
  </si>
  <si>
    <t>Reach</t>
  </si>
  <si>
    <t>Wheelbase</t>
  </si>
  <si>
    <t>Frame Size</t>
  </si>
  <si>
    <t>50 cm</t>
  </si>
  <si>
    <t>54 cm</t>
  </si>
  <si>
    <t>56 cm</t>
  </si>
  <si>
    <t>59 cm</t>
  </si>
  <si>
    <t>Seat tube length</t>
  </si>
  <si>
    <t>Top tube length</t>
  </si>
  <si>
    <t>Effective top tube length</t>
  </si>
  <si>
    <t>Head tube length</t>
  </si>
  <si>
    <t>Head tube diameter</t>
  </si>
  <si>
    <t>Bottom bracket drop</t>
  </si>
  <si>
    <t>Head tube angle</t>
  </si>
  <si>
    <t>Seat tube angle</t>
  </si>
  <si>
    <t>Chainstay length</t>
  </si>
  <si>
    <t>Standover height</t>
  </si>
  <si>
    <t>top_tube_length_actual</t>
  </si>
  <si>
    <t>head_tube_diameter</t>
  </si>
  <si>
    <t>press fit</t>
  </si>
  <si>
    <t>USD</t>
  </si>
  <si>
    <t>external</t>
  </si>
  <si>
    <t>Primos</t>
  </si>
  <si>
    <r>
      <t>S: </t>
    </r>
    <r>
      <rPr>
        <sz val="14"/>
        <color rgb="FF000000"/>
        <rFont val="Arial"/>
        <family val="2"/>
      </rPr>
      <t>from 5'1" to 5'4"</t>
    </r>
  </si>
  <si>
    <r>
      <t>M:</t>
    </r>
    <r>
      <rPr>
        <sz val="14"/>
        <color rgb="FF000000"/>
        <rFont val="Arial"/>
        <family val="2"/>
      </rPr>
      <t> from 5'5" to 5'8"</t>
    </r>
  </si>
  <si>
    <r>
      <t>ML:</t>
    </r>
    <r>
      <rPr>
        <sz val="14"/>
        <color rgb="FF000000"/>
        <rFont val="Arial"/>
        <family val="2"/>
      </rPr>
      <t> from 5'9" to 5'10"</t>
    </r>
  </si>
  <si>
    <r>
      <t>L:</t>
    </r>
    <r>
      <rPr>
        <sz val="14"/>
        <color rgb="FF000000"/>
        <rFont val="Arial"/>
        <family val="2"/>
      </rPr>
      <t> from 5'11" to 6'0"</t>
    </r>
  </si>
  <si>
    <r>
      <t>XL:</t>
    </r>
    <r>
      <rPr>
        <sz val="14"/>
        <color rgb="FF000000"/>
        <rFont val="Arial"/>
        <family val="2"/>
      </rPr>
      <t> from 6'1" to 6'5"</t>
    </r>
  </si>
  <si>
    <t>54/57</t>
  </si>
  <si>
    <t>Handlebar width</t>
  </si>
  <si>
    <t>Stem length</t>
  </si>
  <si>
    <t>Crank arm length</t>
  </si>
  <si>
    <t>Seatpost diameter</t>
  </si>
  <si>
    <t>Crown to center</t>
  </si>
  <si>
    <t>Rake (fork offset)</t>
  </si>
  <si>
    <t>seatpost_diameter_spec</t>
  </si>
  <si>
    <t>steel</t>
  </si>
  <si>
    <t>SuperDame</t>
  </si>
  <si>
    <t>https://primoscycles.com/products/superdame?variant=50117540806942</t>
  </si>
  <si>
    <t>a8:f35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</si>
</sst>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10">
      <c r="A1" t="s">
        <v>0</v>
      </c>
      <c r="B1" s="1" t="s">
        <v>98</v>
      </c>
    </row>
    <row r="2" spans="1:10">
      <c r="A2" t="s">
        <v>1</v>
      </c>
      <c r="B2" s="1" t="s">
        <v>113</v>
      </c>
    </row>
    <row r="3" spans="1:10">
      <c r="A3" t="s">
        <v>2</v>
      </c>
      <c r="B3">
        <v>2025</v>
      </c>
    </row>
    <row r="4" spans="1:10">
      <c r="A4" t="s">
        <v>3</v>
      </c>
      <c r="B4" s="3">
        <v>45919</v>
      </c>
    </row>
    <row r="5" spans="1:10">
      <c r="A5" t="s">
        <v>4</v>
      </c>
      <c r="B5" t="s">
        <v>114</v>
      </c>
    </row>
    <row r="7" spans="1:10">
      <c r="A7" t="s">
        <v>5</v>
      </c>
      <c r="B7" s="1" t="s">
        <v>115</v>
      </c>
    </row>
    <row r="8" spans="1:10" ht="21">
      <c r="A8" t="s">
        <v>6</v>
      </c>
      <c r="B8" s="2" t="s">
        <v>78</v>
      </c>
      <c r="C8" s="2" t="s">
        <v>79</v>
      </c>
      <c r="D8" s="2" t="s">
        <v>80</v>
      </c>
      <c r="E8" s="2" t="s">
        <v>81</v>
      </c>
      <c r="F8" t="s">
        <v>82</v>
      </c>
    </row>
    <row r="9" spans="1:10" ht="21">
      <c r="A9" t="s">
        <v>7</v>
      </c>
      <c r="B9" s="2" t="s">
        <v>83</v>
      </c>
      <c r="C9" s="2">
        <v>500</v>
      </c>
      <c r="D9" s="2">
        <v>540</v>
      </c>
      <c r="E9" s="2">
        <v>560</v>
      </c>
      <c r="F9">
        <v>590</v>
      </c>
    </row>
    <row r="10" spans="1:10" ht="21">
      <c r="A10" s="1" t="s">
        <v>93</v>
      </c>
      <c r="B10" s="2" t="s">
        <v>84</v>
      </c>
      <c r="C10" s="2">
        <v>514</v>
      </c>
      <c r="D10" s="2">
        <v>539</v>
      </c>
      <c r="E10" s="2">
        <v>549</v>
      </c>
      <c r="F10">
        <v>559</v>
      </c>
    </row>
    <row r="11" spans="1:10" ht="21">
      <c r="A11" t="s">
        <v>9</v>
      </c>
      <c r="B11" s="2" t="s">
        <v>85</v>
      </c>
      <c r="C11" s="2">
        <v>540</v>
      </c>
      <c r="D11" s="2">
        <v>553</v>
      </c>
      <c r="E11" s="2">
        <v>560</v>
      </c>
      <c r="F11">
        <v>570</v>
      </c>
    </row>
    <row r="12" spans="1:10" ht="21">
      <c r="A12" t="s">
        <v>10</v>
      </c>
      <c r="B12" s="2" t="s">
        <v>86</v>
      </c>
      <c r="C12" s="2">
        <v>115</v>
      </c>
      <c r="D12" s="2">
        <v>130</v>
      </c>
      <c r="E12" s="2">
        <v>135</v>
      </c>
      <c r="F12">
        <v>165</v>
      </c>
    </row>
    <row r="13" spans="1:10" ht="21">
      <c r="A13" s="1" t="s">
        <v>94</v>
      </c>
      <c r="B13" s="2" t="s">
        <v>87</v>
      </c>
      <c r="C13" s="2">
        <v>54</v>
      </c>
      <c r="D13" s="2">
        <v>54</v>
      </c>
      <c r="E13" s="2">
        <v>54</v>
      </c>
      <c r="F13" s="2">
        <v>54</v>
      </c>
      <c r="G13" s="2" t="s">
        <v>104</v>
      </c>
      <c r="H13" s="2" t="s">
        <v>104</v>
      </c>
      <c r="I13" s="2" t="s">
        <v>104</v>
      </c>
      <c r="J13" t="s">
        <v>104</v>
      </c>
    </row>
    <row r="14" spans="1:10" ht="21">
      <c r="A14" t="s">
        <v>16</v>
      </c>
      <c r="B14" s="2" t="s">
        <v>88</v>
      </c>
      <c r="C14" s="2">
        <v>70</v>
      </c>
      <c r="D14" s="2">
        <v>70</v>
      </c>
      <c r="E14" s="2">
        <v>70</v>
      </c>
      <c r="F14">
        <v>70</v>
      </c>
    </row>
    <row r="15" spans="1:10">
      <c r="A15" t="s">
        <v>11</v>
      </c>
      <c r="B15" t="s">
        <v>89</v>
      </c>
      <c r="C15">
        <v>71</v>
      </c>
      <c r="D15">
        <v>72</v>
      </c>
      <c r="E15">
        <v>72</v>
      </c>
      <c r="F15">
        <v>72</v>
      </c>
    </row>
    <row r="16" spans="1:10">
      <c r="A16" t="s">
        <v>8</v>
      </c>
      <c r="B16" t="s">
        <v>90</v>
      </c>
      <c r="C16">
        <v>74</v>
      </c>
      <c r="D16">
        <v>74</v>
      </c>
      <c r="E16">
        <v>74</v>
      </c>
      <c r="F16">
        <v>74</v>
      </c>
    </row>
    <row r="17" spans="1:12">
      <c r="A17" t="s">
        <v>14</v>
      </c>
      <c r="B17" t="s">
        <v>77</v>
      </c>
      <c r="C17">
        <v>1035</v>
      </c>
      <c r="D17">
        <v>1039</v>
      </c>
      <c r="E17">
        <v>1046</v>
      </c>
      <c r="F17">
        <v>1057</v>
      </c>
    </row>
    <row r="18" spans="1:12">
      <c r="A18" t="s">
        <v>15</v>
      </c>
      <c r="B18" t="s">
        <v>91</v>
      </c>
      <c r="C18">
        <v>435</v>
      </c>
      <c r="D18">
        <v>435</v>
      </c>
      <c r="E18">
        <v>435</v>
      </c>
      <c r="F18">
        <v>435</v>
      </c>
    </row>
    <row r="19" spans="1:12">
      <c r="A19" t="s">
        <v>19</v>
      </c>
      <c r="B19" t="s">
        <v>92</v>
      </c>
      <c r="C19">
        <v>777</v>
      </c>
      <c r="D19">
        <v>805</v>
      </c>
      <c r="E19">
        <v>816</v>
      </c>
      <c r="F19">
        <v>846</v>
      </c>
    </row>
    <row r="20" spans="1:12">
      <c r="A20" t="s">
        <v>17</v>
      </c>
      <c r="B20" t="s">
        <v>75</v>
      </c>
      <c r="C20">
        <v>551</v>
      </c>
      <c r="D20">
        <v>569</v>
      </c>
      <c r="E20">
        <v>574</v>
      </c>
      <c r="F20">
        <v>603</v>
      </c>
      <c r="L20" s="1"/>
    </row>
    <row r="21" spans="1:12">
      <c r="A21" t="s">
        <v>18</v>
      </c>
      <c r="B21" t="s">
        <v>76</v>
      </c>
      <c r="C21">
        <v>382</v>
      </c>
      <c r="D21">
        <v>390</v>
      </c>
      <c r="E21">
        <v>396</v>
      </c>
      <c r="F21">
        <v>397</v>
      </c>
    </row>
    <row r="22" spans="1:12">
      <c r="A22" t="s">
        <v>20</v>
      </c>
      <c r="B22" t="s">
        <v>105</v>
      </c>
      <c r="C22">
        <v>400</v>
      </c>
      <c r="D22">
        <v>440</v>
      </c>
      <c r="E22">
        <v>440</v>
      </c>
      <c r="F22">
        <v>440</v>
      </c>
    </row>
    <row r="23" spans="1:12">
      <c r="A23" t="s">
        <v>21</v>
      </c>
      <c r="B23" t="s">
        <v>106</v>
      </c>
      <c r="C23">
        <v>70</v>
      </c>
      <c r="D23">
        <v>80</v>
      </c>
      <c r="E23">
        <v>80</v>
      </c>
      <c r="F23">
        <v>90</v>
      </c>
    </row>
    <row r="24" spans="1:12">
      <c r="A24" t="s">
        <v>22</v>
      </c>
      <c r="B24" t="s">
        <v>107</v>
      </c>
      <c r="C24">
        <v>165</v>
      </c>
      <c r="D24">
        <v>170</v>
      </c>
      <c r="E24">
        <v>170</v>
      </c>
      <c r="F24">
        <v>175</v>
      </c>
    </row>
    <row r="25" spans="1:12">
      <c r="A25" s="1" t="s">
        <v>111</v>
      </c>
      <c r="B25" t="s">
        <v>108</v>
      </c>
      <c r="C25">
        <v>27.2</v>
      </c>
      <c r="D25">
        <v>27.2</v>
      </c>
      <c r="E25">
        <v>27.2</v>
      </c>
      <c r="F25">
        <v>27.2</v>
      </c>
    </row>
    <row r="26" spans="1:12">
      <c r="A26" t="s">
        <v>24</v>
      </c>
      <c r="B26" t="s">
        <v>109</v>
      </c>
      <c r="C26">
        <v>417</v>
      </c>
      <c r="D26">
        <v>417</v>
      </c>
      <c r="E26">
        <v>417</v>
      </c>
      <c r="F26">
        <v>417</v>
      </c>
    </row>
    <row r="27" spans="1:12">
      <c r="A27" t="s">
        <v>12</v>
      </c>
      <c r="B27" t="s">
        <v>110</v>
      </c>
      <c r="C27">
        <v>55</v>
      </c>
      <c r="D27">
        <v>55</v>
      </c>
      <c r="E27">
        <v>55</v>
      </c>
      <c r="F27">
        <v>55</v>
      </c>
    </row>
    <row r="28" spans="1:12">
      <c r="A28" s="1" t="s">
        <v>66</v>
      </c>
    </row>
    <row r="29" spans="1:12">
      <c r="A29" t="s">
        <v>13</v>
      </c>
    </row>
    <row r="30" spans="1:12">
      <c r="A30" s="1" t="s">
        <v>68</v>
      </c>
    </row>
    <row r="31" spans="1:12">
      <c r="A31" t="s">
        <v>23</v>
      </c>
      <c r="C31">
        <v>700</v>
      </c>
      <c r="D31">
        <v>700</v>
      </c>
      <c r="E31">
        <v>700</v>
      </c>
      <c r="F31">
        <v>700</v>
      </c>
    </row>
    <row r="32" spans="1:12">
      <c r="A32" t="s">
        <v>25</v>
      </c>
      <c r="C32">
        <v>40</v>
      </c>
      <c r="D32">
        <v>40</v>
      </c>
      <c r="E32">
        <v>40</v>
      </c>
      <c r="F32">
        <v>40</v>
      </c>
    </row>
    <row r="33" spans="1:8">
      <c r="A33" t="s">
        <v>26</v>
      </c>
      <c r="C33">
        <v>42</v>
      </c>
      <c r="D33">
        <v>42</v>
      </c>
      <c r="E33">
        <v>42</v>
      </c>
      <c r="F33">
        <v>42</v>
      </c>
    </row>
    <row r="34" spans="1:8">
      <c r="A34" t="s">
        <v>27</v>
      </c>
      <c r="C34" s="4">
        <f>C36*2.54</f>
        <v>0</v>
      </c>
      <c r="D34" s="4">
        <f t="shared" ref="D34:F35" si="0">D36*2.54</f>
        <v>0</v>
      </c>
      <c r="E34" s="4">
        <f t="shared" si="0"/>
        <v>0</v>
      </c>
      <c r="F34" s="4">
        <f t="shared" si="0"/>
        <v>0</v>
      </c>
      <c r="H34" s="5" t="s">
        <v>99</v>
      </c>
    </row>
    <row r="35" spans="1:8">
      <c r="A35" t="s">
        <v>28</v>
      </c>
      <c r="C35" s="4">
        <f>C37*2.54</f>
        <v>0</v>
      </c>
      <c r="D35" s="4">
        <f t="shared" si="0"/>
        <v>0</v>
      </c>
      <c r="E35" s="4">
        <f t="shared" si="0"/>
        <v>0</v>
      </c>
      <c r="F35" s="4">
        <f t="shared" si="0"/>
        <v>0</v>
      </c>
      <c r="H35" s="5" t="s">
        <v>100</v>
      </c>
    </row>
    <row r="36" spans="1:8">
      <c r="H36" s="5" t="s">
        <v>101</v>
      </c>
    </row>
    <row r="37" spans="1:8">
      <c r="A37" t="s">
        <v>29</v>
      </c>
      <c r="B37" t="s">
        <v>30</v>
      </c>
      <c r="H37" s="5" t="s">
        <v>102</v>
      </c>
    </row>
    <row r="38" spans="1:8">
      <c r="A38" t="s">
        <v>69</v>
      </c>
      <c r="B38" t="s">
        <v>70</v>
      </c>
      <c r="H38" s="5" t="s">
        <v>103</v>
      </c>
    </row>
    <row r="39" spans="1:8" ht="21">
      <c r="A39" t="s">
        <v>71</v>
      </c>
      <c r="B39" t="s">
        <v>72</v>
      </c>
      <c r="C39" s="2"/>
      <c r="D39" s="2"/>
      <c r="E39" s="2"/>
      <c r="F39" s="2"/>
    </row>
    <row r="40" spans="1:8">
      <c r="A40" t="s">
        <v>73</v>
      </c>
      <c r="B40" t="s">
        <v>74</v>
      </c>
    </row>
    <row r="41" spans="1:8">
      <c r="A41" t="s">
        <v>31</v>
      </c>
      <c r="B41" s="1" t="s">
        <v>112</v>
      </c>
    </row>
    <row r="42" spans="1:8">
      <c r="A42" t="s">
        <v>32</v>
      </c>
      <c r="B42" s="1"/>
    </row>
    <row r="43" spans="1:8">
      <c r="A43" t="s">
        <v>33</v>
      </c>
      <c r="B43" s="1"/>
    </row>
    <row r="44" spans="1:8">
      <c r="A44" t="s">
        <v>34</v>
      </c>
      <c r="B44">
        <v>42</v>
      </c>
    </row>
    <row r="45" spans="1:8">
      <c r="A45" t="s">
        <v>35</v>
      </c>
      <c r="B45" s="1">
        <v>45</v>
      </c>
    </row>
    <row r="46" spans="1:8">
      <c r="A46" t="s">
        <v>36</v>
      </c>
    </row>
    <row r="47" spans="1:8">
      <c r="A47" t="s">
        <v>37</v>
      </c>
    </row>
    <row r="48" spans="1:8">
      <c r="A48" t="s">
        <v>38</v>
      </c>
    </row>
    <row r="49" spans="1:2">
      <c r="A49" t="s">
        <v>39</v>
      </c>
    </row>
    <row r="50" spans="1:2">
      <c r="A50" t="s">
        <v>40</v>
      </c>
      <c r="B50">
        <v>142</v>
      </c>
    </row>
    <row r="51" spans="1:2">
      <c r="A51" t="s">
        <v>41</v>
      </c>
      <c r="B51">
        <v>100</v>
      </c>
    </row>
    <row r="52" spans="1:2">
      <c r="A52" t="s">
        <v>42</v>
      </c>
      <c r="B52" s="1" t="s">
        <v>95</v>
      </c>
    </row>
    <row r="53" spans="1:2">
      <c r="A53" t="s">
        <v>43</v>
      </c>
    </row>
    <row r="54" spans="1:2">
      <c r="A54" t="s">
        <v>44</v>
      </c>
      <c r="B54">
        <v>27.2</v>
      </c>
    </row>
    <row r="55" spans="1:2">
      <c r="A55" t="s">
        <v>45</v>
      </c>
      <c r="B55" s="1"/>
    </row>
    <row r="56" spans="1:2">
      <c r="A56" t="s">
        <v>46</v>
      </c>
    </row>
    <row r="57" spans="1:2">
      <c r="A57" t="s">
        <v>47</v>
      </c>
      <c r="B57" s="1"/>
    </row>
    <row r="58" spans="1:2">
      <c r="A58" t="s">
        <v>48</v>
      </c>
    </row>
    <row r="59" spans="1:2">
      <c r="A59" t="s">
        <v>49</v>
      </c>
    </row>
    <row r="60" spans="1:2">
      <c r="A60" t="s">
        <v>50</v>
      </c>
    </row>
    <row r="61" spans="1:2">
      <c r="A61" t="s">
        <v>51</v>
      </c>
      <c r="B61" s="1" t="s">
        <v>97</v>
      </c>
    </row>
    <row r="62" spans="1:2">
      <c r="A62" t="s">
        <v>52</v>
      </c>
      <c r="B62" s="1"/>
    </row>
    <row r="63" spans="1:2">
      <c r="A63" t="s">
        <v>53</v>
      </c>
    </row>
    <row r="64" spans="1:2">
      <c r="A64" t="s">
        <v>54</v>
      </c>
    </row>
    <row r="65" spans="1:2">
      <c r="A65" t="s">
        <v>55</v>
      </c>
      <c r="B65">
        <v>2</v>
      </c>
    </row>
    <row r="66" spans="1:2">
      <c r="A66" t="s">
        <v>56</v>
      </c>
    </row>
    <row r="67" spans="1:2">
      <c r="A67" t="s">
        <v>57</v>
      </c>
      <c r="B67" s="1"/>
    </row>
    <row r="68" spans="1:2">
      <c r="A68" t="s">
        <v>58</v>
      </c>
      <c r="B68" s="1">
        <v>3</v>
      </c>
    </row>
    <row r="69" spans="1:2">
      <c r="A69" t="s">
        <v>59</v>
      </c>
      <c r="B69" s="1" t="s">
        <v>67</v>
      </c>
    </row>
    <row r="70" spans="1:2">
      <c r="A70" t="s">
        <v>60</v>
      </c>
      <c r="B70" s="1" t="s">
        <v>67</v>
      </c>
    </row>
    <row r="71" spans="1:2">
      <c r="A71" t="s">
        <v>61</v>
      </c>
      <c r="B71" s="1"/>
    </row>
    <row r="72" spans="1:2">
      <c r="A72" t="s">
        <v>62</v>
      </c>
    </row>
    <row r="73" spans="1:2">
      <c r="A73" t="s">
        <v>63</v>
      </c>
      <c r="B73">
        <v>1499</v>
      </c>
    </row>
    <row r="74" spans="1:2">
      <c r="A74" t="s">
        <v>64</v>
      </c>
    </row>
    <row r="75" spans="1:2">
      <c r="A75" t="s">
        <v>65</v>
      </c>
      <c r="B75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2025-09-19T11:33:50Z</dcterms:modified>
</cp:coreProperties>
</file>