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A1FDD78-C51E-4649-8C81-5889A93F1576}" xr6:coauthVersionLast="47" xr6:coauthVersionMax="47" xr10:uidLastSave="{00000000-0000-0000-0000-000000000000}"/>
  <bookViews>
    <workbookView xWindow="2480" yWindow="500" windowWidth="2528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1" i="1" s="1"/>
  <c r="E42" i="1"/>
  <c r="E41" i="1" s="1"/>
  <c r="F42" i="1"/>
  <c r="F41" i="1" s="1"/>
  <c r="G42" i="1"/>
  <c r="G41" i="1" s="1"/>
  <c r="H42" i="1"/>
  <c r="H41" i="1" s="1"/>
  <c r="I42" i="1"/>
  <c r="I41" i="1" s="1"/>
  <c r="J42" i="1"/>
  <c r="J41" i="1" s="1"/>
  <c r="C42" i="1"/>
  <c r="C41" i="1" s="1"/>
  <c r="D36" i="1" s="1"/>
  <c r="C37" i="1" s="1"/>
  <c r="C9" i="1"/>
  <c r="D9" i="1"/>
  <c r="H9" i="1"/>
  <c r="I9" i="1"/>
  <c r="J9" i="1"/>
  <c r="G9" i="1"/>
  <c r="E9" i="1"/>
  <c r="F9" i="1"/>
  <c r="F37" i="1" l="1"/>
  <c r="G36" i="1"/>
  <c r="J36" i="1"/>
  <c r="I37" i="1"/>
  <c r="I36" i="1"/>
  <c r="H37" i="1"/>
  <c r="G37" i="1"/>
  <c r="H36" i="1"/>
  <c r="F36" i="1"/>
  <c r="E37" i="1"/>
  <c r="E36" i="1"/>
  <c r="D37" i="1"/>
</calcChain>
</file>

<file path=xl/sharedStrings.xml><?xml version="1.0" encoding="utf-8"?>
<sst xmlns="http://schemas.openxmlformats.org/spreadsheetml/2006/main" count="143" uniqueCount="136">
  <si>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</si>
  <si>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</si>
  <si>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</si>
  <si>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</si>
  <si>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</si>
  <si>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</si>
  <si>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</si>
  <si>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</si>
  <si>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</si>
  <si>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</si>
  <si>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</si>
  <si>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</si>
  <si>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</si>
  <si>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</si>
  <si>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</si>
  <si>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</si>
  <si>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</si>
  <si>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</si>
  <si>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</si>
  <si>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</si>
  <si>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</si>
  <si>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</si>
  <si>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</si>
  <si>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</si>
  <si>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</si>
  <si>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</si>
  <si>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</si>
  <si>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</si>
  <si>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</si>
  <si>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</si>
  <si>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</si>
  <si>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</si>
  <si>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</si>
  <si>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</si>
  <si>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</si>
  <si>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</si>
  <si>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</si>
  <si>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</si>
  <si>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</si>
  <si>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</si>
  <si>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</si>
  <si>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</si>
  <si>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</si>
  <si>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</si>
  <si>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</si>
  <si>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</si>
  <si>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</si>
  <si>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</si>
  <si>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</si>
  <si>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</si>
  <si>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</si>
  <si>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</si>
  <si>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</si>
  <si>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</si>
  <si>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</si>
  <si>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</si>
  <si>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</si>
  <si>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</si>
  <si>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</si>
  <si>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</si>
  <si>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</si>
  <si>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</si>
  <si>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</si>
  <si>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</si>
  <si>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</si>
  <si>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</si>
  <si>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</si>
  <si>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</si>
  <si>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</si>
  <si>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</si>
  <si>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</si>
  <si>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</si>
  <si>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</si>
  <si>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</si>
  <si>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threaded</t>
  </si>
  <si>
    <t>OFFSET</t>
  </si>
  <si>
    <t>trail</t>
  </si>
  <si>
    <t>fork_weight</t>
  </si>
  <si>
    <t>rider_min_spec</t>
  </si>
  <si>
    <t>rider_max_spec</t>
  </si>
  <si>
    <t>M1</t>
  </si>
  <si>
    <t>M2</t>
  </si>
  <si>
    <t>M3</t>
  </si>
  <si>
    <t>M4</t>
  </si>
  <si>
    <t>M5</t>
  </si>
  <si>
    <t>M6</t>
  </si>
  <si>
    <t>M7</t>
  </si>
  <si>
    <t>M8</t>
  </si>
  <si>
    <t>Avg. saddle height</t>
  </si>
  <si>
    <t>Reach</t>
  </si>
  <si>
    <t>Stack</t>
  </si>
  <si>
    <t>HT angle</t>
  </si>
  <si>
    <t>HT length</t>
  </si>
  <si>
    <t>ST angle</t>
  </si>
  <si>
    <t>ST length*</t>
  </si>
  <si>
    <t>CS length</t>
  </si>
  <si>
    <t>BB drop</t>
  </si>
  <si>
    <t>BB height**</t>
  </si>
  <si>
    <t>Wheel size</t>
  </si>
  <si>
    <t>Wheelbase</t>
  </si>
  <si>
    <t>Mechanical trail**</t>
  </si>
  <si>
    <t>Standover**</t>
  </si>
  <si>
    <t>Manzanita</t>
  </si>
  <si>
    <t>Whippet</t>
  </si>
  <si>
    <t>https://manzanitacycles.com/bikes/whippet/</t>
  </si>
  <si>
    <t>steel</t>
  </si>
  <si>
    <t>external</t>
  </si>
  <si>
    <t>size</t>
  </si>
  <si>
    <t>saddle_height</t>
  </si>
  <si>
    <t>bb_height</t>
  </si>
  <si>
    <t>wheel_size_spec</t>
  </si>
  <si>
    <t>https://seido-components.com/products/mgv-fork?srsltid=AfmBOoos-iLGqafw0ur8EeAJ6TKCD0sU-zIheHdSulB-edBSHhG3l7UO</t>
  </si>
  <si>
    <t>AXLE TO CROWN</t>
  </si>
  <si>
    <t>used Lemond saddle height chart</t>
  </si>
  <si>
    <t>larger saddle height</t>
  </si>
  <si>
    <t>smaller saddle height</t>
  </si>
  <si>
    <t>smaller seat tube</t>
  </si>
  <si>
    <t>larger seat tube</t>
  </si>
  <si>
    <t>inseam smaller</t>
  </si>
  <si>
    <t>inseam larger</t>
  </si>
  <si>
    <t>Inseam</t>
  </si>
  <si>
    <t>height</t>
  </si>
  <si>
    <t>split difference</t>
  </si>
  <si>
    <t>calculated_size</t>
  </si>
  <si>
    <t>Lemond size</t>
  </si>
  <si>
    <t>a8:j39</t>
  </si>
  <si>
    <t>https://manzanitacycles.com/assets/img/whippet-main-1800w.avif</t>
  </si>
  <si>
    <t>USD</t>
  </si>
  <si>
    <t>location</t>
  </si>
  <si>
    <t>Reno, Nevada,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</si>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</sst>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theme="1"/>
      <name val="Futura Medium"/>
    </font>
    <font>
      <b/>
      <sz val="14"/>
      <color rgb="FF020203"/>
      <name val="Futura Medium"/>
    </font>
    <font>
      <b/>
      <sz val="14"/>
      <color rgb="FF000000"/>
      <name val="Futura Medium"/>
    </font>
    <font>
      <sz val="14"/>
      <color rgb="FFFD4722"/>
      <name val="Futura Medium"/>
    </font>
    <font>
      <sz val="14"/>
      <color rgb="FF020203"/>
      <name val="Futura Medium"/>
    </font>
    <font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1" fillId="0" borderId="0" xfId="0" applyNumberFormat="1" applyFont="1"/>
    <xf numFmtId="2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abSelected="1" topLeftCell="A64" zoomScale="101" workbookViewId="0">
      <selection activeCell="A80" sqref="A80:B80"/>
    </sheetView>
  </sheetViews>
  <sheetFormatPr baseColWidth="10" defaultRowHeight="20" x14ac:dyDescent="0.3"/>
  <cols>
    <col min="1" max="2" width="19.6640625" style="1" customWidth="1"/>
    <col min="3" max="10" width="11.44140625" style="1" bestFit="1" customWidth="1"/>
    <col min="11" max="16384" width="10.77734375" style="1"/>
  </cols>
  <sheetData>
    <row r="1" spans="1:19" x14ac:dyDescent="0.3">
      <c r="A1" s="1" t="s">
        <v>0</v>
      </c>
      <c r="B1" s="1" t="s">
        <v>102</v>
      </c>
      <c r="C1" s="1">
        <v>650</v>
      </c>
      <c r="D1" s="1">
        <v>673</v>
      </c>
      <c r="E1" s="1">
        <v>695</v>
      </c>
      <c r="F1" s="1">
        <v>718</v>
      </c>
      <c r="G1" s="1">
        <v>751</v>
      </c>
      <c r="H1" s="1">
        <v>763</v>
      </c>
      <c r="I1" s="1">
        <v>785</v>
      </c>
      <c r="J1" s="1">
        <v>807</v>
      </c>
      <c r="K1" s="1" t="s">
        <v>114</v>
      </c>
    </row>
    <row r="2" spans="1:19" x14ac:dyDescent="0.3">
      <c r="A2" s="1" t="s">
        <v>1</v>
      </c>
      <c r="B2" s="1" t="s">
        <v>103</v>
      </c>
      <c r="C2" s="1">
        <v>662</v>
      </c>
      <c r="D2" s="1">
        <v>684</v>
      </c>
      <c r="E2" s="1">
        <v>706</v>
      </c>
      <c r="F2" s="1">
        <v>729</v>
      </c>
      <c r="G2" s="1">
        <v>740</v>
      </c>
      <c r="H2" s="1">
        <v>774</v>
      </c>
      <c r="I2" s="1">
        <v>796</v>
      </c>
      <c r="J2" s="1">
        <v>819</v>
      </c>
      <c r="K2" s="1" t="s">
        <v>115</v>
      </c>
    </row>
    <row r="3" spans="1:19" x14ac:dyDescent="0.3">
      <c r="A3" s="1" t="s">
        <v>2</v>
      </c>
      <c r="B3" s="1">
        <v>2025</v>
      </c>
      <c r="C3" s="1">
        <v>47.9</v>
      </c>
      <c r="D3" s="1">
        <v>49.5</v>
      </c>
      <c r="E3" s="1">
        <v>51.2</v>
      </c>
      <c r="F3" s="1">
        <v>52.8</v>
      </c>
      <c r="G3" s="1">
        <v>54.5</v>
      </c>
      <c r="H3" s="1">
        <v>56.1</v>
      </c>
      <c r="I3" s="1">
        <v>57.8</v>
      </c>
      <c r="J3" s="1">
        <v>59.4</v>
      </c>
      <c r="K3" s="1" t="s">
        <v>117</v>
      </c>
    </row>
    <row r="4" spans="1:19" x14ac:dyDescent="0.3">
      <c r="A4" s="1" t="s">
        <v>3</v>
      </c>
      <c r="B4" s="2">
        <v>45885</v>
      </c>
      <c r="C4" s="1">
        <v>48.7</v>
      </c>
      <c r="D4" s="1">
        <v>50.4</v>
      </c>
      <c r="E4" s="1">
        <v>52</v>
      </c>
      <c r="F4" s="1">
        <v>53.7</v>
      </c>
      <c r="G4" s="1">
        <v>55.3</v>
      </c>
      <c r="H4" s="1">
        <v>57.8</v>
      </c>
      <c r="I4" s="1">
        <v>58.6</v>
      </c>
      <c r="J4" s="1">
        <v>60.3</v>
      </c>
      <c r="K4" s="1" t="s">
        <v>116</v>
      </c>
    </row>
    <row r="5" spans="1:19" x14ac:dyDescent="0.3">
      <c r="A5" s="1" t="s">
        <v>4</v>
      </c>
      <c r="B5" s="1" t="s">
        <v>104</v>
      </c>
      <c r="C5" s="1">
        <v>73.7</v>
      </c>
      <c r="D5" s="1">
        <v>76.2</v>
      </c>
      <c r="E5" s="1">
        <v>78.7</v>
      </c>
      <c r="F5" s="1">
        <v>81.3</v>
      </c>
      <c r="G5" s="1">
        <v>83.8</v>
      </c>
      <c r="H5" s="1">
        <v>86.4</v>
      </c>
      <c r="I5" s="1">
        <v>88.9</v>
      </c>
      <c r="J5" s="1">
        <v>91.4</v>
      </c>
      <c r="K5" s="1" t="s">
        <v>118</v>
      </c>
    </row>
    <row r="6" spans="1:19" x14ac:dyDescent="0.3">
      <c r="B6" s="1" t="s">
        <v>126</v>
      </c>
      <c r="C6" s="1">
        <v>74.900000000000006</v>
      </c>
      <c r="D6" s="1">
        <v>77.5</v>
      </c>
      <c r="E6" s="1">
        <v>80</v>
      </c>
      <c r="F6" s="1">
        <v>82.6</v>
      </c>
      <c r="G6" s="1">
        <v>85.1</v>
      </c>
      <c r="H6" s="1">
        <v>87.6</v>
      </c>
      <c r="I6" s="1">
        <v>90.2</v>
      </c>
      <c r="J6" s="1">
        <v>92.7</v>
      </c>
      <c r="K6" s="1" t="s">
        <v>119</v>
      </c>
    </row>
    <row r="7" spans="1:19" x14ac:dyDescent="0.3">
      <c r="A7" s="1" t="s">
        <v>5</v>
      </c>
      <c r="B7" s="1" t="s">
        <v>125</v>
      </c>
    </row>
    <row r="8" spans="1:19" x14ac:dyDescent="0.3">
      <c r="A8" s="1" t="s">
        <v>6</v>
      </c>
      <c r="B8" s="1" t="s">
        <v>107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86</v>
      </c>
      <c r="J8" s="3" t="s">
        <v>87</v>
      </c>
    </row>
    <row r="9" spans="1:19" x14ac:dyDescent="0.3">
      <c r="A9" s="1" t="s">
        <v>123</v>
      </c>
      <c r="B9" s="1" t="s">
        <v>124</v>
      </c>
      <c r="C9" s="9">
        <f>(C$10-C$1)/(C$2-C$1) * (C4 - C3) + C3</f>
        <v>48.7</v>
      </c>
      <c r="D9" s="9">
        <f t="shared" ref="D9:J9" si="0">(D10-D1)/(D2-D1) * (D4 - D3) + D3</f>
        <v>50.31818181818182</v>
      </c>
      <c r="E9" s="9">
        <f t="shared" si="0"/>
        <v>51.854545454545452</v>
      </c>
      <c r="F9" s="9">
        <f t="shared" si="0"/>
        <v>53.372727272727275</v>
      </c>
      <c r="G9" s="9">
        <f t="shared" si="0"/>
        <v>54.790909090909089</v>
      </c>
      <c r="H9" s="9">
        <f t="shared" si="0"/>
        <v>56.872727272727275</v>
      </c>
      <c r="I9" s="9">
        <f t="shared" si="0"/>
        <v>58.163636363636364</v>
      </c>
      <c r="J9" s="9">
        <f t="shared" si="0"/>
        <v>59.699999999999996</v>
      </c>
      <c r="K9" s="4" t="s">
        <v>113</v>
      </c>
      <c r="L9" s="4"/>
      <c r="M9" s="4"/>
      <c r="N9" s="4"/>
      <c r="O9" s="4"/>
      <c r="P9" s="4"/>
      <c r="Q9" s="4"/>
      <c r="R9" s="4"/>
    </row>
    <row r="10" spans="1:19" x14ac:dyDescent="0.3">
      <c r="A10" s="1" t="s">
        <v>108</v>
      </c>
      <c r="B10" s="5" t="s">
        <v>88</v>
      </c>
      <c r="C10" s="1">
        <v>662</v>
      </c>
      <c r="D10" s="1">
        <v>683</v>
      </c>
      <c r="E10" s="1">
        <v>704</v>
      </c>
      <c r="F10" s="1">
        <v>725</v>
      </c>
      <c r="G10" s="1">
        <v>747</v>
      </c>
      <c r="H10" s="1">
        <v>768</v>
      </c>
      <c r="I10" s="1">
        <v>790</v>
      </c>
      <c r="J10" s="1">
        <v>811</v>
      </c>
      <c r="K10" s="6"/>
      <c r="L10" s="7"/>
      <c r="M10" s="7"/>
      <c r="N10" s="7"/>
      <c r="O10" s="7"/>
      <c r="P10" s="7"/>
      <c r="Q10" s="7"/>
      <c r="R10" s="7"/>
      <c r="S10" s="7"/>
    </row>
    <row r="11" spans="1:19" x14ac:dyDescent="0.3">
      <c r="A11" s="1" t="s">
        <v>21</v>
      </c>
      <c r="B11" s="5" t="s">
        <v>89</v>
      </c>
      <c r="C11" s="1">
        <v>356</v>
      </c>
      <c r="D11" s="1">
        <v>367</v>
      </c>
      <c r="E11" s="1">
        <v>378</v>
      </c>
      <c r="F11" s="1">
        <v>390</v>
      </c>
      <c r="G11" s="1">
        <v>401</v>
      </c>
      <c r="H11" s="1">
        <v>413</v>
      </c>
      <c r="I11" s="1">
        <v>425</v>
      </c>
      <c r="J11" s="1">
        <v>436</v>
      </c>
      <c r="K11" s="6"/>
      <c r="L11" s="7"/>
      <c r="M11" s="7"/>
      <c r="N11" s="7"/>
      <c r="O11" s="7"/>
      <c r="P11" s="7"/>
      <c r="Q11" s="7"/>
      <c r="R11" s="7"/>
      <c r="S11" s="7"/>
    </row>
    <row r="12" spans="1:19" x14ac:dyDescent="0.3">
      <c r="A12" s="1" t="s">
        <v>20</v>
      </c>
      <c r="B12" s="5" t="s">
        <v>90</v>
      </c>
      <c r="C12" s="1">
        <v>541</v>
      </c>
      <c r="D12" s="1">
        <v>558</v>
      </c>
      <c r="E12" s="1">
        <v>579</v>
      </c>
      <c r="F12" s="1">
        <v>597</v>
      </c>
      <c r="G12" s="1">
        <v>614</v>
      </c>
      <c r="H12" s="1">
        <v>632</v>
      </c>
      <c r="I12" s="1">
        <v>654</v>
      </c>
      <c r="J12" s="1">
        <v>671</v>
      </c>
      <c r="K12" s="6"/>
      <c r="L12" s="7"/>
      <c r="M12" s="7"/>
      <c r="N12" s="7"/>
      <c r="O12" s="7"/>
      <c r="P12" s="7"/>
      <c r="Q12" s="7"/>
      <c r="R12" s="7"/>
      <c r="S12" s="7"/>
    </row>
    <row r="13" spans="1:19" x14ac:dyDescent="0.3">
      <c r="A13" s="1" t="s">
        <v>11</v>
      </c>
      <c r="B13" s="5" t="s">
        <v>91</v>
      </c>
      <c r="C13" s="1">
        <v>70.5</v>
      </c>
      <c r="D13" s="1">
        <v>70.5</v>
      </c>
      <c r="E13" s="1">
        <v>70.5</v>
      </c>
      <c r="F13" s="1">
        <v>70.5</v>
      </c>
      <c r="G13" s="1">
        <v>70.5</v>
      </c>
      <c r="H13" s="1">
        <v>70.5</v>
      </c>
      <c r="I13" s="1">
        <v>70.5</v>
      </c>
      <c r="J13" s="1">
        <v>70.5</v>
      </c>
      <c r="K13" s="6"/>
      <c r="L13" s="7"/>
      <c r="M13" s="7"/>
      <c r="N13" s="7"/>
      <c r="O13" s="7"/>
      <c r="P13" s="7"/>
      <c r="Q13" s="7"/>
      <c r="R13" s="7"/>
      <c r="S13" s="7"/>
    </row>
    <row r="14" spans="1:19" x14ac:dyDescent="0.3">
      <c r="A14" s="1" t="s">
        <v>9</v>
      </c>
      <c r="B14" s="5" t="s">
        <v>92</v>
      </c>
      <c r="C14" s="1">
        <v>92</v>
      </c>
      <c r="D14" s="1">
        <v>110</v>
      </c>
      <c r="E14" s="1">
        <v>133</v>
      </c>
      <c r="F14" s="1">
        <v>138</v>
      </c>
      <c r="G14" s="1">
        <v>157</v>
      </c>
      <c r="H14" s="1">
        <v>176</v>
      </c>
      <c r="I14" s="1">
        <v>199</v>
      </c>
      <c r="J14" s="1">
        <v>218</v>
      </c>
      <c r="K14" s="6"/>
      <c r="L14" s="7"/>
      <c r="M14" s="7"/>
      <c r="N14" s="7"/>
      <c r="O14" s="7"/>
      <c r="P14" s="7"/>
      <c r="Q14" s="7"/>
      <c r="R14" s="7"/>
      <c r="S14" s="7"/>
    </row>
    <row r="15" spans="1:19" x14ac:dyDescent="0.3">
      <c r="A15" s="1" t="s">
        <v>10</v>
      </c>
      <c r="B15" s="5" t="s">
        <v>93</v>
      </c>
      <c r="C15" s="1">
        <v>73.5</v>
      </c>
      <c r="D15" s="1">
        <v>73.5</v>
      </c>
      <c r="E15" s="1">
        <v>73</v>
      </c>
      <c r="F15" s="1">
        <v>73</v>
      </c>
      <c r="G15" s="1">
        <v>73</v>
      </c>
      <c r="H15" s="1">
        <v>73</v>
      </c>
      <c r="I15" s="1">
        <v>73</v>
      </c>
      <c r="J15" s="1">
        <v>73</v>
      </c>
      <c r="K15" s="6"/>
      <c r="L15" s="7"/>
      <c r="M15" s="7"/>
      <c r="N15" s="7"/>
      <c r="O15" s="7"/>
      <c r="P15" s="7"/>
      <c r="Q15" s="7"/>
      <c r="R15" s="7"/>
      <c r="S15" s="7"/>
    </row>
    <row r="16" spans="1:19" x14ac:dyDescent="0.3">
      <c r="A16" s="1" t="s">
        <v>7</v>
      </c>
      <c r="B16" s="5" t="s">
        <v>94</v>
      </c>
      <c r="C16" s="1">
        <v>402</v>
      </c>
      <c r="D16" s="1">
        <v>423</v>
      </c>
      <c r="E16" s="1">
        <v>444</v>
      </c>
      <c r="F16" s="1">
        <v>465</v>
      </c>
      <c r="G16" s="1">
        <v>487</v>
      </c>
      <c r="H16" s="1">
        <v>508</v>
      </c>
      <c r="I16" s="1">
        <v>530</v>
      </c>
      <c r="J16" s="1">
        <v>551</v>
      </c>
      <c r="K16" s="6"/>
      <c r="L16" s="7"/>
      <c r="M16" s="7"/>
      <c r="N16" s="7"/>
      <c r="O16" s="7"/>
      <c r="P16" s="7"/>
      <c r="Q16" s="7"/>
      <c r="R16" s="7"/>
      <c r="S16" s="7"/>
    </row>
    <row r="17" spans="1:19" x14ac:dyDescent="0.3">
      <c r="A17" s="1" t="s">
        <v>12</v>
      </c>
      <c r="B17" s="5" t="s">
        <v>95</v>
      </c>
      <c r="C17" s="1">
        <v>420</v>
      </c>
      <c r="D17" s="1">
        <v>420</v>
      </c>
      <c r="E17" s="1">
        <v>423</v>
      </c>
      <c r="F17" s="1">
        <v>425</v>
      </c>
      <c r="G17" s="1">
        <v>430</v>
      </c>
      <c r="H17" s="1">
        <v>435</v>
      </c>
      <c r="I17" s="1">
        <v>440</v>
      </c>
      <c r="J17" s="1">
        <v>445</v>
      </c>
      <c r="K17" s="6"/>
      <c r="L17" s="7"/>
      <c r="M17" s="7"/>
      <c r="N17" s="7"/>
      <c r="O17" s="7"/>
      <c r="P17" s="7"/>
      <c r="Q17" s="7"/>
      <c r="R17" s="7"/>
      <c r="S17" s="7"/>
    </row>
    <row r="18" spans="1:19" x14ac:dyDescent="0.3">
      <c r="A18" s="1" t="s">
        <v>14</v>
      </c>
      <c r="B18" s="5" t="s">
        <v>96</v>
      </c>
      <c r="C18" s="1">
        <v>74</v>
      </c>
      <c r="D18" s="1">
        <v>74</v>
      </c>
      <c r="E18" s="1">
        <v>74</v>
      </c>
      <c r="F18" s="1">
        <v>86</v>
      </c>
      <c r="G18" s="1">
        <v>86</v>
      </c>
      <c r="H18" s="1">
        <v>86</v>
      </c>
      <c r="I18" s="1">
        <v>86</v>
      </c>
      <c r="J18" s="1">
        <v>86</v>
      </c>
      <c r="K18" s="6"/>
      <c r="L18" s="7"/>
      <c r="M18" s="7"/>
      <c r="N18" s="7"/>
      <c r="O18" s="7"/>
      <c r="P18" s="7"/>
      <c r="Q18" s="7"/>
      <c r="R18" s="7"/>
      <c r="S18" s="7"/>
    </row>
    <row r="19" spans="1:19" x14ac:dyDescent="0.3">
      <c r="A19" s="1" t="s">
        <v>109</v>
      </c>
      <c r="B19" s="5" t="s">
        <v>97</v>
      </c>
      <c r="C19" s="1">
        <v>275</v>
      </c>
      <c r="D19" s="1">
        <v>275</v>
      </c>
      <c r="E19" s="1">
        <v>275</v>
      </c>
      <c r="F19" s="1">
        <v>282</v>
      </c>
      <c r="G19" s="1">
        <v>282</v>
      </c>
      <c r="H19" s="1">
        <v>282</v>
      </c>
      <c r="I19" s="1">
        <v>282</v>
      </c>
      <c r="J19" s="1">
        <v>282</v>
      </c>
      <c r="K19" s="6"/>
      <c r="L19" s="7"/>
      <c r="M19" s="7"/>
      <c r="N19" s="7"/>
      <c r="O19" s="7"/>
      <c r="P19" s="7"/>
      <c r="Q19" s="7"/>
      <c r="R19" s="7"/>
      <c r="S19" s="7"/>
    </row>
    <row r="20" spans="1:19" x14ac:dyDescent="0.3">
      <c r="A20" s="1" t="s">
        <v>110</v>
      </c>
      <c r="B20" s="5" t="s">
        <v>98</v>
      </c>
      <c r="C20" s="1">
        <v>650</v>
      </c>
      <c r="D20" s="1">
        <v>650</v>
      </c>
      <c r="E20" s="1">
        <v>650</v>
      </c>
      <c r="F20" s="1">
        <v>700</v>
      </c>
      <c r="G20" s="1">
        <v>700</v>
      </c>
      <c r="H20" s="1">
        <v>700</v>
      </c>
      <c r="I20" s="1">
        <v>700</v>
      </c>
      <c r="J20" s="1">
        <v>700</v>
      </c>
      <c r="K20" s="6"/>
      <c r="L20" s="11"/>
      <c r="M20" s="11"/>
      <c r="N20" s="11"/>
      <c r="O20" s="11"/>
      <c r="P20" s="11"/>
      <c r="Q20" s="11"/>
      <c r="R20" s="11"/>
      <c r="S20" s="11"/>
    </row>
    <row r="21" spans="1:19" x14ac:dyDescent="0.3">
      <c r="A21" s="1" t="s">
        <v>13</v>
      </c>
      <c r="B21" s="5" t="s">
        <v>99</v>
      </c>
      <c r="C21" s="1">
        <v>991</v>
      </c>
      <c r="D21" s="1">
        <v>1008</v>
      </c>
      <c r="E21" s="1">
        <v>1030</v>
      </c>
      <c r="F21" s="1">
        <v>1043</v>
      </c>
      <c r="G21" s="1">
        <v>1066</v>
      </c>
      <c r="H21" s="1">
        <v>1089</v>
      </c>
      <c r="I21" s="1">
        <v>1113</v>
      </c>
      <c r="J21" s="1">
        <v>1136</v>
      </c>
      <c r="K21" s="6"/>
      <c r="L21" s="11"/>
      <c r="M21" s="11"/>
      <c r="N21" s="11"/>
      <c r="O21" s="11"/>
      <c r="P21" s="11"/>
      <c r="Q21" s="11"/>
      <c r="R21" s="11"/>
      <c r="S21" s="11"/>
    </row>
    <row r="22" spans="1:19" x14ac:dyDescent="0.3">
      <c r="A22" s="1" t="s">
        <v>76</v>
      </c>
      <c r="B22" s="5" t="s">
        <v>100</v>
      </c>
      <c r="C22" s="1">
        <v>63</v>
      </c>
      <c r="D22" s="1">
        <v>63</v>
      </c>
      <c r="E22" s="1">
        <v>63</v>
      </c>
      <c r="F22" s="1">
        <v>70</v>
      </c>
      <c r="G22" s="1">
        <v>70</v>
      </c>
      <c r="H22" s="1">
        <v>70</v>
      </c>
      <c r="I22" s="1">
        <v>70</v>
      </c>
      <c r="J22" s="1">
        <v>70</v>
      </c>
      <c r="K22" s="6"/>
      <c r="L22" s="7"/>
      <c r="M22" s="7"/>
      <c r="N22" s="7"/>
      <c r="O22" s="7"/>
      <c r="P22" s="7"/>
      <c r="Q22" s="7"/>
      <c r="R22" s="7"/>
      <c r="S22" s="7"/>
    </row>
    <row r="23" spans="1:19" x14ac:dyDescent="0.3">
      <c r="A23" s="1" t="s">
        <v>26</v>
      </c>
      <c r="B23" s="3" t="s">
        <v>101</v>
      </c>
      <c r="C23" s="1">
        <v>719</v>
      </c>
      <c r="D23" s="1">
        <v>738</v>
      </c>
      <c r="E23" s="1">
        <v>759</v>
      </c>
      <c r="F23" s="1">
        <v>786</v>
      </c>
      <c r="G23" s="1">
        <v>804</v>
      </c>
      <c r="H23" s="1">
        <v>823</v>
      </c>
      <c r="I23" s="1">
        <v>844</v>
      </c>
      <c r="J23" s="1">
        <v>863</v>
      </c>
      <c r="K23" s="6"/>
      <c r="L23" s="7"/>
      <c r="M23" s="7"/>
      <c r="N23" s="7"/>
      <c r="O23" s="7"/>
      <c r="P23" s="7"/>
      <c r="Q23" s="7"/>
      <c r="R23" s="7"/>
      <c r="S23" s="7"/>
    </row>
    <row r="24" spans="1:19" x14ac:dyDescent="0.3">
      <c r="A24" s="1" t="s">
        <v>16</v>
      </c>
      <c r="B24" s="3" t="s">
        <v>75</v>
      </c>
      <c r="C24" s="7">
        <v>53</v>
      </c>
      <c r="D24" s="7">
        <v>53</v>
      </c>
      <c r="E24" s="7">
        <v>53</v>
      </c>
      <c r="F24" s="7">
        <v>53</v>
      </c>
      <c r="G24" s="7">
        <v>53</v>
      </c>
      <c r="H24" s="7">
        <v>53</v>
      </c>
      <c r="I24" s="7">
        <v>53</v>
      </c>
      <c r="J24" s="7">
        <v>53</v>
      </c>
      <c r="K24" s="6" t="s">
        <v>111</v>
      </c>
      <c r="L24" s="7"/>
      <c r="M24" s="7"/>
      <c r="N24" s="7"/>
      <c r="O24" s="7"/>
      <c r="P24" s="7"/>
      <c r="Q24" s="7"/>
      <c r="R24" s="7"/>
      <c r="S24" s="7"/>
    </row>
    <row r="25" spans="1:19" x14ac:dyDescent="0.3">
      <c r="A25" s="1" t="s">
        <v>15</v>
      </c>
      <c r="B25" s="8" t="s">
        <v>112</v>
      </c>
      <c r="C25" s="7">
        <v>410</v>
      </c>
      <c r="D25" s="7">
        <v>410</v>
      </c>
      <c r="E25" s="7">
        <v>410</v>
      </c>
      <c r="F25" s="7">
        <v>410</v>
      </c>
      <c r="G25" s="7">
        <v>410</v>
      </c>
      <c r="H25" s="7">
        <v>410</v>
      </c>
      <c r="I25" s="7">
        <v>410</v>
      </c>
      <c r="J25" s="7">
        <v>410</v>
      </c>
      <c r="K25" s="6"/>
      <c r="L25" s="7"/>
      <c r="M25" s="7"/>
      <c r="N25" s="7"/>
      <c r="O25" s="7"/>
      <c r="P25" s="7"/>
      <c r="Q25" s="7"/>
      <c r="R25" s="7"/>
      <c r="S25" s="7"/>
    </row>
    <row r="26" spans="1:19" x14ac:dyDescent="0.3">
      <c r="A26" s="1" t="s">
        <v>19</v>
      </c>
      <c r="B26" s="8"/>
      <c r="C26" s="7"/>
      <c r="D26" s="7"/>
      <c r="E26" s="7"/>
      <c r="F26" s="7"/>
      <c r="G26" s="7"/>
      <c r="H26" s="7"/>
      <c r="I26" s="7"/>
      <c r="J26" s="7"/>
      <c r="K26" s="6"/>
      <c r="L26" s="7"/>
      <c r="M26" s="7"/>
      <c r="N26" s="7"/>
      <c r="O26" s="7"/>
      <c r="P26" s="7"/>
      <c r="Q26" s="7"/>
      <c r="R26" s="7"/>
      <c r="S26" s="7"/>
    </row>
    <row r="27" spans="1:19" x14ac:dyDescent="0.3">
      <c r="A27" s="1" t="s">
        <v>73</v>
      </c>
      <c r="B27" s="8"/>
      <c r="C27" s="7"/>
      <c r="D27" s="7"/>
      <c r="E27" s="7"/>
      <c r="F27" s="7"/>
      <c r="G27" s="7"/>
      <c r="H27" s="7"/>
      <c r="I27" s="7"/>
      <c r="J27" s="7"/>
      <c r="K27" s="6"/>
      <c r="L27" s="7"/>
      <c r="M27" s="7"/>
      <c r="N27" s="7"/>
      <c r="O27" s="7"/>
      <c r="P27" s="7"/>
      <c r="Q27" s="7"/>
      <c r="R27" s="7"/>
      <c r="S27" s="7"/>
    </row>
    <row r="28" spans="1:19" x14ac:dyDescent="0.3">
      <c r="A28" s="1" t="s">
        <v>8</v>
      </c>
      <c r="B28" s="8"/>
      <c r="C28" s="7"/>
      <c r="D28" s="7"/>
      <c r="E28" s="7"/>
      <c r="F28" s="7"/>
      <c r="G28" s="7"/>
      <c r="H28" s="7"/>
      <c r="I28" s="7"/>
      <c r="J28" s="7"/>
      <c r="K28" s="6"/>
      <c r="L28" s="7"/>
      <c r="M28" s="7"/>
      <c r="N28" s="7"/>
      <c r="O28" s="7"/>
      <c r="P28" s="7"/>
      <c r="Q28" s="7"/>
      <c r="R28" s="7"/>
      <c r="S28" s="7"/>
    </row>
    <row r="29" spans="1:19" x14ac:dyDescent="0.3">
      <c r="A29" s="1" t="s">
        <v>22</v>
      </c>
      <c r="B29" s="8"/>
      <c r="D29" s="1">
        <v>1750</v>
      </c>
      <c r="G29" s="1">
        <v>1850</v>
      </c>
      <c r="K29" s="6"/>
      <c r="L29" s="7"/>
      <c r="M29" s="7"/>
      <c r="N29" s="7"/>
      <c r="O29" s="7"/>
      <c r="P29" s="7"/>
      <c r="Q29" s="7"/>
      <c r="R29" s="7"/>
      <c r="S29" s="7"/>
    </row>
    <row r="30" spans="1:19" x14ac:dyDescent="0.3">
      <c r="A30" s="1" t="s">
        <v>77</v>
      </c>
      <c r="B30" s="6"/>
      <c r="C30" s="7">
        <v>530</v>
      </c>
      <c r="D30" s="7">
        <v>530</v>
      </c>
      <c r="E30" s="7">
        <v>530</v>
      </c>
      <c r="F30" s="7">
        <v>530</v>
      </c>
      <c r="G30" s="7">
        <v>530</v>
      </c>
      <c r="H30" s="7">
        <v>530</v>
      </c>
      <c r="I30" s="7">
        <v>530</v>
      </c>
      <c r="J30" s="7">
        <v>530</v>
      </c>
      <c r="K30" s="6"/>
      <c r="L30" s="7"/>
      <c r="M30" s="7"/>
      <c r="N30" s="7"/>
      <c r="O30" s="7"/>
      <c r="P30" s="7"/>
      <c r="Q30" s="7"/>
      <c r="R30" s="7"/>
      <c r="S30" s="7"/>
    </row>
    <row r="31" spans="1:19" x14ac:dyDescent="0.3">
      <c r="A31" s="1" t="s">
        <v>18</v>
      </c>
      <c r="B31" s="6"/>
      <c r="C31" s="7"/>
      <c r="D31" s="7"/>
      <c r="E31" s="7"/>
      <c r="F31" s="7"/>
      <c r="G31" s="7"/>
      <c r="H31" s="7"/>
      <c r="I31" s="7"/>
      <c r="J31" s="7"/>
      <c r="K31" s="6"/>
      <c r="L31" s="7"/>
      <c r="M31" s="7"/>
      <c r="N31" s="7"/>
      <c r="O31" s="7"/>
      <c r="P31" s="7"/>
      <c r="Q31" s="7"/>
      <c r="R31" s="7"/>
      <c r="S31" s="7"/>
    </row>
    <row r="32" spans="1:19" x14ac:dyDescent="0.3">
      <c r="A32" s="1" t="s">
        <v>17</v>
      </c>
      <c r="B32" s="6"/>
      <c r="C32" s="7"/>
      <c r="D32" s="7"/>
      <c r="E32" s="7"/>
      <c r="F32" s="7"/>
      <c r="G32" s="7"/>
      <c r="H32" s="7"/>
      <c r="I32" s="7"/>
      <c r="J32" s="7"/>
      <c r="K32" s="6"/>
      <c r="L32" s="7"/>
      <c r="M32" s="7"/>
      <c r="N32" s="7"/>
      <c r="O32" s="7"/>
      <c r="P32" s="7"/>
      <c r="Q32" s="7"/>
      <c r="R32" s="7"/>
      <c r="S32" s="7"/>
    </row>
    <row r="33" spans="1:19" x14ac:dyDescent="0.3">
      <c r="A33" s="1" t="s">
        <v>23</v>
      </c>
      <c r="B33" s="5" t="s">
        <v>98</v>
      </c>
      <c r="C33" s="1">
        <v>650</v>
      </c>
      <c r="D33" s="1">
        <v>650</v>
      </c>
      <c r="E33" s="1">
        <v>650</v>
      </c>
      <c r="F33" s="1">
        <v>700</v>
      </c>
      <c r="G33" s="1">
        <v>700</v>
      </c>
      <c r="H33" s="1">
        <v>700</v>
      </c>
      <c r="I33" s="1">
        <v>700</v>
      </c>
      <c r="J33" s="1">
        <v>700</v>
      </c>
      <c r="K33" s="6"/>
      <c r="L33" s="7"/>
      <c r="M33" s="7"/>
      <c r="N33" s="7"/>
      <c r="O33" s="7"/>
      <c r="P33" s="7"/>
      <c r="Q33" s="7"/>
      <c r="R33" s="7"/>
      <c r="S33" s="7"/>
    </row>
    <row r="34" spans="1:19" x14ac:dyDescent="0.3">
      <c r="A34" s="1" t="s">
        <v>24</v>
      </c>
      <c r="B34" s="1" t="s">
        <v>24</v>
      </c>
      <c r="C34" s="1">
        <v>55</v>
      </c>
      <c r="D34" s="1">
        <v>55</v>
      </c>
      <c r="E34" s="1">
        <v>55</v>
      </c>
      <c r="F34" s="1">
        <v>55</v>
      </c>
      <c r="G34" s="1">
        <v>55</v>
      </c>
      <c r="H34" s="1">
        <v>55</v>
      </c>
      <c r="I34" s="1">
        <v>55</v>
      </c>
      <c r="J34" s="1">
        <v>55</v>
      </c>
    </row>
    <row r="35" spans="1:19" x14ac:dyDescent="0.3">
      <c r="A35" s="1" t="s">
        <v>25</v>
      </c>
      <c r="B35" s="1" t="s">
        <v>25</v>
      </c>
      <c r="C35" s="1">
        <v>57</v>
      </c>
      <c r="D35" s="1">
        <v>57</v>
      </c>
      <c r="E35" s="1">
        <v>57</v>
      </c>
      <c r="F35" s="1">
        <v>57</v>
      </c>
      <c r="G35" s="1">
        <v>57</v>
      </c>
      <c r="H35" s="1">
        <v>57</v>
      </c>
      <c r="I35" s="1">
        <v>57</v>
      </c>
      <c r="J35" s="1">
        <v>57</v>
      </c>
    </row>
    <row r="36" spans="1:19" x14ac:dyDescent="0.3">
      <c r="A36" s="1" t="s">
        <v>27</v>
      </c>
      <c r="C36" s="9">
        <v>160</v>
      </c>
      <c r="D36" s="9">
        <f t="shared" ref="D36:J36" si="1">AVERAGE(C41:D41)</f>
        <v>163.74389051808407</v>
      </c>
      <c r="E36" s="9">
        <f t="shared" si="1"/>
        <v>168.97360703812313</v>
      </c>
      <c r="F36" s="9">
        <f t="shared" si="1"/>
        <v>174.07624633431084</v>
      </c>
      <c r="G36" s="9">
        <f t="shared" si="1"/>
        <v>178.92473118279568</v>
      </c>
      <c r="H36" s="9">
        <f t="shared" si="1"/>
        <v>184.10557184750735</v>
      </c>
      <c r="I36" s="9">
        <f t="shared" si="1"/>
        <v>189.71652003910071</v>
      </c>
      <c r="J36" s="9">
        <f t="shared" si="1"/>
        <v>194.97230368198112</v>
      </c>
      <c r="K36" s="1" t="s">
        <v>122</v>
      </c>
    </row>
    <row r="37" spans="1:19" x14ac:dyDescent="0.3">
      <c r="A37" s="1" t="s">
        <v>28</v>
      </c>
      <c r="C37" s="9">
        <f>D36</f>
        <v>163.74389051808407</v>
      </c>
      <c r="D37" s="9">
        <f t="shared" ref="D37:I37" si="2">AVERAGE(D41:E41)</f>
        <v>168.97360703812313</v>
      </c>
      <c r="E37" s="9">
        <f t="shared" si="2"/>
        <v>174.07624633431084</v>
      </c>
      <c r="F37" s="9">
        <f t="shared" si="2"/>
        <v>178.92473118279568</v>
      </c>
      <c r="G37" s="9">
        <f t="shared" si="2"/>
        <v>184.10557184750735</v>
      </c>
      <c r="H37" s="9">
        <f t="shared" si="2"/>
        <v>189.71652003910071</v>
      </c>
      <c r="I37" s="9">
        <f t="shared" si="2"/>
        <v>194.97230368198112</v>
      </c>
      <c r="J37" s="9">
        <v>200</v>
      </c>
    </row>
    <row r="38" spans="1:19" x14ac:dyDescent="0.3">
      <c r="A38" s="1" t="s">
        <v>78</v>
      </c>
    </row>
    <row r="39" spans="1:19" x14ac:dyDescent="0.3">
      <c r="A39" s="1" t="s">
        <v>79</v>
      </c>
    </row>
    <row r="41" spans="1:19" x14ac:dyDescent="0.3">
      <c r="A41" s="1" t="s">
        <v>29</v>
      </c>
      <c r="B41" s="1" t="s">
        <v>30</v>
      </c>
      <c r="C41" s="10">
        <f>C42/0.465</f>
        <v>161.07526881720432</v>
      </c>
      <c r="D41" s="10">
        <f t="shared" ref="D41:J41" si="3">D42/0.465</f>
        <v>166.4125122189638</v>
      </c>
      <c r="E41" s="10">
        <f t="shared" si="3"/>
        <v>171.5347018572825</v>
      </c>
      <c r="F41" s="10">
        <f t="shared" si="3"/>
        <v>176.61779081133918</v>
      </c>
      <c r="G41" s="10">
        <f t="shared" si="3"/>
        <v>181.23167155425219</v>
      </c>
      <c r="H41" s="10">
        <f t="shared" si="3"/>
        <v>186.97947214076248</v>
      </c>
      <c r="I41" s="10">
        <f t="shared" si="3"/>
        <v>192.45356793743892</v>
      </c>
      <c r="J41" s="10">
        <f t="shared" si="3"/>
        <v>197.49103942652332</v>
      </c>
      <c r="K41" s="1" t="s">
        <v>121</v>
      </c>
    </row>
    <row r="42" spans="1:19" x14ac:dyDescent="0.3">
      <c r="A42" s="1" t="s">
        <v>66</v>
      </c>
      <c r="B42" s="1" t="s">
        <v>67</v>
      </c>
      <c r="C42" s="9">
        <f>(C$10-C$1)/(C$2-C$1) * (C6 - C5) + C5</f>
        <v>74.900000000000006</v>
      </c>
      <c r="D42" s="9">
        <f t="shared" ref="D42:J42" si="4">(D$10-D$1)/(D$2-D$1) * (D6 - D5) + D5</f>
        <v>77.381818181818176</v>
      </c>
      <c r="E42" s="9">
        <f t="shared" si="4"/>
        <v>79.763636363636365</v>
      </c>
      <c r="F42" s="9">
        <f t="shared" si="4"/>
        <v>82.127272727272725</v>
      </c>
      <c r="G42" s="9">
        <f t="shared" si="4"/>
        <v>84.272727272727266</v>
      </c>
      <c r="H42" s="9">
        <f t="shared" si="4"/>
        <v>86.945454545454552</v>
      </c>
      <c r="I42" s="9">
        <f t="shared" si="4"/>
        <v>89.490909090909099</v>
      </c>
      <c r="J42" s="9">
        <f t="shared" si="4"/>
        <v>91.833333333333343</v>
      </c>
      <c r="K42" s="6" t="s">
        <v>120</v>
      </c>
    </row>
    <row r="43" spans="1:19" x14ac:dyDescent="0.3">
      <c r="A43" s="1" t="s">
        <v>68</v>
      </c>
      <c r="B43" s="1" t="s">
        <v>69</v>
      </c>
    </row>
    <row r="44" spans="1:19" x14ac:dyDescent="0.3">
      <c r="A44" s="1" t="s">
        <v>70</v>
      </c>
      <c r="B44" s="1" t="s">
        <v>71</v>
      </c>
    </row>
    <row r="45" spans="1:19" x14ac:dyDescent="0.3">
      <c r="A45" s="1" t="s">
        <v>31</v>
      </c>
      <c r="B45" s="1" t="s">
        <v>105</v>
      </c>
    </row>
    <row r="46" spans="1:19" x14ac:dyDescent="0.3">
      <c r="A46" s="1" t="s">
        <v>32</v>
      </c>
      <c r="B46" s="1" t="s">
        <v>72</v>
      </c>
    </row>
    <row r="47" spans="1:19" x14ac:dyDescent="0.3">
      <c r="A47" s="1" t="s">
        <v>33</v>
      </c>
    </row>
    <row r="48" spans="1:19" x14ac:dyDescent="0.3">
      <c r="A48" s="1" t="s">
        <v>34</v>
      </c>
      <c r="B48" s="1">
        <v>57</v>
      </c>
    </row>
    <row r="49" spans="1:2" x14ac:dyDescent="0.3">
      <c r="A49" s="1" t="s">
        <v>35</v>
      </c>
      <c r="B49" s="1">
        <v>2.25</v>
      </c>
    </row>
    <row r="50" spans="1:2" x14ac:dyDescent="0.3">
      <c r="A50" s="1" t="s">
        <v>36</v>
      </c>
    </row>
    <row r="51" spans="1:2" x14ac:dyDescent="0.3">
      <c r="A51" s="1" t="s">
        <v>37</v>
      </c>
    </row>
    <row r="52" spans="1:2" x14ac:dyDescent="0.3">
      <c r="A52" s="1" t="s">
        <v>38</v>
      </c>
    </row>
    <row r="53" spans="1:2" x14ac:dyDescent="0.3">
      <c r="A53" s="1" t="s">
        <v>39</v>
      </c>
    </row>
    <row r="54" spans="1:2" x14ac:dyDescent="0.3">
      <c r="A54" s="1" t="s">
        <v>40</v>
      </c>
      <c r="B54" s="1">
        <v>142</v>
      </c>
    </row>
    <row r="55" spans="1:2" x14ac:dyDescent="0.3">
      <c r="A55" s="1" t="s">
        <v>41</v>
      </c>
      <c r="B55" s="1">
        <v>100</v>
      </c>
    </row>
    <row r="56" spans="1:2" x14ac:dyDescent="0.3">
      <c r="A56" s="1" t="s">
        <v>130</v>
      </c>
    </row>
    <row r="57" spans="1:2" x14ac:dyDescent="0.3">
      <c r="A57" s="1" t="s">
        <v>131</v>
      </c>
    </row>
    <row r="58" spans="1:2" x14ac:dyDescent="0.3">
      <c r="A58" s="1" t="s">
        <v>132</v>
      </c>
    </row>
    <row r="59" spans="1:2" x14ac:dyDescent="0.3">
      <c r="A59" s="1" t="s">
        <v>133</v>
      </c>
    </row>
    <row r="60" spans="1:2" x14ac:dyDescent="0.3">
      <c r="A60" s="1" t="s">
        <v>134</v>
      </c>
    </row>
    <row r="61" spans="1:2" x14ac:dyDescent="0.3">
      <c r="A61" s="1" t="s">
        <v>135</v>
      </c>
    </row>
    <row r="62" spans="1:2" x14ac:dyDescent="0.3">
      <c r="A62" s="1" t="s">
        <v>42</v>
      </c>
      <c r="B62" s="1" t="s">
        <v>74</v>
      </c>
    </row>
    <row r="63" spans="1:2" x14ac:dyDescent="0.3">
      <c r="A63" s="1" t="s">
        <v>43</v>
      </c>
    </row>
    <row r="64" spans="1:2" x14ac:dyDescent="0.3">
      <c r="A64" s="1" t="s">
        <v>44</v>
      </c>
      <c r="B64" s="1">
        <v>27.2</v>
      </c>
    </row>
    <row r="65" spans="1:2" x14ac:dyDescent="0.3">
      <c r="A65" s="1" t="s">
        <v>45</v>
      </c>
    </row>
    <row r="66" spans="1:2" x14ac:dyDescent="0.3">
      <c r="A66" s="1" t="s">
        <v>46</v>
      </c>
      <c r="B66" s="1">
        <v>42</v>
      </c>
    </row>
    <row r="67" spans="1:2" x14ac:dyDescent="0.3">
      <c r="A67" s="1" t="s">
        <v>47</v>
      </c>
    </row>
    <row r="68" spans="1:2" x14ac:dyDescent="0.3">
      <c r="A68" s="1" t="s">
        <v>48</v>
      </c>
      <c r="B68" s="1">
        <v>180</v>
      </c>
    </row>
    <row r="69" spans="1:2" x14ac:dyDescent="0.3">
      <c r="A69" s="1" t="s">
        <v>49</v>
      </c>
      <c r="B69" s="1">
        <v>160</v>
      </c>
    </row>
    <row r="70" spans="1:2" x14ac:dyDescent="0.3">
      <c r="A70" s="1" t="s">
        <v>50</v>
      </c>
    </row>
    <row r="71" spans="1:2" x14ac:dyDescent="0.3">
      <c r="A71" s="1" t="s">
        <v>51</v>
      </c>
      <c r="B71" s="1" t="s">
        <v>106</v>
      </c>
    </row>
    <row r="72" spans="1:2" x14ac:dyDescent="0.3">
      <c r="A72" s="1" t="s">
        <v>52</v>
      </c>
      <c r="B72" s="1" t="s">
        <v>72</v>
      </c>
    </row>
    <row r="73" spans="1:2" x14ac:dyDescent="0.3">
      <c r="A73" s="1" t="s">
        <v>53</v>
      </c>
      <c r="B73" s="1" t="s">
        <v>72</v>
      </c>
    </row>
    <row r="74" spans="1:2" x14ac:dyDescent="0.3">
      <c r="A74" s="1" t="s">
        <v>54</v>
      </c>
    </row>
    <row r="75" spans="1:2" x14ac:dyDescent="0.3">
      <c r="A75" s="1" t="s">
        <v>55</v>
      </c>
    </row>
    <row r="76" spans="1:2" x14ac:dyDescent="0.3">
      <c r="A76" s="1" t="s">
        <v>56</v>
      </c>
    </row>
    <row r="77" spans="1:2" x14ac:dyDescent="0.3">
      <c r="A77" s="1" t="s">
        <v>57</v>
      </c>
    </row>
    <row r="78" spans="1:2" x14ac:dyDescent="0.3">
      <c r="A78" s="1" t="s">
        <v>58</v>
      </c>
      <c r="B78" s="1">
        <v>3</v>
      </c>
    </row>
    <row r="79" spans="1:2" x14ac:dyDescent="0.3">
      <c r="A79" s="1" t="s">
        <v>59</v>
      </c>
    </row>
    <row r="80" spans="1:2" x14ac:dyDescent="0.3">
      <c r="A80" s="1" t="s">
        <v>60</v>
      </c>
      <c r="B80" s="1" t="s">
        <v>72</v>
      </c>
    </row>
    <row r="81" spans="1:2" x14ac:dyDescent="0.3">
      <c r="A81" s="1" t="s">
        <v>61</v>
      </c>
    </row>
    <row r="82" spans="1:2" x14ac:dyDescent="0.3">
      <c r="A82" s="1" t="s">
        <v>62</v>
      </c>
      <c r="B82" s="1">
        <v>2600</v>
      </c>
    </row>
    <row r="83" spans="1:2" x14ac:dyDescent="0.3">
      <c r="A83" s="1" t="s">
        <v>63</v>
      </c>
      <c r="B83" s="1">
        <v>4850</v>
      </c>
    </row>
    <row r="84" spans="1:2" x14ac:dyDescent="0.3">
      <c r="A84" s="1" t="s">
        <v>64</v>
      </c>
      <c r="B84" s="1" t="s">
        <v>72</v>
      </c>
    </row>
    <row r="85" spans="1:2" x14ac:dyDescent="0.3">
      <c r="A85" s="1" t="s">
        <v>65</v>
      </c>
      <c r="B85" s="1" t="s">
        <v>127</v>
      </c>
    </row>
    <row r="86" spans="1:2" x14ac:dyDescent="0.3">
      <c r="A86" s="1" t="s">
        <v>128</v>
      </c>
      <c r="B86" s="1" t="s">
        <v>129</v>
      </c>
    </row>
  </sheetData>
  <mergeCells count="8">
    <mergeCell ref="R20:R21"/>
    <mergeCell ref="S20:S21"/>
    <mergeCell ref="L20:L21"/>
    <mergeCell ref="M20:M21"/>
    <mergeCell ref="N20:N21"/>
    <mergeCell ref="O20:O21"/>
    <mergeCell ref="P20:P21"/>
    <mergeCell ref="Q20:Q2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2025-11-07T14:44:09Z</dcterms:modified>
</cp:coreProperties>
</file>