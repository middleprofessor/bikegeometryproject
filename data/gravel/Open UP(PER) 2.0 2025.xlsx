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AF660CA-7FF1-C740-80AF-24304FE332E4}" xr6:coauthVersionLast="47" xr6:coauthVersionMax="47" xr10:uidLastSave="{00000000-0000-0000-0000-000000000000}"/>
  <bookViews>
    <workbookView xWindow="2720" yWindow="2560" windowWidth="26080" windowHeight="15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E20" i="1"/>
  <c r="R16" i="1" s="1"/>
  <c r="F20" i="1"/>
  <c r="S16" i="1" s="1"/>
  <c r="G20" i="1"/>
  <c r="T16" i="1" s="1"/>
  <c r="C20" i="1"/>
  <c r="N16" i="1"/>
  <c r="N17" i="1" s="1"/>
  <c r="N18" i="1"/>
  <c r="N19" i="1" s="1"/>
  <c r="N20" i="1" s="1"/>
  <c r="N25" i="1"/>
  <c r="N27" i="1" s="1"/>
  <c r="N28" i="1" s="1"/>
  <c r="N29" i="1" s="1"/>
  <c r="N30" i="1" s="1"/>
  <c r="N26" i="1"/>
  <c r="K9" i="1"/>
  <c r="L9" i="1"/>
  <c r="M9" i="1"/>
  <c r="N9" i="1"/>
  <c r="K10" i="1"/>
  <c r="L10" i="1"/>
  <c r="M10" i="1"/>
  <c r="N10" i="1"/>
  <c r="K11" i="1"/>
  <c r="L11" i="1"/>
  <c r="M11" i="1"/>
  <c r="M16" i="1" s="1"/>
  <c r="N11" i="1"/>
  <c r="K12" i="1"/>
  <c r="L12" i="1"/>
  <c r="M12" i="1"/>
  <c r="N12" i="1"/>
  <c r="K13" i="1"/>
  <c r="L13" i="1"/>
  <c r="M13" i="1"/>
  <c r="N13" i="1"/>
  <c r="J13" i="1"/>
  <c r="J12" i="1"/>
  <c r="J11" i="1"/>
  <c r="J10" i="1"/>
  <c r="J9" i="1"/>
  <c r="L16" i="1"/>
  <c r="K16" i="1"/>
  <c r="J16" i="1"/>
  <c r="Q10" i="1"/>
  <c r="Q14" i="1"/>
  <c r="R13" i="1"/>
  <c r="S13" i="1"/>
  <c r="T13" i="1"/>
  <c r="Q13" i="1"/>
  <c r="Q12" i="1"/>
  <c r="Q19" i="1" s="1"/>
  <c r="Q11" i="1"/>
  <c r="Q9" i="1"/>
  <c r="Q21" i="1" s="1"/>
  <c r="T15" i="1"/>
  <c r="S15" i="1"/>
  <c r="R15" i="1"/>
  <c r="T12" i="1"/>
  <c r="T19" i="1" s="1"/>
  <c r="S12" i="1"/>
  <c r="S19" i="1" s="1"/>
  <c r="R12" i="1"/>
  <c r="R19" i="1" s="1"/>
  <c r="T11" i="1"/>
  <c r="S11" i="1"/>
  <c r="R11" i="1"/>
  <c r="T9" i="1"/>
  <c r="S9" i="1"/>
  <c r="R9" i="1"/>
  <c r="B70" i="1"/>
  <c r="N21" i="1" l="1"/>
  <c r="N22" i="1" s="1"/>
  <c r="M18" i="1"/>
  <c r="M19" i="1" s="1"/>
  <c r="M20" i="1" s="1"/>
  <c r="M25" i="1"/>
  <c r="L25" i="1"/>
  <c r="L18" i="1"/>
  <c r="L19" i="1" s="1"/>
  <c r="L20" i="1" s="1"/>
  <c r="K25" i="1"/>
  <c r="K18" i="1"/>
  <c r="K19" i="1" s="1"/>
  <c r="K20" i="1" s="1"/>
  <c r="J25" i="1"/>
  <c r="J18" i="1"/>
  <c r="J19" i="1" s="1"/>
  <c r="J20" i="1" s="1"/>
  <c r="M17" i="1"/>
  <c r="M26" i="1"/>
  <c r="L17" i="1"/>
  <c r="L26" i="1"/>
  <c r="K17" i="1"/>
  <c r="K26" i="1"/>
  <c r="J17" i="1"/>
  <c r="J26" i="1"/>
  <c r="Q23" i="1"/>
  <c r="Q22" i="1"/>
  <c r="T29" i="1"/>
  <c r="T30" i="1" s="1"/>
  <c r="T31" i="1" s="1"/>
  <c r="T36" i="1"/>
  <c r="S36" i="1"/>
  <c r="S29" i="1"/>
  <c r="S30" i="1" s="1"/>
  <c r="S31" i="1" s="1"/>
  <c r="R29" i="1"/>
  <c r="R30" i="1" s="1"/>
  <c r="R31" i="1" s="1"/>
  <c r="R36" i="1"/>
  <c r="Q29" i="1"/>
  <c r="Q30" i="1" s="1"/>
  <c r="Q31" i="1" s="1"/>
  <c r="Q36" i="1"/>
  <c r="T37" i="1"/>
  <c r="T20" i="1"/>
  <c r="T32" i="1" s="1"/>
  <c r="T33" i="1" s="1"/>
  <c r="S20" i="1"/>
  <c r="S37" i="1"/>
  <c r="R37" i="1"/>
  <c r="R20" i="1"/>
  <c r="Q20" i="1"/>
  <c r="Q37" i="1"/>
  <c r="J21" i="1" l="1"/>
  <c r="J22" i="1" s="1"/>
  <c r="K21" i="1"/>
  <c r="K22" i="1" s="1"/>
  <c r="L21" i="1"/>
  <c r="L22" i="1" s="1"/>
  <c r="M21" i="1"/>
  <c r="M22" i="1" s="1"/>
  <c r="L27" i="1"/>
  <c r="L28" i="1" s="1"/>
  <c r="L29" i="1" s="1"/>
  <c r="L30" i="1" s="1"/>
  <c r="K27" i="1"/>
  <c r="K28" i="1" s="1"/>
  <c r="K29" i="1" s="1"/>
  <c r="K30" i="1" s="1"/>
  <c r="J27" i="1"/>
  <c r="J28" i="1" s="1"/>
  <c r="J29" i="1" s="1"/>
  <c r="J30" i="1" s="1"/>
  <c r="M27" i="1"/>
  <c r="M28" i="1" s="1"/>
  <c r="M29" i="1" s="1"/>
  <c r="M30" i="1" s="1"/>
  <c r="Q24" i="1"/>
  <c r="Q25" i="1" s="1"/>
  <c r="S32" i="1"/>
  <c r="S33" i="1" s="1"/>
  <c r="R32" i="1"/>
  <c r="R33" i="1" s="1"/>
  <c r="Q32" i="1"/>
  <c r="Q33" i="1" s="1"/>
  <c r="R38" i="1"/>
  <c r="R39" i="1" s="1"/>
  <c r="R40" i="1" s="1"/>
  <c r="R41" i="1" s="1"/>
  <c r="Q38" i="1"/>
  <c r="Q39" i="1" s="1"/>
  <c r="Q40" i="1" s="1"/>
  <c r="Q41" i="1" s="1"/>
  <c r="T38" i="1"/>
  <c r="T39" i="1" s="1"/>
  <c r="T40" i="1" s="1"/>
  <c r="T41" i="1" s="1"/>
  <c r="S38" i="1"/>
  <c r="S39" i="1" s="1"/>
  <c r="S40" i="1" s="1"/>
  <c r="S41" i="1" s="1"/>
</calcChain>
</file>

<file path=xl/sharedStrings.xml><?xml version="1.0" encoding="utf-8"?>
<sst xmlns="http://schemas.openxmlformats.org/spreadsheetml/2006/main" count="172" uniqueCount="135">
  <si>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</si>
  <si>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</si>
  <si>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</si>
  <si>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</si>
  <si>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</si>
  <si>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</si>
  <si>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</si>
  <si>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</si>
  <si>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</si>
  <si>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</si>
  <si>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</si>
  <si>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</si>
  <si>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</si>
  <si>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</si>
  <si>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</si>
  <si>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</si>
  <si>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</si>
  <si>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</si>
  <si>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</si>
  <si>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</si>
  <si>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</si>
  <si>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</si>
  <si>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</si>
  <si>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</si>
  <si>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</si>
  <si>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</si>
  <si>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</si>
  <si>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</si>
  <si>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</si>
  <si>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</si>
  <si>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</si>
  <si>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</si>
  <si>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</si>
  <si>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</si>
  <si>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</si>
  <si>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</si>
  <si>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</si>
  <si>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</si>
  <si>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</si>
  <si>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</si>
  <si>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</si>
  <si>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</si>
  <si>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</si>
  <si>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</si>
  <si>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</si>
  <si>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</si>
  <si>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</si>
  <si>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</si>
  <si>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</si>
  <si>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</si>
  <si>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</si>
  <si>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</si>
  <si>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</si>
  <si>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</si>
  <si>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</si>
  <si>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</si>
  <si>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</si>
  <si>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</si>
  <si>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</si>
  <si>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</si>
  <si>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</si>
  <si>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</si>
  <si>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</si>
  <si>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</si>
  <si>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</si>
  <si>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</si>
  <si>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</si>
  <si>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</si>
  <si>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</si>
  <si>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</si>
  <si>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</si>
  <si>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</si>
  <si>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yes</t>
  </si>
  <si>
    <t>front_center</t>
  </si>
  <si>
    <t>trail</t>
  </si>
  <si>
    <t>threaded</t>
  </si>
  <si>
    <t>internal</t>
  </si>
  <si>
    <t>Open</t>
  </si>
  <si>
    <t>XS</t>
  </si>
  <si>
    <t>S</t>
  </si>
  <si>
    <t>M</t>
  </si>
  <si>
    <t>L</t>
  </si>
  <si>
    <t>XL</t>
  </si>
  <si>
    <t>Stack</t>
  </si>
  <si>
    <t>Reach</t>
  </si>
  <si>
    <t>Seattube length</t>
  </si>
  <si>
    <t>Toptube length</t>
  </si>
  <si>
    <t>Seattube angle</t>
  </si>
  <si>
    <t>Headtube angle</t>
  </si>
  <si>
    <t>BB drop</t>
  </si>
  <si>
    <t>Front-center</t>
  </si>
  <si>
    <t>Rear-center</t>
  </si>
  <si>
    <t>Wheelbase</t>
  </si>
  <si>
    <t>Standover height</t>
  </si>
  <si>
    <t>Approx. rider height (cm)</t>
  </si>
  <si>
    <t>&lt; 165</t>
  </si>
  <si>
    <t>160-171</t>
  </si>
  <si>
    <t>169-180</t>
  </si>
  <si>
    <t>178-191</t>
  </si>
  <si>
    <t>&gt; 188</t>
  </si>
  <si>
    <t>Approx. rider height (in)</t>
  </si>
  <si>
    <t>&lt; 5'5</t>
  </si>
  <si>
    <t>5'3-5'8</t>
  </si>
  <si>
    <t>5'6-5'11</t>
  </si>
  <si>
    <t>5'10-6'3</t>
  </si>
  <si>
    <t>&gt; 6'2</t>
  </si>
  <si>
    <t>https://opencycle.com/upper-20</t>
  </si>
  <si>
    <t>drop bar</t>
  </si>
  <si>
    <t>rigid</t>
  </si>
  <si>
    <t>carbon</t>
  </si>
  <si>
    <t>USD</t>
  </si>
  <si>
    <t>U.P.(PER.) 2.0</t>
  </si>
  <si>
    <t>a8:g32</t>
  </si>
  <si>
    <t>size</t>
  </si>
  <si>
    <t>offset</t>
  </si>
  <si>
    <t>alpha</t>
  </si>
  <si>
    <t>beta</t>
  </si>
  <si>
    <t>ac.v</t>
  </si>
  <si>
    <t>h.v</t>
  </si>
  <si>
    <t>ht length</t>
  </si>
  <si>
    <t>chainstay</t>
  </si>
  <si>
    <t>bb drop</t>
  </si>
  <si>
    <t>hta</t>
  </si>
  <si>
    <t>axle-crown</t>
  </si>
  <si>
    <t>crown-race</t>
  </si>
  <si>
    <t>hta rad</t>
  </si>
  <si>
    <t>crown-race.v</t>
  </si>
  <si>
    <t>bike geometry goodnotes</t>
  </si>
  <si>
    <t>delta</t>
  </si>
  <si>
    <t>gamma</t>
  </si>
  <si>
    <t>steer_axis_v</t>
  </si>
  <si>
    <t>steer_axis_h</t>
  </si>
  <si>
    <t>rc.h</t>
  </si>
  <si>
    <t>offset_h</t>
  </si>
  <si>
    <t>https://opencycle.com/thumbnail/69/b9/5e/1756719351/MARCGASCH_OPEN250829_08007_1920x1920.jpg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</si>
</sst>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2" x14ac:knownFonts="1">
    <font>
      <sz val="14"/>
      <color rgb="FF000000"/>
      <name val="Futura"/>
    </font>
    <font>
      <sz val="14"/>
      <color rgb="FF000000"/>
      <name val="Futura Medium"/>
    </font>
    <font>
      <b/>
      <sz val="10"/>
      <color rgb="FF000000"/>
      <name val="Futura Medium"/>
    </font>
    <font>
      <sz val="10"/>
      <color rgb="FF000000"/>
      <name val="Futura Medium"/>
    </font>
    <font>
      <sz val="16"/>
      <color rgb="FF191919"/>
      <name val="Arial"/>
      <family val="2"/>
    </font>
    <font>
      <sz val="16"/>
      <color rgb="FF191919"/>
      <name val="Arial"/>
      <family val="2"/>
    </font>
    <font>
      <sz val="16"/>
      <color rgb="FF585858"/>
      <name val="Arial"/>
      <family val="2"/>
    </font>
    <font>
      <sz val="14"/>
      <color theme="1"/>
      <name val="Futura Medium"/>
    </font>
    <font>
      <b/>
      <sz val="16"/>
      <color theme="1"/>
      <name val="Helvetica"/>
      <family val="2"/>
    </font>
    <font>
      <sz val="16"/>
      <color theme="1"/>
      <name val="Helvetica"/>
      <family val="2"/>
    </font>
    <font>
      <sz val="14"/>
      <color rgb="FF000000"/>
      <name val="Futura"/>
      <family val="2"/>
    </font>
    <font>
      <sz val="14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1" fontId="1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0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2"/>
  <sheetViews>
    <sheetView tabSelected="1" zoomScaleNormal="100" workbookViewId="0">
      <selection activeCell="B6" sqref="B6"/>
    </sheetView>
  </sheetViews>
  <sheetFormatPr baseColWidth="10" defaultRowHeight="20" x14ac:dyDescent="0.3"/>
  <cols>
    <col min="1" max="2" width="19.6640625" style="1" customWidth="1"/>
    <col min="3" max="5" width="10.77734375" style="1"/>
    <col min="6" max="6" width="11.44140625" style="1" bestFit="1" customWidth="1"/>
    <col min="7" max="16384" width="10.77734375" style="1"/>
  </cols>
  <sheetData>
    <row r="1" spans="1:28" x14ac:dyDescent="0.3">
      <c r="A1" s="1" t="s">
        <v>0</v>
      </c>
      <c r="B1" s="1" t="s">
        <v>77</v>
      </c>
    </row>
    <row r="2" spans="1:28" x14ac:dyDescent="0.3">
      <c r="A2" s="1" t="s">
        <v>1</v>
      </c>
      <c r="B2" s="1" t="s">
        <v>111</v>
      </c>
    </row>
    <row r="3" spans="1:28" x14ac:dyDescent="0.3">
      <c r="A3" s="1" t="s">
        <v>2</v>
      </c>
      <c r="B3" s="1">
        <v>2026</v>
      </c>
    </row>
    <row r="4" spans="1:28" x14ac:dyDescent="0.3">
      <c r="A4" s="1" t="s">
        <v>3</v>
      </c>
      <c r="B4" s="2">
        <v>45922</v>
      </c>
    </row>
    <row r="5" spans="1:28" x14ac:dyDescent="0.3">
      <c r="A5" s="1" t="s">
        <v>4</v>
      </c>
      <c r="B5" s="1" t="s">
        <v>106</v>
      </c>
    </row>
    <row r="6" spans="1:28" x14ac:dyDescent="0.3">
      <c r="B6" s="1" t="s">
        <v>134</v>
      </c>
    </row>
    <row r="7" spans="1:28" x14ac:dyDescent="0.3">
      <c r="A7" s="1" t="s">
        <v>5</v>
      </c>
      <c r="B7" s="1" t="s">
        <v>112</v>
      </c>
      <c r="C7" s="9"/>
      <c r="D7" s="9"/>
      <c r="E7" s="9"/>
      <c r="F7" s="9"/>
    </row>
    <row r="8" spans="1:28" ht="22" x14ac:dyDescent="0.3">
      <c r="A8" s="1" t="s">
        <v>6</v>
      </c>
      <c r="B8" s="1" t="s">
        <v>113</v>
      </c>
      <c r="C8" s="1" t="s">
        <v>78</v>
      </c>
      <c r="D8" s="12" t="s">
        <v>79</v>
      </c>
      <c r="E8" s="12" t="s">
        <v>80</v>
      </c>
      <c r="F8" s="12" t="s">
        <v>81</v>
      </c>
      <c r="G8" s="12" t="s">
        <v>82</v>
      </c>
      <c r="H8" s="10"/>
      <c r="I8" s="10"/>
      <c r="J8" s="1" t="s">
        <v>78</v>
      </c>
      <c r="K8" s="12" t="s">
        <v>79</v>
      </c>
      <c r="L8" s="12" t="s">
        <v>80</v>
      </c>
      <c r="M8" s="12" t="s">
        <v>81</v>
      </c>
      <c r="N8" s="12" t="s">
        <v>82</v>
      </c>
      <c r="O8" s="12"/>
      <c r="U8" s="3"/>
      <c r="V8" s="3"/>
      <c r="W8" s="3"/>
      <c r="X8" s="3"/>
      <c r="Y8" s="3"/>
      <c r="Z8" s="3"/>
      <c r="AA8" s="3"/>
      <c r="AB8" s="3"/>
    </row>
    <row r="9" spans="1:28" ht="22" x14ac:dyDescent="0.3">
      <c r="A9" s="1" t="s">
        <v>16</v>
      </c>
      <c r="B9" s="11" t="s">
        <v>83</v>
      </c>
      <c r="C9" s="11">
        <v>520</v>
      </c>
      <c r="D9" s="11">
        <v>545</v>
      </c>
      <c r="E9" s="11">
        <v>570</v>
      </c>
      <c r="F9" s="11">
        <v>595</v>
      </c>
      <c r="G9" s="7">
        <v>620</v>
      </c>
      <c r="H9" s="11"/>
      <c r="I9" s="13" t="s">
        <v>16</v>
      </c>
      <c r="J9">
        <f>C9</f>
        <v>520</v>
      </c>
      <c r="K9">
        <f t="shared" ref="K9:N9" si="0">D9</f>
        <v>545</v>
      </c>
      <c r="L9">
        <f t="shared" si="0"/>
        <v>570</v>
      </c>
      <c r="M9">
        <f t="shared" si="0"/>
        <v>595</v>
      </c>
      <c r="N9">
        <f t="shared" si="0"/>
        <v>620</v>
      </c>
      <c r="O9" s="11"/>
      <c r="P9" s="13" t="s">
        <v>16</v>
      </c>
      <c r="Q9">
        <f>C9</f>
        <v>520</v>
      </c>
      <c r="R9">
        <f>E10</f>
        <v>380</v>
      </c>
      <c r="S9">
        <f>F10</f>
        <v>392</v>
      </c>
      <c r="T9">
        <f>G10</f>
        <v>404</v>
      </c>
      <c r="U9" s="4"/>
      <c r="V9" s="4"/>
      <c r="W9" s="4"/>
      <c r="X9" s="4"/>
      <c r="Y9" s="4"/>
      <c r="Z9" s="4"/>
    </row>
    <row r="10" spans="1:28" ht="22" x14ac:dyDescent="0.3">
      <c r="A10" s="1" t="s">
        <v>17</v>
      </c>
      <c r="B10" s="11" t="s">
        <v>84</v>
      </c>
      <c r="C10" s="11">
        <v>356</v>
      </c>
      <c r="D10" s="11">
        <v>368</v>
      </c>
      <c r="E10" s="11">
        <v>380</v>
      </c>
      <c r="F10" s="11">
        <v>392</v>
      </c>
      <c r="G10" s="7">
        <v>404</v>
      </c>
      <c r="H10" s="11"/>
      <c r="I10" s="13" t="s">
        <v>121</v>
      </c>
      <c r="J10">
        <f>C15</f>
        <v>82</v>
      </c>
      <c r="K10">
        <f t="shared" ref="K10:N10" si="1">D15</f>
        <v>77</v>
      </c>
      <c r="L10">
        <f t="shared" si="1"/>
        <v>75</v>
      </c>
      <c r="M10">
        <f t="shared" si="1"/>
        <v>73</v>
      </c>
      <c r="N10">
        <f t="shared" si="1"/>
        <v>72</v>
      </c>
      <c r="O10" s="11"/>
      <c r="P10" s="13" t="s">
        <v>17</v>
      </c>
      <c r="Q10">
        <f>C10</f>
        <v>356</v>
      </c>
      <c r="R10"/>
      <c r="S10"/>
      <c r="T10"/>
      <c r="U10" s="4"/>
      <c r="V10" s="4"/>
      <c r="W10" s="4"/>
      <c r="X10" s="4"/>
      <c r="Y10" s="4"/>
      <c r="Z10" s="4"/>
    </row>
    <row r="11" spans="1:28" ht="22" x14ac:dyDescent="0.3">
      <c r="A11" s="1" t="s">
        <v>9</v>
      </c>
      <c r="B11" s="11" t="s">
        <v>85</v>
      </c>
      <c r="C11" s="11">
        <v>418</v>
      </c>
      <c r="D11" s="11">
        <v>449</v>
      </c>
      <c r="E11" s="11">
        <v>483</v>
      </c>
      <c r="F11" s="11">
        <v>504</v>
      </c>
      <c r="G11" s="7">
        <v>518</v>
      </c>
      <c r="H11" s="11"/>
      <c r="I11" s="13" t="s">
        <v>122</v>
      </c>
      <c r="J11">
        <f>C14</f>
        <v>70</v>
      </c>
      <c r="K11">
        <f t="shared" ref="K11:N11" si="2">D14</f>
        <v>71.5</v>
      </c>
      <c r="L11">
        <f t="shared" si="2"/>
        <v>71.5</v>
      </c>
      <c r="M11">
        <f t="shared" si="2"/>
        <v>72.5</v>
      </c>
      <c r="N11">
        <f t="shared" si="2"/>
        <v>72.5</v>
      </c>
      <c r="O11" s="11"/>
      <c r="P11" s="13" t="s">
        <v>121</v>
      </c>
      <c r="Q11">
        <f>C15</f>
        <v>82</v>
      </c>
      <c r="R11">
        <f>E12</f>
        <v>545</v>
      </c>
      <c r="S11">
        <f>F12</f>
        <v>564</v>
      </c>
      <c r="T11">
        <f>G12</f>
        <v>584</v>
      </c>
      <c r="U11" s="4"/>
      <c r="V11" s="4"/>
      <c r="W11" s="4"/>
      <c r="X11" s="4"/>
      <c r="Y11" s="4"/>
      <c r="Z11" s="4"/>
    </row>
    <row r="12" spans="1:28" ht="22" x14ac:dyDescent="0.3">
      <c r="A12" s="1" t="s">
        <v>7</v>
      </c>
      <c r="B12" s="11" t="s">
        <v>86</v>
      </c>
      <c r="C12" s="11">
        <v>506</v>
      </c>
      <c r="D12" s="11">
        <v>525</v>
      </c>
      <c r="E12" s="11">
        <v>545</v>
      </c>
      <c r="F12" s="11">
        <v>564</v>
      </c>
      <c r="G12" s="7">
        <v>584</v>
      </c>
      <c r="H12" s="11"/>
      <c r="I12" s="13" t="s">
        <v>123</v>
      </c>
      <c r="J12">
        <f>C21</f>
        <v>394</v>
      </c>
      <c r="K12">
        <f t="shared" ref="K12:N12" si="3">D21</f>
        <v>394</v>
      </c>
      <c r="L12">
        <f t="shared" si="3"/>
        <v>394</v>
      </c>
      <c r="M12">
        <f t="shared" si="3"/>
        <v>394</v>
      </c>
      <c r="N12">
        <f t="shared" si="3"/>
        <v>394</v>
      </c>
      <c r="O12" s="11"/>
      <c r="P12" s="13" t="s">
        <v>122</v>
      </c>
      <c r="Q12">
        <f>C14</f>
        <v>70</v>
      </c>
      <c r="R12">
        <f>E11</f>
        <v>483</v>
      </c>
      <c r="S12">
        <f>F11</f>
        <v>504</v>
      </c>
      <c r="T12">
        <f>G11</f>
        <v>518</v>
      </c>
      <c r="U12" s="4"/>
      <c r="V12" s="4"/>
      <c r="W12" s="4"/>
      <c r="X12" s="4"/>
      <c r="Y12" s="4"/>
      <c r="Z12" s="4"/>
    </row>
    <row r="13" spans="1:28" ht="22" x14ac:dyDescent="0.3">
      <c r="A13" s="1" t="s">
        <v>8</v>
      </c>
      <c r="B13" s="11" t="s">
        <v>87</v>
      </c>
      <c r="C13" s="11">
        <v>73.5</v>
      </c>
      <c r="D13" s="11">
        <v>73.5</v>
      </c>
      <c r="E13" s="11">
        <v>73.5</v>
      </c>
      <c r="F13" s="11">
        <v>73.5</v>
      </c>
      <c r="G13" s="6">
        <v>73.5</v>
      </c>
      <c r="H13" s="11"/>
      <c r="I13" s="13" t="s">
        <v>114</v>
      </c>
      <c r="J13">
        <f>C22</f>
        <v>50</v>
      </c>
      <c r="K13">
        <f t="shared" ref="K13:N13" si="4">D22</f>
        <v>50</v>
      </c>
      <c r="L13">
        <f t="shared" si="4"/>
        <v>50</v>
      </c>
      <c r="M13">
        <f t="shared" si="4"/>
        <v>50</v>
      </c>
      <c r="N13">
        <f t="shared" si="4"/>
        <v>50</v>
      </c>
      <c r="O13" s="11"/>
      <c r="P13" s="13" t="s">
        <v>120</v>
      </c>
      <c r="Q13">
        <f>C17</f>
        <v>425</v>
      </c>
      <c r="R13">
        <f>D17</f>
        <v>425</v>
      </c>
      <c r="S13">
        <f>E17</f>
        <v>425</v>
      </c>
      <c r="T13">
        <f>F17</f>
        <v>425</v>
      </c>
      <c r="U13" s="4"/>
      <c r="V13" s="4"/>
      <c r="W13" s="4"/>
      <c r="X13" s="4"/>
      <c r="Y13" s="4"/>
      <c r="Z13" s="4"/>
    </row>
    <row r="14" spans="1:28" ht="22" x14ac:dyDescent="0.3">
      <c r="A14" s="1" t="s">
        <v>11</v>
      </c>
      <c r="B14" s="11" t="s">
        <v>88</v>
      </c>
      <c r="C14" s="11">
        <v>70</v>
      </c>
      <c r="D14" s="11">
        <v>71.5</v>
      </c>
      <c r="E14" s="11">
        <v>71.5</v>
      </c>
      <c r="F14" s="11">
        <v>72.5</v>
      </c>
      <c r="G14" s="7">
        <v>72.5</v>
      </c>
      <c r="H14" s="11"/>
      <c r="I14" s="13" t="s">
        <v>124</v>
      </c>
      <c r="J14" s="13">
        <v>1</v>
      </c>
      <c r="K14" s="13">
        <v>1</v>
      </c>
      <c r="L14" s="13">
        <v>12</v>
      </c>
      <c r="M14" s="13">
        <v>13</v>
      </c>
      <c r="N14" s="13">
        <v>14</v>
      </c>
      <c r="O14" s="11"/>
      <c r="P14" s="13" t="s">
        <v>19</v>
      </c>
      <c r="Q14">
        <f>C18</f>
        <v>1000</v>
      </c>
      <c r="R14"/>
      <c r="S14"/>
      <c r="T14"/>
      <c r="U14" s="4"/>
      <c r="V14" s="4"/>
      <c r="W14" s="4"/>
      <c r="X14" s="4"/>
      <c r="Y14" s="4"/>
      <c r="Z14" s="4"/>
    </row>
    <row r="15" spans="1:28" ht="22" x14ac:dyDescent="0.3">
      <c r="A15" s="1" t="s">
        <v>15</v>
      </c>
      <c r="B15" s="11" t="s">
        <v>89</v>
      </c>
      <c r="C15" s="1">
        <v>82</v>
      </c>
      <c r="D15" s="1">
        <v>77</v>
      </c>
      <c r="E15" s="1">
        <v>75</v>
      </c>
      <c r="F15" s="1">
        <v>73</v>
      </c>
      <c r="G15" s="1">
        <v>72</v>
      </c>
      <c r="I15"/>
      <c r="J15"/>
      <c r="K15"/>
      <c r="L15"/>
      <c r="M15"/>
      <c r="P15" s="13" t="s">
        <v>123</v>
      </c>
      <c r="Q15"/>
      <c r="R15">
        <f>E21</f>
        <v>394</v>
      </c>
      <c r="S15">
        <f>F21</f>
        <v>394</v>
      </c>
      <c r="T15">
        <f>G21</f>
        <v>394</v>
      </c>
      <c r="U15" s="4"/>
      <c r="V15" s="4"/>
      <c r="W15" s="4"/>
      <c r="X15" s="4"/>
      <c r="Y15" s="4"/>
      <c r="Z15" s="4"/>
    </row>
    <row r="16" spans="1:28" ht="22" x14ac:dyDescent="0.3">
      <c r="A16" s="1" t="s">
        <v>73</v>
      </c>
      <c r="B16" s="11" t="s">
        <v>90</v>
      </c>
      <c r="C16" s="11">
        <v>589</v>
      </c>
      <c r="D16" s="11">
        <v>590</v>
      </c>
      <c r="E16" s="11">
        <v>610</v>
      </c>
      <c r="F16" s="11">
        <v>614</v>
      </c>
      <c r="G16" s="6">
        <v>634</v>
      </c>
      <c r="H16" s="11"/>
      <c r="I16" s="13" t="s">
        <v>125</v>
      </c>
      <c r="J16">
        <f>J11*PI()/180</f>
        <v>1.2217304763960306</v>
      </c>
      <c r="K16">
        <f t="shared" ref="K16:M16" si="5">K11*PI()/180</f>
        <v>1.2479104151759457</v>
      </c>
      <c r="L16">
        <f t="shared" si="5"/>
        <v>1.2479104151759457</v>
      </c>
      <c r="M16">
        <f t="shared" si="5"/>
        <v>1.2653637076958888</v>
      </c>
      <c r="N16">
        <f t="shared" ref="N16" si="6">N11*PI()/180</f>
        <v>1.2653637076958888</v>
      </c>
      <c r="O16" s="11"/>
      <c r="P16" s="13" t="s">
        <v>114</v>
      </c>
      <c r="Q16"/>
      <c r="R16">
        <f>E20</f>
        <v>135.70512791043282</v>
      </c>
      <c r="S16">
        <f>F20</f>
        <v>159.10648863014438</v>
      </c>
      <c r="T16">
        <f>G20</f>
        <v>185.3682458838054</v>
      </c>
      <c r="U16" s="4"/>
      <c r="V16" s="4"/>
      <c r="W16" s="4"/>
      <c r="X16" s="4"/>
      <c r="Y16" s="4"/>
      <c r="Z16" s="4"/>
    </row>
    <row r="17" spans="1:27" ht="22" x14ac:dyDescent="0.3">
      <c r="A17" s="1" t="s">
        <v>14</v>
      </c>
      <c r="B17" s="11" t="s">
        <v>91</v>
      </c>
      <c r="C17" s="1">
        <v>425</v>
      </c>
      <c r="D17" s="1">
        <v>425</v>
      </c>
      <c r="E17" s="1">
        <v>425</v>
      </c>
      <c r="F17" s="1">
        <v>425</v>
      </c>
      <c r="G17" s="11">
        <v>425</v>
      </c>
      <c r="H17" s="11"/>
      <c r="I17" s="13" t="s">
        <v>126</v>
      </c>
      <c r="J17">
        <f>J14*SIN(J16)</f>
        <v>0.93969262078590832</v>
      </c>
      <c r="K17">
        <f t="shared" ref="K17:N17" si="7">K14*SIN(K16)</f>
        <v>0.94832365520619932</v>
      </c>
      <c r="L17">
        <f t="shared" si="7"/>
        <v>11.379883862474392</v>
      </c>
      <c r="M17">
        <f t="shared" si="7"/>
        <v>12.39832035972695</v>
      </c>
      <c r="N17">
        <f t="shared" si="7"/>
        <v>13.352037310475177</v>
      </c>
      <c r="O17" s="11"/>
      <c r="P17" s="13" t="s">
        <v>124</v>
      </c>
      <c r="Q17" s="13">
        <v>1</v>
      </c>
      <c r="R17" s="13">
        <v>11</v>
      </c>
      <c r="S17" s="13">
        <v>12</v>
      </c>
      <c r="T17" s="13">
        <v>13</v>
      </c>
      <c r="U17" s="4"/>
      <c r="V17" s="4"/>
      <c r="W17" s="4"/>
      <c r="X17" s="4"/>
      <c r="Y17" s="4"/>
      <c r="Z17" s="4"/>
      <c r="AA17" s="4"/>
    </row>
    <row r="18" spans="1:27" ht="22" x14ac:dyDescent="0.3">
      <c r="A18" s="1" t="s">
        <v>19</v>
      </c>
      <c r="B18" s="11" t="s">
        <v>92</v>
      </c>
      <c r="C18" s="11">
        <v>1000</v>
      </c>
      <c r="D18" s="11">
        <v>1003</v>
      </c>
      <c r="E18" s="11">
        <v>1024</v>
      </c>
      <c r="F18" s="11">
        <v>1028</v>
      </c>
      <c r="G18" s="1">
        <v>1049</v>
      </c>
      <c r="I18" s="13" t="s">
        <v>115</v>
      </c>
      <c r="J18">
        <f>ATAN(J13/J12)</f>
        <v>0.12622882121057954</v>
      </c>
      <c r="K18">
        <f t="shared" ref="K18:M18" si="8">ATAN(K13/K12)</f>
        <v>0.12622882121057954</v>
      </c>
      <c r="L18">
        <f t="shared" si="8"/>
        <v>0.12622882121057954</v>
      </c>
      <c r="M18">
        <f t="shared" si="8"/>
        <v>0.12622882121057954</v>
      </c>
      <c r="N18">
        <f t="shared" ref="N18" si="9">ATAN(N13/N12)</f>
        <v>0.12622882121057954</v>
      </c>
      <c r="P18" s="13"/>
      <c r="Q18" s="13"/>
      <c r="R18" s="13"/>
      <c r="S18" s="13"/>
      <c r="T18" s="13"/>
      <c r="U18" s="4"/>
      <c r="V18" s="4"/>
      <c r="W18" s="4"/>
      <c r="X18" s="4"/>
      <c r="Y18" s="4"/>
      <c r="Z18" s="4"/>
      <c r="AA18" s="4"/>
    </row>
    <row r="19" spans="1:27" ht="22" x14ac:dyDescent="0.3">
      <c r="A19" s="1" t="s">
        <v>18</v>
      </c>
      <c r="B19" s="11" t="s">
        <v>93</v>
      </c>
      <c r="C19" s="11">
        <v>713</v>
      </c>
      <c r="D19" s="11">
        <v>745</v>
      </c>
      <c r="E19" s="11">
        <v>777</v>
      </c>
      <c r="F19" s="11">
        <v>799</v>
      </c>
      <c r="G19" s="7">
        <v>815</v>
      </c>
      <c r="H19" s="11"/>
      <c r="I19" s="13" t="s">
        <v>116</v>
      </c>
      <c r="J19">
        <f>J18 + ( PI()/2 - J16)</f>
        <v>0.4752946716094455</v>
      </c>
      <c r="K19">
        <f t="shared" ref="K19:N19" si="10">K18 + ( PI()/2 - K16)</f>
        <v>0.44911473282953041</v>
      </c>
      <c r="L19">
        <f t="shared" si="10"/>
        <v>0.44911473282953041</v>
      </c>
      <c r="M19">
        <f t="shared" si="10"/>
        <v>0.43166144030958731</v>
      </c>
      <c r="N19">
        <f t="shared" si="10"/>
        <v>0.43166144030958731</v>
      </c>
      <c r="O19" s="11"/>
      <c r="P19" s="13" t="s">
        <v>125</v>
      </c>
      <c r="Q19">
        <f>Q12*PI()/180</f>
        <v>1.2217304763960306</v>
      </c>
      <c r="R19">
        <f>R12*PI()/180</f>
        <v>8.4299402871326112</v>
      </c>
      <c r="S19">
        <f>S12*PI()/180</f>
        <v>8.7964594300514207</v>
      </c>
      <c r="T19">
        <f>T12*PI()/180</f>
        <v>9.0408055253306259</v>
      </c>
      <c r="U19" s="4"/>
      <c r="V19" s="4"/>
      <c r="W19" s="4"/>
      <c r="X19" s="4"/>
      <c r="Y19" s="4"/>
      <c r="Z19" s="4"/>
    </row>
    <row r="20" spans="1:27" ht="22" x14ac:dyDescent="0.3">
      <c r="A20" s="1" t="s">
        <v>10</v>
      </c>
      <c r="C20" s="5">
        <f>J22</f>
        <v>92.29835972639799</v>
      </c>
      <c r="D20" s="5">
        <f t="shared" ref="D20:G20" si="11">K22</f>
        <v>118.23383559185281</v>
      </c>
      <c r="E20" s="5">
        <f t="shared" si="11"/>
        <v>135.70512791043282</v>
      </c>
      <c r="F20" s="5">
        <f t="shared" si="11"/>
        <v>159.10648863014438</v>
      </c>
      <c r="G20" s="5">
        <f t="shared" si="11"/>
        <v>185.3682458838054</v>
      </c>
      <c r="H20" s="11"/>
      <c r="I20" s="13" t="s">
        <v>117</v>
      </c>
      <c r="J20">
        <f>COS(J19)*J12</f>
        <v>350.32821983367461</v>
      </c>
      <c r="K20">
        <f t="shared" ref="K20:N20" si="12">COS(K19)*K12</f>
        <v>354.92773320727912</v>
      </c>
      <c r="L20">
        <f t="shared" si="12"/>
        <v>354.92773320727912</v>
      </c>
      <c r="M20">
        <f t="shared" si="12"/>
        <v>357.85912445967432</v>
      </c>
      <c r="N20">
        <f t="shared" si="12"/>
        <v>357.85912445967432</v>
      </c>
      <c r="O20" s="11"/>
      <c r="P20" s="13" t="s">
        <v>126</v>
      </c>
      <c r="Q20">
        <f>Q17*SIN(Q19)</f>
        <v>0.93969262078590832</v>
      </c>
      <c r="R20">
        <f>R17*SIN(R19)</f>
        <v>9.2253762473996677</v>
      </c>
      <c r="S20">
        <f>S17*SIN(S19)</f>
        <v>7.0534230275096803</v>
      </c>
      <c r="T20">
        <f>T17*SIN(T19)</f>
        <v>4.8698857144068732</v>
      </c>
      <c r="U20" s="4"/>
      <c r="V20" s="4"/>
      <c r="W20" s="4"/>
      <c r="X20" s="4"/>
      <c r="Y20" s="4"/>
      <c r="Z20" s="4"/>
    </row>
    <row r="21" spans="1:27" ht="22" x14ac:dyDescent="0.3">
      <c r="A21" s="1" t="s">
        <v>12</v>
      </c>
      <c r="B21" s="11"/>
      <c r="C21" s="11">
        <v>394</v>
      </c>
      <c r="D21" s="11">
        <v>394</v>
      </c>
      <c r="E21" s="11">
        <v>394</v>
      </c>
      <c r="F21" s="11">
        <v>394</v>
      </c>
      <c r="G21" s="11">
        <v>394</v>
      </c>
      <c r="H21" s="11"/>
      <c r="I21" s="13" t="s">
        <v>118</v>
      </c>
      <c r="J21">
        <f>J9-J10-J17-J20</f>
        <v>86.732087545539457</v>
      </c>
      <c r="K21">
        <f t="shared" ref="K21:N21" si="13">K9-K10-K17-K20</f>
        <v>112.12394313751469</v>
      </c>
      <c r="L21">
        <f t="shared" si="13"/>
        <v>128.69238293024648</v>
      </c>
      <c r="M21">
        <f t="shared" si="13"/>
        <v>151.74255518059874</v>
      </c>
      <c r="N21">
        <f t="shared" si="13"/>
        <v>176.78883822985046</v>
      </c>
      <c r="O21" s="11"/>
      <c r="P21" s="13" t="s">
        <v>130</v>
      </c>
      <c r="Q21" s="14">
        <f>Q9-Q11</f>
        <v>438</v>
      </c>
      <c r="R21"/>
      <c r="S21"/>
      <c r="T21"/>
      <c r="U21" s="4"/>
      <c r="V21" s="4"/>
      <c r="W21" s="4"/>
      <c r="X21" s="4"/>
      <c r="Y21" s="4"/>
      <c r="Z21" s="4"/>
    </row>
    <row r="22" spans="1:27" ht="22" x14ac:dyDescent="0.3">
      <c r="A22" s="1" t="s">
        <v>13</v>
      </c>
      <c r="B22" s="6"/>
      <c r="C22" s="7">
        <v>50</v>
      </c>
      <c r="D22" s="7">
        <v>50</v>
      </c>
      <c r="E22" s="7">
        <v>50</v>
      </c>
      <c r="F22" s="7">
        <v>50</v>
      </c>
      <c r="G22" s="7">
        <v>50</v>
      </c>
      <c r="I22" s="13" t="s">
        <v>119</v>
      </c>
      <c r="J22">
        <f>J21/SIN(J16)</f>
        <v>92.29835972639799</v>
      </c>
      <c r="K22">
        <f t="shared" ref="K22:N22" si="14">K21/SIN(K16)</f>
        <v>118.23383559185281</v>
      </c>
      <c r="L22">
        <f t="shared" si="14"/>
        <v>135.70512791043282</v>
      </c>
      <c r="M22">
        <f t="shared" si="14"/>
        <v>159.10648863014438</v>
      </c>
      <c r="N22">
        <f t="shared" si="14"/>
        <v>185.3682458838054</v>
      </c>
      <c r="P22" s="13" t="s">
        <v>131</v>
      </c>
      <c r="Q22">
        <f>Q21/TAN(Q19)</f>
        <v>159.4189626085967</v>
      </c>
      <c r="R22"/>
      <c r="S22"/>
      <c r="T22"/>
      <c r="U22" s="4"/>
      <c r="V22" s="4"/>
      <c r="W22" s="4"/>
      <c r="X22" s="4"/>
      <c r="Y22" s="4"/>
      <c r="Z22" s="4"/>
    </row>
    <row r="23" spans="1:27" ht="22" x14ac:dyDescent="0.3">
      <c r="A23" s="1" t="s">
        <v>74</v>
      </c>
      <c r="F23" s="5"/>
      <c r="G23" s="7"/>
      <c r="H23" s="7"/>
      <c r="I23"/>
      <c r="J23"/>
      <c r="K23"/>
      <c r="L23"/>
      <c r="M23"/>
      <c r="N23"/>
      <c r="O23" s="7"/>
      <c r="P23" s="13" t="s">
        <v>132</v>
      </c>
      <c r="Q23">
        <f>SQRT(Q13^2 - Q11^2)</f>
        <v>417.01438824098142</v>
      </c>
      <c r="R23"/>
      <c r="S23"/>
      <c r="T23"/>
      <c r="U23" s="4"/>
      <c r="V23" s="4"/>
      <c r="W23" s="4"/>
      <c r="X23" s="4"/>
      <c r="Y23" s="4"/>
      <c r="Z23" s="4"/>
      <c r="AA23" s="4"/>
    </row>
    <row r="24" spans="1:27" ht="22" x14ac:dyDescent="0.3">
      <c r="A24" s="1" t="s">
        <v>20</v>
      </c>
      <c r="F24" s="5"/>
      <c r="G24" s="7"/>
      <c r="H24" s="7"/>
      <c r="I24" s="13" t="s">
        <v>127</v>
      </c>
      <c r="J24"/>
      <c r="K24"/>
      <c r="L24"/>
      <c r="M24"/>
      <c r="N24"/>
      <c r="O24" s="7"/>
      <c r="P24" s="13" t="s">
        <v>133</v>
      </c>
      <c r="Q24">
        <f>Q14-Q23-Q10-Q22</f>
        <v>67.566649150421938</v>
      </c>
      <c r="R24"/>
      <c r="S24"/>
      <c r="T24"/>
      <c r="U24" s="4"/>
      <c r="V24" s="4"/>
      <c r="W24" s="4"/>
      <c r="X24" s="4"/>
      <c r="Y24" s="4"/>
      <c r="Z24" s="4"/>
      <c r="AA24" s="4"/>
    </row>
    <row r="25" spans="1:27" ht="22" x14ac:dyDescent="0.3">
      <c r="A25" s="1" t="s">
        <v>21</v>
      </c>
      <c r="F25" s="5"/>
      <c r="G25" s="7"/>
      <c r="H25" s="7"/>
      <c r="I25" s="13" t="s">
        <v>116</v>
      </c>
      <c r="J25">
        <f>ACOS(J13/J12)</f>
        <v>1.4435496611240406</v>
      </c>
      <c r="K25">
        <f t="shared" ref="K25:M25" si="15">ACOS(K13/K12)</f>
        <v>1.4435496611240406</v>
      </c>
      <c r="L25">
        <f t="shared" si="15"/>
        <v>1.4435496611240406</v>
      </c>
      <c r="M25">
        <f t="shared" si="15"/>
        <v>1.4435496611240406</v>
      </c>
      <c r="N25">
        <f t="shared" ref="N25" si="16">ACOS(N13/N12)</f>
        <v>1.4435496611240406</v>
      </c>
      <c r="O25" s="7"/>
      <c r="P25" s="13" t="s">
        <v>114</v>
      </c>
      <c r="Q25">
        <f>Q24*SIN(Q19)</f>
        <v>63.491881617881958</v>
      </c>
      <c r="R25"/>
      <c r="S25"/>
      <c r="T25"/>
      <c r="U25" s="4"/>
      <c r="V25" s="4"/>
      <c r="W25" s="4"/>
      <c r="X25" s="4"/>
      <c r="Y25" s="4"/>
      <c r="Z25" s="4"/>
      <c r="AA25" s="4"/>
    </row>
    <row r="26" spans="1:27" ht="22" x14ac:dyDescent="0.3">
      <c r="A26" s="1" t="s">
        <v>22</v>
      </c>
      <c r="G26" s="7"/>
      <c r="H26" s="6"/>
      <c r="I26" s="13" t="s">
        <v>128</v>
      </c>
      <c r="J26">
        <f>PI()/2 - J16</f>
        <v>0.34906585039886595</v>
      </c>
      <c r="K26">
        <f t="shared" ref="K26:M26" si="17">PI()/2 - K16</f>
        <v>0.32288591161895086</v>
      </c>
      <c r="L26">
        <f t="shared" si="17"/>
        <v>0.32288591161895086</v>
      </c>
      <c r="M26">
        <f t="shared" si="17"/>
        <v>0.30543261909900776</v>
      </c>
      <c r="N26">
        <f t="shared" ref="N26" si="18">PI()/2 - N16</f>
        <v>0.30543261909900776</v>
      </c>
      <c r="O26" s="6"/>
      <c r="P26"/>
      <c r="Q26"/>
      <c r="R26"/>
      <c r="S26"/>
      <c r="T26"/>
      <c r="U26" s="4"/>
      <c r="V26" s="4"/>
      <c r="W26" s="4"/>
      <c r="X26" s="4"/>
      <c r="Y26" s="4"/>
      <c r="Z26" s="4"/>
      <c r="AA26" s="4"/>
    </row>
    <row r="27" spans="1:27" ht="22" x14ac:dyDescent="0.3">
      <c r="A27" s="1" t="s">
        <v>23</v>
      </c>
      <c r="F27" s="5"/>
      <c r="G27" s="7"/>
      <c r="H27" s="7"/>
      <c r="I27" s="13" t="s">
        <v>129</v>
      </c>
      <c r="J27">
        <f>J25-J26</f>
        <v>1.0944838107251746</v>
      </c>
      <c r="K27">
        <f t="shared" ref="K27:N27" si="19">K25-K26</f>
        <v>1.1206637495050897</v>
      </c>
      <c r="L27">
        <f t="shared" si="19"/>
        <v>1.1206637495050897</v>
      </c>
      <c r="M27">
        <f t="shared" si="19"/>
        <v>1.1381170420250328</v>
      </c>
      <c r="N27">
        <f t="shared" si="19"/>
        <v>1.1381170420250328</v>
      </c>
      <c r="O27" s="7"/>
      <c r="U27" s="4"/>
      <c r="V27" s="4"/>
      <c r="W27" s="4"/>
      <c r="X27" s="4"/>
      <c r="Y27" s="4"/>
      <c r="Z27" s="4"/>
      <c r="AA27" s="4"/>
    </row>
    <row r="28" spans="1:27" ht="22" x14ac:dyDescent="0.3">
      <c r="A28" s="1" t="s">
        <v>24</v>
      </c>
      <c r="B28" s="1" t="s">
        <v>24</v>
      </c>
      <c r="C28" s="1">
        <v>700</v>
      </c>
      <c r="D28" s="1">
        <v>700</v>
      </c>
      <c r="E28" s="1">
        <v>700</v>
      </c>
      <c r="F28" s="1">
        <v>700</v>
      </c>
      <c r="G28" s="1">
        <v>700</v>
      </c>
      <c r="H28" s="7"/>
      <c r="I28" s="13" t="s">
        <v>117</v>
      </c>
      <c r="J28">
        <f>J12*SIN(J27)</f>
        <v>350.14452654666735</v>
      </c>
      <c r="K28">
        <f t="shared" ref="K28:N28" si="20">K12*SIN(K27)</f>
        <v>354.75343458775882</v>
      </c>
      <c r="L28">
        <f t="shared" si="20"/>
        <v>354.75343458775882</v>
      </c>
      <c r="M28">
        <f t="shared" si="20"/>
        <v>357.69115571688064</v>
      </c>
      <c r="N28">
        <f t="shared" si="20"/>
        <v>357.69115571688064</v>
      </c>
      <c r="O28" s="7"/>
      <c r="U28" s="4"/>
      <c r="V28" s="4"/>
      <c r="W28" s="4"/>
      <c r="X28" s="4"/>
      <c r="Y28" s="4"/>
      <c r="Z28" s="4"/>
      <c r="AA28" s="4"/>
    </row>
    <row r="29" spans="1:27" ht="22" x14ac:dyDescent="0.3">
      <c r="A29" s="1" t="s">
        <v>25</v>
      </c>
      <c r="B29" s="1" t="s">
        <v>25</v>
      </c>
      <c r="C29" s="1">
        <v>45</v>
      </c>
      <c r="D29" s="1">
        <v>45</v>
      </c>
      <c r="E29" s="1">
        <v>45</v>
      </c>
      <c r="F29" s="1">
        <v>45</v>
      </c>
      <c r="G29" s="1">
        <v>45</v>
      </c>
      <c r="H29" s="7"/>
      <c r="I29" s="13" t="s">
        <v>118</v>
      </c>
      <c r="J29">
        <f>J9-J28-J17-J10</f>
        <v>86.915780832546744</v>
      </c>
      <c r="K29">
        <f t="shared" ref="K29:N29" si="21">K9-K28-K17-K10</f>
        <v>112.29824175703499</v>
      </c>
      <c r="L29">
        <f t="shared" si="21"/>
        <v>128.86668154976678</v>
      </c>
      <c r="M29">
        <f t="shared" si="21"/>
        <v>151.91052392339242</v>
      </c>
      <c r="N29">
        <f t="shared" si="21"/>
        <v>176.95680697264419</v>
      </c>
      <c r="O29" s="7"/>
      <c r="P29" s="13" t="s">
        <v>115</v>
      </c>
      <c r="Q29" t="e">
        <f>ATAN(Q16/Q15)</f>
        <v>#DIV/0!</v>
      </c>
      <c r="R29">
        <f>ATAN(R16/R15)</f>
        <v>0.33170342653939106</v>
      </c>
      <c r="S29">
        <f>ATAN(S16/S15)</f>
        <v>0.38379821052907614</v>
      </c>
      <c r="T29">
        <f>ATAN(T16/T15)</f>
        <v>0.43975215073413226</v>
      </c>
      <c r="U29" s="4"/>
      <c r="V29" s="4"/>
      <c r="W29" s="4"/>
      <c r="X29" s="4"/>
      <c r="Y29" s="4"/>
      <c r="Z29" s="4"/>
      <c r="AA29" s="4"/>
    </row>
    <row r="30" spans="1:27" x14ac:dyDescent="0.3">
      <c r="A30" s="1" t="s">
        <v>26</v>
      </c>
      <c r="B30" s="1" t="s">
        <v>26</v>
      </c>
      <c r="C30" s="1">
        <v>46</v>
      </c>
      <c r="D30" s="1">
        <v>46</v>
      </c>
      <c r="E30" s="1">
        <v>46</v>
      </c>
      <c r="F30" s="1">
        <v>46</v>
      </c>
      <c r="G30" s="1">
        <v>46</v>
      </c>
      <c r="I30" s="13" t="s">
        <v>119</v>
      </c>
      <c r="J30">
        <f>J29/SIN(J16)</f>
        <v>92.493842039384177</v>
      </c>
      <c r="K30">
        <f t="shared" ref="K30:N30" si="22">K29/SIN(K16)</f>
        <v>118.41763214544865</v>
      </c>
      <c r="L30">
        <f t="shared" si="22"/>
        <v>135.88892446402866</v>
      </c>
      <c r="M30">
        <f t="shared" si="22"/>
        <v>159.28260874907684</v>
      </c>
      <c r="N30">
        <f t="shared" si="22"/>
        <v>185.54436600273792</v>
      </c>
      <c r="P30" s="13" t="s">
        <v>116</v>
      </c>
      <c r="Q30" t="e">
        <f>Q29 + ( PI()/2 - Q19)</f>
        <v>#DIV/0!</v>
      </c>
      <c r="R30">
        <f>R29 + ( PI()/2 - R19)</f>
        <v>-6.5274405337983232</v>
      </c>
      <c r="S30">
        <f>S29 + ( PI()/2 - S19)</f>
        <v>-6.8418648927274477</v>
      </c>
      <c r="T30">
        <f>T29 + ( PI()/2 - T19)</f>
        <v>-7.0302570478015971</v>
      </c>
    </row>
    <row r="31" spans="1:27" x14ac:dyDescent="0.3">
      <c r="A31" s="1" t="s">
        <v>27</v>
      </c>
      <c r="B31" s="1" t="s">
        <v>28</v>
      </c>
      <c r="C31" s="1">
        <v>155</v>
      </c>
      <c r="D31" s="1">
        <v>160</v>
      </c>
      <c r="E31" s="1">
        <v>169</v>
      </c>
      <c r="F31" s="1">
        <v>178</v>
      </c>
      <c r="G31" s="1">
        <v>188</v>
      </c>
      <c r="P31" s="13" t="s">
        <v>117</v>
      </c>
      <c r="Q31" t="e">
        <f>COS(Q30)*Q15</f>
        <v>#DIV/0!</v>
      </c>
      <c r="R31">
        <f>COS(R30)*R15</f>
        <v>382.30517592312282</v>
      </c>
      <c r="S31">
        <f>COS(S30)*S15</f>
        <v>334.09456871109421</v>
      </c>
      <c r="T31">
        <f>COS(T30)*T15</f>
        <v>289.07060717839425</v>
      </c>
    </row>
    <row r="32" spans="1:27" ht="22" x14ac:dyDescent="0.3">
      <c r="A32" s="1" t="s">
        <v>29</v>
      </c>
      <c r="B32" s="1" t="s">
        <v>30</v>
      </c>
      <c r="C32" s="1">
        <v>165</v>
      </c>
      <c r="D32" s="1">
        <v>171</v>
      </c>
      <c r="E32" s="1">
        <v>180</v>
      </c>
      <c r="F32" s="8">
        <v>191</v>
      </c>
      <c r="G32" s="1">
        <v>198</v>
      </c>
      <c r="P32" s="13" t="s">
        <v>118</v>
      </c>
      <c r="Q32" t="e">
        <f>Q9-Q11-Q20-Q31</f>
        <v>#DIV/0!</v>
      </c>
      <c r="R32">
        <f>R9-R11-R20-R31</f>
        <v>-556.53055217052247</v>
      </c>
      <c r="S32">
        <f>S9-S11-S20-S31</f>
        <v>-513.14799173860388</v>
      </c>
      <c r="T32">
        <f>T9-T11-T20-T31</f>
        <v>-473.9404928928011</v>
      </c>
    </row>
    <row r="33" spans="1:20" ht="22" x14ac:dyDescent="0.3">
      <c r="C33" s="11" t="s">
        <v>95</v>
      </c>
      <c r="D33" s="11" t="s">
        <v>96</v>
      </c>
      <c r="E33" s="11" t="s">
        <v>97</v>
      </c>
      <c r="F33" s="11" t="s">
        <v>98</v>
      </c>
      <c r="G33" s="7" t="s">
        <v>99</v>
      </c>
      <c r="H33" s="11" t="s">
        <v>94</v>
      </c>
      <c r="I33" s="11"/>
      <c r="J33" s="11"/>
      <c r="K33" s="11"/>
      <c r="L33" s="11"/>
      <c r="M33" s="11"/>
      <c r="N33" s="11"/>
      <c r="O33" s="11"/>
      <c r="P33" s="13" t="s">
        <v>119</v>
      </c>
      <c r="Q33" t="e">
        <f>Q32/SIN(Q19)</f>
        <v>#DIV/0!</v>
      </c>
      <c r="R33">
        <f>R32/SIN(R19)</f>
        <v>-663.58660174985198</v>
      </c>
      <c r="S33">
        <f>S32/SIN(S19)</f>
        <v>-873.01950795333823</v>
      </c>
      <c r="T33">
        <f>T32/SIN(T19)</f>
        <v>-1265.1685827819924</v>
      </c>
    </row>
    <row r="34" spans="1:20" ht="22" x14ac:dyDescent="0.3">
      <c r="A34" s="1" t="s">
        <v>31</v>
      </c>
      <c r="B34" s="1" t="s">
        <v>32</v>
      </c>
      <c r="C34" s="11" t="s">
        <v>101</v>
      </c>
      <c r="D34" s="11" t="s">
        <v>102</v>
      </c>
      <c r="E34" s="11" t="s">
        <v>103</v>
      </c>
      <c r="F34" s="11" t="s">
        <v>104</v>
      </c>
      <c r="G34" s="7" t="s">
        <v>105</v>
      </c>
      <c r="H34" s="11" t="s">
        <v>100</v>
      </c>
      <c r="I34" s="11"/>
      <c r="J34" s="11"/>
      <c r="K34" s="11"/>
      <c r="L34" s="11"/>
      <c r="M34" s="11"/>
      <c r="N34" s="11"/>
      <c r="O34" s="11"/>
      <c r="P34"/>
      <c r="Q34"/>
      <c r="R34"/>
      <c r="S34"/>
      <c r="T34"/>
    </row>
    <row r="35" spans="1:20" x14ac:dyDescent="0.3">
      <c r="A35" s="1" t="s">
        <v>68</v>
      </c>
      <c r="B35" s="1" t="s">
        <v>69</v>
      </c>
      <c r="P35" s="13" t="s">
        <v>127</v>
      </c>
      <c r="Q35"/>
      <c r="R35"/>
      <c r="S35"/>
      <c r="T35"/>
    </row>
    <row r="36" spans="1:20" x14ac:dyDescent="0.3">
      <c r="A36" s="1" t="s">
        <v>70</v>
      </c>
      <c r="B36" s="1" t="s">
        <v>107</v>
      </c>
      <c r="P36" s="13" t="s">
        <v>116</v>
      </c>
      <c r="Q36" t="e">
        <f>ACOS(Q16/Q15)</f>
        <v>#DIV/0!</v>
      </c>
      <c r="R36">
        <f>ACOS(R16/R15)</f>
        <v>1.2191655493455953</v>
      </c>
      <c r="S36">
        <f>ACOS(S16/S15)</f>
        <v>1.1551038011153294</v>
      </c>
      <c r="T36">
        <f>ACOS(T16/T15)</f>
        <v>1.0809641774079204</v>
      </c>
    </row>
    <row r="37" spans="1:20" x14ac:dyDescent="0.3">
      <c r="A37" s="1" t="s">
        <v>71</v>
      </c>
      <c r="B37" s="1" t="s">
        <v>108</v>
      </c>
      <c r="P37" s="13" t="s">
        <v>128</v>
      </c>
      <c r="Q37">
        <f>PI()/2 - Q19</f>
        <v>0.34906585039886595</v>
      </c>
      <c r="R37">
        <f>PI()/2 - R19</f>
        <v>-6.8591439603377147</v>
      </c>
      <c r="S37">
        <f>PI()/2 - S19</f>
        <v>-7.2256631032565242</v>
      </c>
      <c r="T37">
        <f>PI()/2 - T19</f>
        <v>-7.4700091985357293</v>
      </c>
    </row>
    <row r="38" spans="1:20" x14ac:dyDescent="0.3">
      <c r="A38" s="1" t="s">
        <v>33</v>
      </c>
      <c r="B38" s="1" t="s">
        <v>109</v>
      </c>
      <c r="P38" s="13" t="s">
        <v>129</v>
      </c>
      <c r="Q38" t="e">
        <f>Q36-Q37</f>
        <v>#DIV/0!</v>
      </c>
      <c r="R38">
        <f t="shared" ref="R38:T38" si="23">R36-R37</f>
        <v>8.0783095096833097</v>
      </c>
      <c r="S38">
        <f t="shared" si="23"/>
        <v>8.3807669043718533</v>
      </c>
      <c r="T38">
        <f t="shared" si="23"/>
        <v>8.5509733759436504</v>
      </c>
    </row>
    <row r="39" spans="1:20" x14ac:dyDescent="0.3">
      <c r="A39" s="1" t="s">
        <v>34</v>
      </c>
      <c r="B39" s="1" t="s">
        <v>72</v>
      </c>
      <c r="P39" s="13" t="s">
        <v>117</v>
      </c>
      <c r="Q39" t="e">
        <f>Q15*SIN(Q38)</f>
        <v>#DIV/0!</v>
      </c>
      <c r="R39">
        <f>R15*SIN(R38)</f>
        <v>384.12787377992515</v>
      </c>
      <c r="S39">
        <f>S15*SIN(S38)</f>
        <v>340.58453837871559</v>
      </c>
      <c r="T39">
        <f>T15*SIN(T38)</f>
        <v>302.11001847267636</v>
      </c>
    </row>
    <row r="40" spans="1:20" x14ac:dyDescent="0.3">
      <c r="A40" s="1" t="s">
        <v>35</v>
      </c>
      <c r="P40" s="13" t="s">
        <v>118</v>
      </c>
      <c r="Q40" t="e">
        <f>Q9-Q39-Q20-Q11</f>
        <v>#DIV/0!</v>
      </c>
      <c r="R40">
        <f>R9-R39-R20-R11</f>
        <v>-558.35325002732486</v>
      </c>
      <c r="S40">
        <f>S9-S39-S20-S11</f>
        <v>-519.63796140622526</v>
      </c>
      <c r="T40">
        <f>T9-T39-T20-T11</f>
        <v>-486.97990418708321</v>
      </c>
    </row>
    <row r="41" spans="1:20" x14ac:dyDescent="0.3">
      <c r="A41" s="1" t="s">
        <v>36</v>
      </c>
      <c r="B41" s="1">
        <v>46</v>
      </c>
      <c r="P41" s="13" t="s">
        <v>119</v>
      </c>
      <c r="Q41" t="e">
        <f>Q40/SIN(Q19)</f>
        <v>#DIV/0!</v>
      </c>
      <c r="R41">
        <f>R40/SIN(R19)</f>
        <v>-665.75991976823389</v>
      </c>
      <c r="S41">
        <f>S40/SIN(S19)</f>
        <v>-884.06090384122297</v>
      </c>
      <c r="T41">
        <f>T40/SIN(T19)</f>
        <v>-1299.9768630511144</v>
      </c>
    </row>
    <row r="42" spans="1:20" x14ac:dyDescent="0.3">
      <c r="A42" s="1" t="s">
        <v>37</v>
      </c>
    </row>
    <row r="43" spans="1:20" x14ac:dyDescent="0.3">
      <c r="A43" s="1" t="s">
        <v>38</v>
      </c>
    </row>
    <row r="44" spans="1:20" x14ac:dyDescent="0.3">
      <c r="A44" s="1" t="s">
        <v>39</v>
      </c>
    </row>
    <row r="45" spans="1:20" x14ac:dyDescent="0.3">
      <c r="A45" s="1" t="s">
        <v>40</v>
      </c>
    </row>
    <row r="46" spans="1:20" x14ac:dyDescent="0.3">
      <c r="A46" s="1" t="s">
        <v>41</v>
      </c>
    </row>
    <row r="47" spans="1:20" x14ac:dyDescent="0.3">
      <c r="A47" s="1" t="s">
        <v>42</v>
      </c>
      <c r="B47" s="1">
        <v>142</v>
      </c>
    </row>
    <row r="48" spans="1:20" x14ac:dyDescent="0.3">
      <c r="A48" s="1" t="s">
        <v>43</v>
      </c>
      <c r="B48" s="1">
        <v>100</v>
      </c>
    </row>
    <row r="49" spans="1:2" x14ac:dyDescent="0.3">
      <c r="A49" s="1" t="s">
        <v>44</v>
      </c>
      <c r="B49" s="1" t="s">
        <v>75</v>
      </c>
    </row>
    <row r="50" spans="1:2" x14ac:dyDescent="0.3">
      <c r="A50" s="1" t="s">
        <v>45</v>
      </c>
    </row>
    <row r="51" spans="1:2" x14ac:dyDescent="0.3">
      <c r="A51" s="1" t="s">
        <v>46</v>
      </c>
      <c r="B51" s="1">
        <v>27.2</v>
      </c>
    </row>
    <row r="52" spans="1:2" x14ac:dyDescent="0.3">
      <c r="A52" s="1" t="s">
        <v>47</v>
      </c>
      <c r="B52" s="1" t="s">
        <v>72</v>
      </c>
    </row>
    <row r="53" spans="1:2" x14ac:dyDescent="0.3">
      <c r="A53" s="1" t="s">
        <v>48</v>
      </c>
      <c r="B53" s="1">
        <v>52</v>
      </c>
    </row>
    <row r="54" spans="1:2" x14ac:dyDescent="0.3">
      <c r="A54" s="1" t="s">
        <v>49</v>
      </c>
      <c r="B54" s="1">
        <v>50</v>
      </c>
    </row>
    <row r="55" spans="1:2" x14ac:dyDescent="0.3">
      <c r="A55" s="1" t="s">
        <v>50</v>
      </c>
      <c r="B55" s="1">
        <v>160</v>
      </c>
    </row>
    <row r="56" spans="1:2" x14ac:dyDescent="0.3">
      <c r="A56" s="1" t="s">
        <v>51</v>
      </c>
      <c r="B56" s="1">
        <v>160</v>
      </c>
    </row>
    <row r="57" spans="1:2" x14ac:dyDescent="0.3">
      <c r="A57" s="1" t="s">
        <v>52</v>
      </c>
    </row>
    <row r="58" spans="1:2" x14ac:dyDescent="0.3">
      <c r="A58" s="1" t="s">
        <v>53</v>
      </c>
    </row>
    <row r="59" spans="1:2" x14ac:dyDescent="0.3">
      <c r="A59" s="1" t="s">
        <v>54</v>
      </c>
      <c r="B59" s="1" t="s">
        <v>76</v>
      </c>
    </row>
    <row r="60" spans="1:2" x14ac:dyDescent="0.3">
      <c r="A60" s="1" t="s">
        <v>55</v>
      </c>
    </row>
    <row r="61" spans="1:2" x14ac:dyDescent="0.3">
      <c r="A61" s="1" t="s">
        <v>56</v>
      </c>
    </row>
    <row r="62" spans="1:2" x14ac:dyDescent="0.3">
      <c r="A62" s="1" t="s">
        <v>57</v>
      </c>
      <c r="B62" s="1">
        <v>2</v>
      </c>
    </row>
    <row r="63" spans="1:2" x14ac:dyDescent="0.3">
      <c r="A63" s="1" t="s">
        <v>58</v>
      </c>
      <c r="B63" s="1">
        <v>1</v>
      </c>
    </row>
    <row r="64" spans="1:2" x14ac:dyDescent="0.3">
      <c r="A64" s="1" t="s">
        <v>59</v>
      </c>
      <c r="B64" s="1">
        <v>1</v>
      </c>
    </row>
    <row r="65" spans="1:2" x14ac:dyDescent="0.3">
      <c r="A65" s="1" t="s">
        <v>60</v>
      </c>
    </row>
    <row r="66" spans="1:2" x14ac:dyDescent="0.3">
      <c r="A66" s="1" t="s">
        <v>61</v>
      </c>
    </row>
    <row r="67" spans="1:2" x14ac:dyDescent="0.3">
      <c r="A67" s="1" t="s">
        <v>62</v>
      </c>
    </row>
    <row r="68" spans="1:2" x14ac:dyDescent="0.3">
      <c r="A68" s="1" t="s">
        <v>63</v>
      </c>
    </row>
    <row r="69" spans="1:2" x14ac:dyDescent="0.3">
      <c r="A69" s="1" t="s">
        <v>64</v>
      </c>
      <c r="B69" s="1">
        <v>5600</v>
      </c>
    </row>
    <row r="70" spans="1:2" x14ac:dyDescent="0.3">
      <c r="A70" s="1" t="s">
        <v>65</v>
      </c>
      <c r="B70" s="1">
        <f>B69+4500</f>
        <v>10100</v>
      </c>
    </row>
    <row r="71" spans="1:2" x14ac:dyDescent="0.3">
      <c r="A71" s="1" t="s">
        <v>66</v>
      </c>
    </row>
    <row r="72" spans="1:2" x14ac:dyDescent="0.3">
      <c r="A72" s="1" t="s">
        <v>67</v>
      </c>
      <c r="B72" s="1" t="s">
        <v>110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2025-10-14T15:41:40Z</dcterms:modified>
</cp:coreProperties>
</file>