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DD61B83-E109-6F45-8BFD-DCB60B751E4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F32" i="1" s="1"/>
  <c r="G32" i="1"/>
  <c r="C31" i="1"/>
  <c r="D31" i="1" l="1"/>
  <c r="C32" i="1" s="1"/>
  <c r="E31" i="1"/>
  <c r="D32" i="1" s="1"/>
  <c r="F31" i="1"/>
  <c r="E32" i="1" s="1"/>
</calcChain>
</file>

<file path=xl/sharedStrings.xml><?xml version="1.0" encoding="utf-8"?>
<sst xmlns="http://schemas.openxmlformats.org/spreadsheetml/2006/main" count="146" uniqueCount="129">
  <si>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</si>
  <si>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</si>
  <si>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</si>
  <si>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</si>
  <si>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</si>
  <si>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</si>
  <si>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</si>
  <si>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</si>
  <si>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</si>
  <si>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</si>
  <si>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</si>
  <si>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</si>
  <si>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</si>
  <si>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</si>
  <si>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</si>
  <si>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</si>
  <si>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</si>
  <si>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</si>
  <si>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</si>
  <si>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</si>
  <si>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</si>
  <si>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</si>
  <si>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</si>
  <si>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</si>
  <si>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</si>
  <si>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</si>
  <si>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</si>
  <si>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</si>
  <si>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</si>
  <si>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</si>
  <si>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</si>
  <si>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</si>
  <si>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</si>
  <si>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</si>
  <si>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</si>
  <si>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</si>
  <si>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</si>
  <si>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</si>
  <si>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</si>
  <si>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</si>
  <si>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</si>
  <si>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</si>
  <si>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</si>
  <si>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</si>
  <si>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</si>
  <si>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</si>
  <si>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</si>
  <si>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</si>
  <si>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</si>
  <si>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</si>
  <si>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</si>
  <si>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</si>
  <si>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</si>
  <si>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</si>
  <si>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</si>
  <si>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</si>
  <si>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</si>
  <si>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</si>
  <si>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</si>
  <si>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</si>
  <si>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</si>
  <si>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</si>
  <si>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</si>
  <si>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</si>
  <si>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</si>
  <si>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</si>
  <si>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</si>
  <si>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</si>
  <si>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</si>
  <si>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</si>
  <si>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</si>
  <si>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</si>
  <si>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</si>
  <si>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</si>
  <si>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</si>
  <si>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carbon</t>
  </si>
  <si>
    <t>drop bar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</si>
  <si>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</si>
  <si>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</si>
  <si>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</si>
  <si>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</si>
  <si>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</si>
  <si>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</si>
  <si>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</si>
  <si>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</si>
  <si>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</si>
  <si>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</si>
  <si>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XS</t>
  </si>
  <si>
    <t>S</t>
  </si>
  <si>
    <t>M</t>
  </si>
  <si>
    <t>L</t>
  </si>
  <si>
    <t>XL</t>
  </si>
  <si>
    <t>T/T</t>
  </si>
  <si>
    <t>C/S</t>
  </si>
  <si>
    <t>S/T</t>
  </si>
  <si>
    <t>H/T</t>
  </si>
  <si>
    <t>REACH</t>
  </si>
  <si>
    <t>STACK</t>
  </si>
  <si>
    <t>FRONT ANGLE</t>
  </si>
  <si>
    <t>71º</t>
  </si>
  <si>
    <t>REAR ANGLE</t>
  </si>
  <si>
    <t>74º</t>
  </si>
  <si>
    <t>WHEEL BASE</t>
  </si>
  <si>
    <t>Megamo</t>
  </si>
  <si>
    <t>West</t>
  </si>
  <si>
    <t>https://www.megamo.com/en/bikes/gravel/west</t>
  </si>
  <si>
    <t>K</t>
  </si>
  <si>
    <t>BB HEIGHT</t>
  </si>
  <si>
    <t>70.5º</t>
  </si>
  <si>
    <t>71.5º</t>
  </si>
  <si>
    <t>72º</t>
  </si>
  <si>
    <t>74.5º</t>
  </si>
  <si>
    <t>73.5º</t>
  </si>
  <si>
    <t>73º</t>
  </si>
  <si>
    <t>72.5º</t>
  </si>
  <si>
    <t>FRONT WHEEL BB</t>
  </si>
  <si>
    <t>front_center</t>
  </si>
  <si>
    <t>internal</t>
  </si>
  <si>
    <t>a8:g34</t>
  </si>
  <si>
    <t>https://www.megamo.com/biblioteca/arxius/MY26/WEST/images/WEST-01__MALVA26_D1-p-2000.png</t>
  </si>
  <si>
    <t>location</t>
  </si>
  <si>
    <t>Girona, Spain</t>
  </si>
  <si>
    <t>EUR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</si>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</sst>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topLeftCell="A49" workbookViewId="0">
      <selection activeCell="B74" sqref="B7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20" x14ac:dyDescent="0.3">
      <c r="A1" s="1" t="s">
        <v>0</v>
      </c>
      <c r="B1" s="1" t="s">
        <v>103</v>
      </c>
    </row>
    <row r="2" spans="1:20" x14ac:dyDescent="0.3">
      <c r="A2" s="1" t="s">
        <v>1</v>
      </c>
      <c r="B2" s="1" t="s">
        <v>104</v>
      </c>
    </row>
    <row r="3" spans="1:20" x14ac:dyDescent="0.3">
      <c r="A3" s="1" t="s">
        <v>2</v>
      </c>
      <c r="B3" s="1">
        <v>2025</v>
      </c>
    </row>
    <row r="4" spans="1:20" x14ac:dyDescent="0.3">
      <c r="A4" s="1" t="s">
        <v>3</v>
      </c>
      <c r="B4" s="2">
        <v>45905</v>
      </c>
      <c r="J4" s="1" t="s">
        <v>77</v>
      </c>
      <c r="K4" s="1" t="s">
        <v>78</v>
      </c>
      <c r="L4" s="1" t="s">
        <v>79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106</v>
      </c>
    </row>
    <row r="5" spans="1:20" x14ac:dyDescent="0.3">
      <c r="A5" s="1" t="s">
        <v>4</v>
      </c>
      <c r="B5" s="1" t="s">
        <v>105</v>
      </c>
      <c r="J5" s="1" t="s">
        <v>92</v>
      </c>
      <c r="K5" s="1" t="s">
        <v>93</v>
      </c>
      <c r="L5" s="1" t="s">
        <v>94</v>
      </c>
      <c r="M5" s="1" t="s">
        <v>95</v>
      </c>
      <c r="N5" s="1" t="s">
        <v>96</v>
      </c>
      <c r="O5" s="1" t="s">
        <v>97</v>
      </c>
      <c r="P5" s="1" t="s">
        <v>107</v>
      </c>
      <c r="Q5" s="1" t="s">
        <v>98</v>
      </c>
      <c r="R5" s="1" t="s">
        <v>100</v>
      </c>
      <c r="S5" s="1" t="s">
        <v>102</v>
      </c>
      <c r="T5" s="1" t="s">
        <v>115</v>
      </c>
    </row>
    <row r="6" spans="1:20" x14ac:dyDescent="0.3">
      <c r="B6" s="1" t="s">
        <v>119</v>
      </c>
      <c r="C6" s="3"/>
      <c r="D6" s="3"/>
      <c r="E6" s="3"/>
      <c r="F6" s="3"/>
      <c r="G6" s="3"/>
      <c r="H6" s="3"/>
      <c r="I6" s="3" t="s">
        <v>87</v>
      </c>
      <c r="J6" s="1">
        <v>525</v>
      </c>
      <c r="K6" s="1">
        <v>435</v>
      </c>
      <c r="L6" s="1">
        <v>490</v>
      </c>
      <c r="M6" s="1">
        <v>120</v>
      </c>
      <c r="N6" s="1">
        <v>375</v>
      </c>
      <c r="O6" s="1">
        <v>538</v>
      </c>
      <c r="P6" s="1">
        <v>67</v>
      </c>
      <c r="Q6" s="1" t="s">
        <v>108</v>
      </c>
      <c r="R6" s="1" t="s">
        <v>111</v>
      </c>
      <c r="S6" s="1">
        <v>1026</v>
      </c>
      <c r="T6" s="1">
        <v>600</v>
      </c>
    </row>
    <row r="7" spans="1:20" x14ac:dyDescent="0.3">
      <c r="A7" s="1" t="s">
        <v>5</v>
      </c>
      <c r="B7" s="1" t="s">
        <v>118</v>
      </c>
      <c r="C7" s="3"/>
      <c r="D7" s="3"/>
      <c r="E7" s="3"/>
      <c r="F7" s="3"/>
      <c r="G7" s="3"/>
      <c r="H7" s="3"/>
      <c r="I7" s="3" t="s">
        <v>88</v>
      </c>
      <c r="J7" s="1">
        <v>535</v>
      </c>
      <c r="K7" s="1">
        <v>435</v>
      </c>
      <c r="L7" s="1">
        <v>520</v>
      </c>
      <c r="M7" s="1">
        <v>140</v>
      </c>
      <c r="N7" s="1">
        <v>375</v>
      </c>
      <c r="O7" s="1">
        <v>556</v>
      </c>
      <c r="P7" s="1">
        <v>67</v>
      </c>
      <c r="Q7" s="1" t="s">
        <v>99</v>
      </c>
      <c r="R7" s="1" t="s">
        <v>101</v>
      </c>
      <c r="S7" s="1">
        <v>1027</v>
      </c>
      <c r="T7" s="1">
        <v>601</v>
      </c>
    </row>
    <row r="8" spans="1:20" x14ac:dyDescent="0.3">
      <c r="A8" s="1" t="s">
        <v>6</v>
      </c>
      <c r="C8" s="3" t="s">
        <v>87</v>
      </c>
      <c r="D8" s="3" t="s">
        <v>88</v>
      </c>
      <c r="E8" s="1" t="s">
        <v>89</v>
      </c>
      <c r="F8" s="1" t="s">
        <v>90</v>
      </c>
      <c r="G8" s="1" t="s">
        <v>91</v>
      </c>
      <c r="I8" s="1" t="s">
        <v>89</v>
      </c>
      <c r="J8" s="1">
        <v>545</v>
      </c>
      <c r="K8" s="1">
        <v>435</v>
      </c>
      <c r="L8" s="1">
        <v>540</v>
      </c>
      <c r="M8" s="1">
        <v>150</v>
      </c>
      <c r="N8" s="1">
        <v>377</v>
      </c>
      <c r="O8" s="1">
        <v>568</v>
      </c>
      <c r="P8" s="1">
        <v>67</v>
      </c>
      <c r="Q8" s="1" t="s">
        <v>109</v>
      </c>
      <c r="R8" s="1" t="s">
        <v>112</v>
      </c>
      <c r="S8" s="1">
        <v>1028</v>
      </c>
      <c r="T8" s="1">
        <v>602</v>
      </c>
    </row>
    <row r="9" spans="1:20" x14ac:dyDescent="0.3">
      <c r="A9" s="1" t="s">
        <v>8</v>
      </c>
      <c r="B9" s="1" t="s">
        <v>92</v>
      </c>
      <c r="C9" s="1">
        <v>525</v>
      </c>
      <c r="D9" s="1">
        <v>535</v>
      </c>
      <c r="E9" s="1">
        <v>545</v>
      </c>
      <c r="F9" s="1">
        <v>560</v>
      </c>
      <c r="G9" s="1">
        <v>575</v>
      </c>
      <c r="I9" s="1" t="s">
        <v>90</v>
      </c>
      <c r="J9" s="1">
        <v>560</v>
      </c>
      <c r="K9" s="1">
        <v>435</v>
      </c>
      <c r="L9" s="1">
        <v>560</v>
      </c>
      <c r="M9" s="1">
        <v>170</v>
      </c>
      <c r="N9" s="1">
        <v>380</v>
      </c>
      <c r="O9" s="1">
        <v>589</v>
      </c>
      <c r="P9" s="1">
        <v>67</v>
      </c>
      <c r="Q9" s="1" t="s">
        <v>110</v>
      </c>
      <c r="R9" s="1" t="s">
        <v>113</v>
      </c>
      <c r="S9" s="1">
        <v>1032</v>
      </c>
      <c r="T9" s="1">
        <v>606</v>
      </c>
    </row>
    <row r="10" spans="1:20" x14ac:dyDescent="0.3">
      <c r="A10" s="1" t="s">
        <v>12</v>
      </c>
      <c r="B10" s="1" t="s">
        <v>93</v>
      </c>
      <c r="C10" s="1">
        <v>435</v>
      </c>
      <c r="D10" s="1">
        <v>435</v>
      </c>
      <c r="E10" s="1">
        <v>435</v>
      </c>
      <c r="F10" s="1">
        <v>435</v>
      </c>
      <c r="G10" s="1">
        <v>435</v>
      </c>
      <c r="I10" s="1" t="s">
        <v>91</v>
      </c>
      <c r="J10" s="1">
        <v>575</v>
      </c>
      <c r="K10" s="1">
        <v>435</v>
      </c>
      <c r="L10" s="1">
        <v>580</v>
      </c>
      <c r="M10" s="1">
        <v>190</v>
      </c>
      <c r="N10" s="1">
        <v>384</v>
      </c>
      <c r="O10" s="1">
        <v>606</v>
      </c>
      <c r="P10" s="1">
        <v>67</v>
      </c>
      <c r="Q10" s="1" t="s">
        <v>110</v>
      </c>
      <c r="R10" s="1" t="s">
        <v>114</v>
      </c>
      <c r="S10" s="1">
        <v>1041</v>
      </c>
      <c r="T10" s="1">
        <v>615</v>
      </c>
    </row>
    <row r="11" spans="1:20" x14ac:dyDescent="0.3">
      <c r="A11" s="1" t="s">
        <v>7</v>
      </c>
      <c r="B11" s="1" t="s">
        <v>94</v>
      </c>
      <c r="C11" s="1">
        <v>490</v>
      </c>
      <c r="D11" s="1">
        <v>520</v>
      </c>
      <c r="E11" s="1">
        <v>540</v>
      </c>
      <c r="F11" s="1">
        <v>560</v>
      </c>
      <c r="G11" s="1">
        <v>580</v>
      </c>
    </row>
    <row r="12" spans="1:20" x14ac:dyDescent="0.3">
      <c r="A12" s="1" t="s">
        <v>9</v>
      </c>
      <c r="B12" s="1" t="s">
        <v>95</v>
      </c>
      <c r="C12" s="1">
        <v>120</v>
      </c>
      <c r="D12" s="1">
        <v>140</v>
      </c>
      <c r="E12" s="1">
        <v>150</v>
      </c>
      <c r="F12" s="1">
        <v>170</v>
      </c>
      <c r="G12" s="1">
        <v>190</v>
      </c>
    </row>
    <row r="13" spans="1:20" x14ac:dyDescent="0.3">
      <c r="A13" s="1" t="s">
        <v>17</v>
      </c>
      <c r="B13" s="1" t="s">
        <v>96</v>
      </c>
      <c r="C13" s="1">
        <v>375</v>
      </c>
      <c r="D13" s="1">
        <v>375</v>
      </c>
      <c r="E13" s="1">
        <v>377</v>
      </c>
      <c r="F13" s="1">
        <v>380</v>
      </c>
      <c r="G13" s="1">
        <v>384</v>
      </c>
    </row>
    <row r="14" spans="1:20" x14ac:dyDescent="0.3">
      <c r="A14" s="1" t="s">
        <v>16</v>
      </c>
      <c r="B14" s="1" t="s">
        <v>97</v>
      </c>
      <c r="C14" s="1">
        <v>538</v>
      </c>
      <c r="D14" s="1">
        <v>556</v>
      </c>
      <c r="E14" s="1">
        <v>568</v>
      </c>
      <c r="F14" s="1">
        <v>589</v>
      </c>
      <c r="G14" s="1">
        <v>606</v>
      </c>
    </row>
    <row r="15" spans="1:20" x14ac:dyDescent="0.3">
      <c r="A15" s="1" t="s">
        <v>13</v>
      </c>
      <c r="B15" s="1" t="s">
        <v>107</v>
      </c>
      <c r="C15" s="1">
        <v>67</v>
      </c>
      <c r="D15" s="1">
        <v>67</v>
      </c>
      <c r="E15" s="1">
        <v>67</v>
      </c>
      <c r="F15" s="1">
        <v>67</v>
      </c>
      <c r="G15" s="1">
        <v>67</v>
      </c>
    </row>
    <row r="16" spans="1:20" x14ac:dyDescent="0.3">
      <c r="A16" s="1" t="s">
        <v>11</v>
      </c>
      <c r="B16" s="1" t="s">
        <v>98</v>
      </c>
      <c r="C16" s="1">
        <v>70.5</v>
      </c>
      <c r="D16" s="1">
        <v>71</v>
      </c>
      <c r="E16" s="1">
        <v>71.5</v>
      </c>
      <c r="F16" s="1">
        <v>72</v>
      </c>
      <c r="G16" s="1">
        <v>72</v>
      </c>
    </row>
    <row r="17" spans="1:11" x14ac:dyDescent="0.3">
      <c r="A17" s="1" t="s">
        <v>10</v>
      </c>
      <c r="B17" s="1" t="s">
        <v>100</v>
      </c>
      <c r="C17" s="1">
        <v>74.5</v>
      </c>
      <c r="D17" s="1">
        <v>74</v>
      </c>
      <c r="E17" s="1">
        <v>73.5</v>
      </c>
      <c r="F17" s="1">
        <v>73</v>
      </c>
      <c r="G17" s="1">
        <v>72.5</v>
      </c>
    </row>
    <row r="18" spans="1:11" x14ac:dyDescent="0.3">
      <c r="A18" s="1" t="s">
        <v>14</v>
      </c>
      <c r="B18" s="1" t="s">
        <v>102</v>
      </c>
      <c r="C18" s="1">
        <v>1026</v>
      </c>
      <c r="D18" s="1">
        <v>1027</v>
      </c>
      <c r="E18" s="1">
        <v>1028</v>
      </c>
      <c r="F18" s="1">
        <v>1032</v>
      </c>
      <c r="G18" s="1">
        <v>1041</v>
      </c>
    </row>
    <row r="19" spans="1:11" x14ac:dyDescent="0.3">
      <c r="A19" s="1" t="s">
        <v>116</v>
      </c>
      <c r="B19" s="1" t="s">
        <v>115</v>
      </c>
      <c r="C19" s="1">
        <v>600</v>
      </c>
      <c r="D19" s="1">
        <v>601</v>
      </c>
      <c r="E19" s="1">
        <v>602</v>
      </c>
      <c r="F19" s="1">
        <v>606</v>
      </c>
      <c r="G19" s="1">
        <v>615</v>
      </c>
    </row>
    <row r="20" spans="1:11" x14ac:dyDescent="0.3">
      <c r="A20" s="1" t="s">
        <v>15</v>
      </c>
    </row>
    <row r="21" spans="1:11" x14ac:dyDescent="0.3">
      <c r="A21" s="1" t="s">
        <v>18</v>
      </c>
      <c r="B21" s="6"/>
      <c r="H21" s="7"/>
      <c r="K21" s="7"/>
    </row>
    <row r="22" spans="1:11" x14ac:dyDescent="0.3">
      <c r="A22" s="1" t="s">
        <v>22</v>
      </c>
      <c r="B22" s="6"/>
      <c r="C22" s="7"/>
      <c r="D22" s="7"/>
      <c r="E22" s="7"/>
      <c r="F22" s="7"/>
      <c r="G22" s="7"/>
    </row>
    <row r="23" spans="1:11" x14ac:dyDescent="0.3">
      <c r="A23" s="1" t="s">
        <v>72</v>
      </c>
    </row>
    <row r="24" spans="1:11" x14ac:dyDescent="0.3">
      <c r="A24" s="1" t="s">
        <v>19</v>
      </c>
    </row>
    <row r="25" spans="1:11" x14ac:dyDescent="0.3">
      <c r="A25" s="1" t="s">
        <v>20</v>
      </c>
    </row>
    <row r="26" spans="1:11" x14ac:dyDescent="0.3">
      <c r="A26" s="1" t="s">
        <v>21</v>
      </c>
      <c r="C26" s="1">
        <v>70</v>
      </c>
      <c r="D26" s="1">
        <v>80</v>
      </c>
      <c r="E26" s="1">
        <v>90</v>
      </c>
      <c r="F26" s="1">
        <v>100</v>
      </c>
      <c r="G26" s="1">
        <v>110</v>
      </c>
    </row>
    <row r="27" spans="1:11" x14ac:dyDescent="0.3">
      <c r="A27" s="1" t="s">
        <v>23</v>
      </c>
    </row>
    <row r="28" spans="1:11" x14ac:dyDescent="0.3">
      <c r="A28" s="1" t="s">
        <v>24</v>
      </c>
      <c r="C28" s="4">
        <v>700</v>
      </c>
      <c r="D28" s="4">
        <v>700</v>
      </c>
      <c r="E28" s="4">
        <v>700</v>
      </c>
      <c r="F28" s="4">
        <v>700</v>
      </c>
      <c r="G28" s="4">
        <v>700</v>
      </c>
      <c r="H28" s="4"/>
      <c r="J28" s="4"/>
      <c r="K28" s="4"/>
    </row>
    <row r="29" spans="1:11" x14ac:dyDescent="0.3">
      <c r="A29" s="1" t="s">
        <v>25</v>
      </c>
      <c r="C29" s="4">
        <v>45</v>
      </c>
      <c r="D29" s="4">
        <v>45</v>
      </c>
      <c r="E29" s="4">
        <v>45</v>
      </c>
      <c r="F29" s="4">
        <v>45</v>
      </c>
      <c r="G29" s="4">
        <v>45</v>
      </c>
      <c r="H29" s="4"/>
      <c r="J29" s="4"/>
      <c r="K29" s="4"/>
    </row>
    <row r="30" spans="1:11" x14ac:dyDescent="0.3">
      <c r="A30" s="1" t="s">
        <v>26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11" x14ac:dyDescent="0.3">
      <c r="A31" s="1" t="s">
        <v>27</v>
      </c>
      <c r="C31" s="1">
        <f>C33</f>
        <v>150</v>
      </c>
      <c r="D31" s="1">
        <f>AVERAGE(D33,C34)</f>
        <v>167.5</v>
      </c>
      <c r="E31" s="1">
        <f t="shared" ref="E31:G31" si="0">AVERAGE(E33,D34)</f>
        <v>172.5</v>
      </c>
      <c r="F31" s="1">
        <f t="shared" si="0"/>
        <v>182.5</v>
      </c>
      <c r="G31" s="1">
        <f t="shared" si="0"/>
        <v>190</v>
      </c>
    </row>
    <row r="32" spans="1:11" x14ac:dyDescent="0.3">
      <c r="A32" s="1" t="s">
        <v>28</v>
      </c>
      <c r="C32" s="1">
        <f>D31</f>
        <v>167.5</v>
      </c>
      <c r="D32" s="1">
        <f t="shared" ref="D32:F32" si="1">E31</f>
        <v>172.5</v>
      </c>
      <c r="E32" s="1">
        <f t="shared" si="1"/>
        <v>182.5</v>
      </c>
      <c r="F32" s="1">
        <f t="shared" si="1"/>
        <v>190</v>
      </c>
      <c r="G32" s="1">
        <f>G34</f>
        <v>210</v>
      </c>
    </row>
    <row r="33" spans="1:8" x14ac:dyDescent="0.3">
      <c r="A33" s="1" t="s">
        <v>73</v>
      </c>
      <c r="C33" s="1">
        <v>150</v>
      </c>
      <c r="D33" s="1">
        <v>165</v>
      </c>
      <c r="E33" s="1">
        <v>170</v>
      </c>
      <c r="F33" s="1">
        <v>180</v>
      </c>
      <c r="G33" s="1">
        <v>190</v>
      </c>
    </row>
    <row r="34" spans="1:8" x14ac:dyDescent="0.3">
      <c r="A34" s="1" t="s">
        <v>74</v>
      </c>
      <c r="C34" s="1">
        <v>170</v>
      </c>
      <c r="D34" s="1">
        <v>175</v>
      </c>
      <c r="E34" s="1">
        <v>185</v>
      </c>
      <c r="F34" s="1">
        <v>190</v>
      </c>
      <c r="G34" s="1">
        <v>210</v>
      </c>
    </row>
    <row r="35" spans="1:8" x14ac:dyDescent="0.3">
      <c r="E35" s="8"/>
    </row>
    <row r="36" spans="1:8" x14ac:dyDescent="0.3">
      <c r="A36" s="1" t="s">
        <v>29</v>
      </c>
      <c r="B36" s="1" t="s">
        <v>30</v>
      </c>
      <c r="H36" s="4"/>
    </row>
    <row r="37" spans="1:8" x14ac:dyDescent="0.3">
      <c r="A37" s="1" t="s">
        <v>66</v>
      </c>
      <c r="B37" s="1" t="s">
        <v>67</v>
      </c>
      <c r="C37" s="7"/>
      <c r="D37" s="7"/>
      <c r="E37" s="7"/>
      <c r="F37" s="7"/>
      <c r="G37" s="7"/>
    </row>
    <row r="38" spans="1:8" x14ac:dyDescent="0.3">
      <c r="A38" s="1" t="s">
        <v>68</v>
      </c>
      <c r="B38" s="1" t="s">
        <v>76</v>
      </c>
    </row>
    <row r="39" spans="1:8" x14ac:dyDescent="0.3">
      <c r="A39" s="1" t="s">
        <v>69</v>
      </c>
      <c r="B39" s="1" t="s">
        <v>70</v>
      </c>
    </row>
    <row r="40" spans="1:8" x14ac:dyDescent="0.3">
      <c r="A40" s="1" t="s">
        <v>31</v>
      </c>
      <c r="B40" s="1" t="s">
        <v>75</v>
      </c>
    </row>
    <row r="41" spans="1:8" x14ac:dyDescent="0.3">
      <c r="A41" s="1" t="s">
        <v>32</v>
      </c>
    </row>
    <row r="42" spans="1:8" x14ac:dyDescent="0.3">
      <c r="A42" s="1" t="s">
        <v>33</v>
      </c>
    </row>
    <row r="43" spans="1:8" x14ac:dyDescent="0.3">
      <c r="A43" s="1" t="s">
        <v>34</v>
      </c>
      <c r="B43" s="1">
        <v>50</v>
      </c>
    </row>
    <row r="44" spans="1:8" x14ac:dyDescent="0.3">
      <c r="A44" s="1" t="s">
        <v>35</v>
      </c>
      <c r="B44" s="5">
        <v>47</v>
      </c>
    </row>
    <row r="45" spans="1:8" x14ac:dyDescent="0.3">
      <c r="A45" s="1" t="s">
        <v>36</v>
      </c>
    </row>
    <row r="46" spans="1:8" x14ac:dyDescent="0.3">
      <c r="A46" s="1" t="s">
        <v>37</v>
      </c>
    </row>
    <row r="47" spans="1:8" x14ac:dyDescent="0.3">
      <c r="A47" s="1" t="s">
        <v>38</v>
      </c>
    </row>
    <row r="48" spans="1:8" x14ac:dyDescent="0.3">
      <c r="A48" s="1" t="s">
        <v>39</v>
      </c>
    </row>
    <row r="49" spans="1:2" x14ac:dyDescent="0.3">
      <c r="A49" s="1" t="s">
        <v>40</v>
      </c>
      <c r="B49" s="1">
        <v>142</v>
      </c>
    </row>
    <row r="50" spans="1:2" x14ac:dyDescent="0.3">
      <c r="A50" s="1" t="s">
        <v>41</v>
      </c>
      <c r="B50" s="1">
        <v>100</v>
      </c>
    </row>
    <row r="51" spans="1:2" x14ac:dyDescent="0.3">
      <c r="A51" s="1" t="s">
        <v>123</v>
      </c>
    </row>
    <row r="52" spans="1:2" x14ac:dyDescent="0.3">
      <c r="A52" s="1" t="s">
        <v>124</v>
      </c>
    </row>
    <row r="53" spans="1:2" x14ac:dyDescent="0.3">
      <c r="A53" s="1" t="s">
        <v>125</v>
      </c>
    </row>
    <row r="54" spans="1:2" x14ac:dyDescent="0.3">
      <c r="A54" s="1" t="s">
        <v>126</v>
      </c>
    </row>
    <row r="55" spans="1:2" x14ac:dyDescent="0.3">
      <c r="A55" s="1" t="s">
        <v>127</v>
      </c>
    </row>
    <row r="56" spans="1:2" x14ac:dyDescent="0.3">
      <c r="A56" s="1" t="s">
        <v>128</v>
      </c>
    </row>
    <row r="57" spans="1:2" x14ac:dyDescent="0.3">
      <c r="A57" s="1" t="s">
        <v>42</v>
      </c>
    </row>
    <row r="58" spans="1:2" x14ac:dyDescent="0.3">
      <c r="A58" s="1" t="s">
        <v>43</v>
      </c>
    </row>
    <row r="59" spans="1:2" x14ac:dyDescent="0.3">
      <c r="A59" s="1" t="s">
        <v>44</v>
      </c>
      <c r="B59" s="1">
        <v>27.2</v>
      </c>
    </row>
    <row r="60" spans="1:2" x14ac:dyDescent="0.3">
      <c r="A60" s="1" t="s">
        <v>45</v>
      </c>
      <c r="B60" s="1" t="s">
        <v>71</v>
      </c>
    </row>
    <row r="61" spans="1:2" x14ac:dyDescent="0.3">
      <c r="A61" s="1" t="s">
        <v>46</v>
      </c>
    </row>
    <row r="62" spans="1:2" x14ac:dyDescent="0.3">
      <c r="A62" s="1" t="s">
        <v>47</v>
      </c>
    </row>
    <row r="63" spans="1:2" x14ac:dyDescent="0.3">
      <c r="A63" s="1" t="s">
        <v>48</v>
      </c>
    </row>
    <row r="64" spans="1:2" x14ac:dyDescent="0.3">
      <c r="A64" s="1" t="s">
        <v>49</v>
      </c>
    </row>
    <row r="65" spans="1:2" x14ac:dyDescent="0.3">
      <c r="A65" s="1" t="s">
        <v>50</v>
      </c>
    </row>
    <row r="66" spans="1:2" x14ac:dyDescent="0.3">
      <c r="A66" s="1" t="s">
        <v>51</v>
      </c>
      <c r="B66" s="1" t="s">
        <v>117</v>
      </c>
    </row>
    <row r="67" spans="1:2" x14ac:dyDescent="0.3">
      <c r="A67" s="1" t="s">
        <v>52</v>
      </c>
    </row>
    <row r="68" spans="1:2" x14ac:dyDescent="0.3">
      <c r="A68" s="1" t="s">
        <v>53</v>
      </c>
    </row>
    <row r="69" spans="1:2" x14ac:dyDescent="0.3">
      <c r="A69" s="1" t="s">
        <v>54</v>
      </c>
    </row>
    <row r="70" spans="1:2" x14ac:dyDescent="0.3">
      <c r="A70" s="1" t="s">
        <v>55</v>
      </c>
      <c r="B70" s="1">
        <v>2</v>
      </c>
    </row>
    <row r="71" spans="1:2" x14ac:dyDescent="0.3">
      <c r="A71" s="1" t="s">
        <v>56</v>
      </c>
      <c r="B71" s="1">
        <v>1</v>
      </c>
    </row>
    <row r="72" spans="1:2" x14ac:dyDescent="0.3">
      <c r="A72" s="1" t="s">
        <v>57</v>
      </c>
    </row>
    <row r="73" spans="1:2" x14ac:dyDescent="0.3">
      <c r="A73" s="1" t="s">
        <v>58</v>
      </c>
    </row>
    <row r="74" spans="1:2" x14ac:dyDescent="0.3">
      <c r="A74" s="1" t="s">
        <v>59</v>
      </c>
    </row>
    <row r="75" spans="1:2" x14ac:dyDescent="0.3">
      <c r="A75" s="1" t="s">
        <v>60</v>
      </c>
    </row>
    <row r="76" spans="1:2" x14ac:dyDescent="0.3">
      <c r="A76" s="1" t="s">
        <v>61</v>
      </c>
    </row>
    <row r="77" spans="1:2" x14ac:dyDescent="0.3">
      <c r="A77" s="1" t="s">
        <v>62</v>
      </c>
    </row>
    <row r="78" spans="1:2" x14ac:dyDescent="0.3">
      <c r="A78" s="1" t="s">
        <v>63</v>
      </c>
      <c r="B78" s="1">
        <v>2299</v>
      </c>
    </row>
    <row r="79" spans="1:2" x14ac:dyDescent="0.3">
      <c r="A79" s="1" t="s">
        <v>64</v>
      </c>
    </row>
    <row r="80" spans="1:2" x14ac:dyDescent="0.3">
      <c r="A80" s="1" t="s">
        <v>65</v>
      </c>
      <c r="B80" s="1" t="s">
        <v>122</v>
      </c>
    </row>
    <row r="81" spans="1:2" x14ac:dyDescent="0.3">
      <c r="A81" s="1" t="s">
        <v>120</v>
      </c>
      <c r="B81" s="1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2025-11-07T14:44:39Z</dcterms:modified>
</cp:coreProperties>
</file>