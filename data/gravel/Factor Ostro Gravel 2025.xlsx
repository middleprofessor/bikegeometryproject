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not enough data/"/>
    </mc:Choice>
  </mc:AlternateContent>
  <xr:revisionPtr revIDLastSave="0" documentId="13_ncr:1_{DAB55CC1-E131-7B45-920D-918271933C37}" xr6:coauthVersionLast="47" xr6:coauthVersionMax="47" xr10:uidLastSave="{00000000-0000-0000-0000-000000000000}"/>
  <bookViews>
    <workbookView xWindow="3060" yWindow="1420" windowWidth="2574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  <c r="K27" i="1"/>
  <c r="J27" i="1"/>
  <c r="J26" i="1"/>
</calcChain>
</file>

<file path=xl/sharedStrings.xml><?xml version="1.0" encoding="utf-8"?>
<sst xmlns="http://schemas.openxmlformats.org/spreadsheetml/2006/main" count="131" uniqueCount="120">
  <si>
    <t>brand</t>
  </si>
  <si>
    <t>Factor</t>
  </si>
  <si>
    <t>model</t>
  </si>
  <si>
    <t>Ostro Gravel</t>
  </si>
  <si>
    <t>model year</t>
  </si>
  <si>
    <t>2025</t>
  </si>
  <si>
    <t>input date</t>
  </si>
  <si>
    <t>URL</t>
  </si>
  <si>
    <t>https://factorbikes.com/bikes/ostro-gravel</t>
  </si>
  <si>
    <t>16-Jul-2025</t>
  </si>
  <si>
    <t>data_range</t>
  </si>
  <si>
    <t>a8:h32</t>
  </si>
  <si>
    <t>frame_size</t>
  </si>
  <si>
    <t>frame size</t>
  </si>
  <si>
    <t>49</t>
  </si>
  <si>
    <t>52</t>
  </si>
  <si>
    <t>54</t>
  </si>
  <si>
    <t>56</t>
  </si>
  <si>
    <t>58</t>
  </si>
  <si>
    <t>61</t>
  </si>
  <si>
    <t>stack</t>
  </si>
  <si>
    <t>A STACK</t>
  </si>
  <si>
    <t>reach</t>
  </si>
  <si>
    <t>B REACH</t>
  </si>
  <si>
    <t>head_tube_angle</t>
  </si>
  <si>
    <t>C HEAD TUBE ANGLE</t>
  </si>
  <si>
    <t>bottom_bracket_drop</t>
  </si>
  <si>
    <t>D BB DROP</t>
  </si>
  <si>
    <t>trail</t>
  </si>
  <si>
    <t>E TRAIL</t>
  </si>
  <si>
    <t>fork_offset_rake</t>
  </si>
  <si>
    <t>F FORK RAKE/OFFSET</t>
  </si>
  <si>
    <t>chainstay_length</t>
  </si>
  <si>
    <t>G CHAINSTAY LENGTH</t>
  </si>
  <si>
    <t>wheelbase</t>
  </si>
  <si>
    <t>H WHEELBASE</t>
  </si>
  <si>
    <t>standover</t>
  </si>
  <si>
    <t>I BIKE STANDOVER HEIGHT</t>
  </si>
  <si>
    <t>seat_tube_length</t>
  </si>
  <si>
    <t>J SEAT TUBE LENGTH</t>
  </si>
  <si>
    <t>seat_tube_angle</t>
  </si>
  <si>
    <t>K SEAT TUBE ANGLE</t>
  </si>
  <si>
    <t>top_tube_effective_length</t>
  </si>
  <si>
    <t>head_tube_length</t>
  </si>
  <si>
    <t>axle_crown</t>
  </si>
  <si>
    <t>crank_length</t>
  </si>
  <si>
    <t>handlebar_width</t>
  </si>
  <si>
    <t>stem_angle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</si>
  <si>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</si>
  <si>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</si>
  <si>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</si>
  <si>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</si>
  <si>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</si>
  <si>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</si>
  <si>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</si>
  <si>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</si>
  <si>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</si>
  <si>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</si>
  <si>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</si>
  <si>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</si>
  <si>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</si>
  <si>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</si>
  <si>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</si>
  <si>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</si>
  <si>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45</t>
  </si>
  <si>
    <t>tire_width_max_650b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</si>
  <si>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</si>
  <si>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</si>
  <si>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</si>
  <si>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</si>
  <si>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</si>
  <si>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</si>
  <si>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</si>
  <si>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</si>
  <si>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</si>
  <si>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</si>
  <si>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</si>
  <si>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</si>
  <si>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</si>
  <si>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</si>
  <si>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</si>
  <si>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</si>
  <si>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max_chainring_2x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</si>
  <si>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</si>
  <si>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</si>
  <si>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</si>
  <si>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</si>
  <si>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</si>
  <si>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</si>
  <si>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</si>
  <si>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</si>
  <si>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</si>
  <si>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</si>
  <si>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</si>
  <si>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</si>
  <si>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</si>
  <si>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</si>
  <si>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</si>
  <si>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</si>
  <si>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</si>
  <si>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5499</t>
  </si>
  <si>
    <t>base_build</t>
  </si>
  <si>
    <t>8499</t>
  </si>
  <si>
    <t>custom_builds</t>
  </si>
  <si>
    <t>currency</t>
  </si>
  <si>
    <t>https://cdn.shopify.com/s/files/1/0752/0282/2427/files/ostro-gravel-cb-Team-AMANI2025-4472x4472.png?width=2000</t>
  </si>
  <si>
    <t>location</t>
  </si>
  <si>
    <t>USD</t>
  </si>
  <si>
    <t>chainstay</t>
  </si>
  <si>
    <t>head tube</t>
  </si>
  <si>
    <t>axle-crown</t>
  </si>
  <si>
    <t>Fiji measures from size 54</t>
  </si>
  <si>
    <t>if…</t>
  </si>
  <si>
    <t>class</t>
  </si>
  <si>
    <t>handlebar</t>
  </si>
  <si>
    <t>fork</t>
  </si>
  <si>
    <t>gravel</t>
  </si>
  <si>
    <t>drop bar</t>
  </si>
  <si>
    <t>rigid</t>
  </si>
  <si>
    <t>Norfolk,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</si>
</sst>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50" workbookViewId="0">
      <selection activeCell="C70" sqref="C7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105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515</v>
      </c>
      <c r="D9">
        <v>535</v>
      </c>
      <c r="E9">
        <v>555</v>
      </c>
      <c r="F9">
        <v>580</v>
      </c>
      <c r="G9">
        <v>605</v>
      </c>
      <c r="H9">
        <v>625</v>
      </c>
    </row>
    <row r="10" spans="1:8" x14ac:dyDescent="0.3">
      <c r="A10" t="s">
        <v>22</v>
      </c>
      <c r="B10" t="s">
        <v>23</v>
      </c>
      <c r="C10">
        <v>377</v>
      </c>
      <c r="D10">
        <v>385</v>
      </c>
      <c r="E10">
        <v>394</v>
      </c>
      <c r="F10">
        <v>402</v>
      </c>
      <c r="G10">
        <v>412</v>
      </c>
      <c r="H10">
        <v>422</v>
      </c>
    </row>
    <row r="11" spans="1:8" x14ac:dyDescent="0.3">
      <c r="A11" t="s">
        <v>24</v>
      </c>
      <c r="B11" t="s">
        <v>25</v>
      </c>
      <c r="C11">
        <v>71.2</v>
      </c>
      <c r="D11">
        <v>71.3</v>
      </c>
      <c r="E11">
        <v>72.2</v>
      </c>
      <c r="F11">
        <v>72.3</v>
      </c>
      <c r="G11">
        <v>72.3</v>
      </c>
      <c r="H11">
        <v>72.3</v>
      </c>
    </row>
    <row r="12" spans="1:8" x14ac:dyDescent="0.3">
      <c r="A12" t="s">
        <v>26</v>
      </c>
      <c r="B12" t="s">
        <v>27</v>
      </c>
      <c r="C12">
        <v>76</v>
      </c>
      <c r="D12">
        <v>76</v>
      </c>
      <c r="E12">
        <v>74</v>
      </c>
      <c r="F12">
        <v>74</v>
      </c>
      <c r="G12">
        <v>74</v>
      </c>
      <c r="H12">
        <v>74</v>
      </c>
    </row>
    <row r="13" spans="1:8" x14ac:dyDescent="0.3">
      <c r="A13" t="s">
        <v>28</v>
      </c>
      <c r="B13" t="s">
        <v>29</v>
      </c>
      <c r="C13">
        <v>62</v>
      </c>
      <c r="D13">
        <v>62</v>
      </c>
      <c r="E13">
        <v>61</v>
      </c>
      <c r="F13">
        <v>61</v>
      </c>
      <c r="G13">
        <v>61</v>
      </c>
      <c r="H13">
        <v>61</v>
      </c>
    </row>
    <row r="14" spans="1:8" x14ac:dyDescent="0.3">
      <c r="A14" t="s">
        <v>30</v>
      </c>
      <c r="B14" t="s">
        <v>31</v>
      </c>
      <c r="C14">
        <v>56</v>
      </c>
      <c r="D14">
        <v>56</v>
      </c>
      <c r="E14">
        <v>50</v>
      </c>
      <c r="F14">
        <v>50</v>
      </c>
      <c r="G14">
        <v>50</v>
      </c>
      <c r="H14">
        <v>50</v>
      </c>
    </row>
    <row r="15" spans="1:8" x14ac:dyDescent="0.3">
      <c r="A15" t="s">
        <v>32</v>
      </c>
      <c r="B15" t="s">
        <v>33</v>
      </c>
      <c r="C15">
        <v>420</v>
      </c>
      <c r="D15">
        <v>420</v>
      </c>
      <c r="E15">
        <v>420</v>
      </c>
      <c r="F15">
        <v>423</v>
      </c>
      <c r="G15">
        <v>425</v>
      </c>
      <c r="H15">
        <v>425</v>
      </c>
    </row>
    <row r="16" spans="1:8" x14ac:dyDescent="0.3">
      <c r="A16" t="s">
        <v>34</v>
      </c>
      <c r="B16" t="s">
        <v>35</v>
      </c>
      <c r="C16">
        <v>999</v>
      </c>
      <c r="D16">
        <v>1013</v>
      </c>
      <c r="E16">
        <v>1014</v>
      </c>
      <c r="F16">
        <v>1029</v>
      </c>
      <c r="G16">
        <v>1047</v>
      </c>
      <c r="H16">
        <v>1069</v>
      </c>
    </row>
    <row r="17" spans="1:13" x14ac:dyDescent="0.3">
      <c r="A17" t="s">
        <v>36</v>
      </c>
      <c r="B17" t="s">
        <v>37</v>
      </c>
      <c r="C17">
        <v>750</v>
      </c>
      <c r="D17">
        <v>767</v>
      </c>
      <c r="E17">
        <v>786</v>
      </c>
      <c r="F17">
        <v>802</v>
      </c>
      <c r="G17">
        <v>820</v>
      </c>
      <c r="H17">
        <v>847</v>
      </c>
    </row>
    <row r="18" spans="1:13" x14ac:dyDescent="0.3">
      <c r="A18" t="s">
        <v>38</v>
      </c>
      <c r="B18" t="s">
        <v>39</v>
      </c>
      <c r="C18">
        <v>450</v>
      </c>
      <c r="D18">
        <v>468</v>
      </c>
      <c r="E18">
        <v>483</v>
      </c>
      <c r="F18">
        <v>500</v>
      </c>
      <c r="G18">
        <v>523</v>
      </c>
      <c r="H18">
        <v>545</v>
      </c>
    </row>
    <row r="19" spans="1:13" x14ac:dyDescent="0.3">
      <c r="A19" t="s">
        <v>40</v>
      </c>
      <c r="B19" t="s">
        <v>41</v>
      </c>
      <c r="C19">
        <v>74.5</v>
      </c>
      <c r="D19">
        <v>74</v>
      </c>
      <c r="E19">
        <v>74</v>
      </c>
      <c r="F19">
        <v>73.5</v>
      </c>
      <c r="G19">
        <v>73.5</v>
      </c>
      <c r="H19">
        <v>73.5</v>
      </c>
      <c r="I19" s="1" t="s">
        <v>111</v>
      </c>
    </row>
    <row r="20" spans="1:13" x14ac:dyDescent="0.3">
      <c r="A20" t="s">
        <v>42</v>
      </c>
      <c r="I20" s="1" t="s">
        <v>34</v>
      </c>
      <c r="J20">
        <v>1014</v>
      </c>
      <c r="K20">
        <v>1014</v>
      </c>
      <c r="L20">
        <v>1014</v>
      </c>
    </row>
    <row r="21" spans="1:13" x14ac:dyDescent="0.3">
      <c r="A21" t="s">
        <v>43</v>
      </c>
      <c r="I21" s="1" t="s">
        <v>108</v>
      </c>
      <c r="J21">
        <v>423.07499999999999</v>
      </c>
      <c r="K21">
        <v>418.63099999999997</v>
      </c>
      <c r="L21">
        <v>420.89100000000002</v>
      </c>
      <c r="M21">
        <v>421.70600000000002</v>
      </c>
    </row>
    <row r="22" spans="1:13" x14ac:dyDescent="0.3">
      <c r="A22" t="s">
        <v>44</v>
      </c>
      <c r="C22">
        <v>395</v>
      </c>
      <c r="D22">
        <v>395</v>
      </c>
      <c r="E22">
        <v>395</v>
      </c>
      <c r="F22">
        <v>395</v>
      </c>
      <c r="G22">
        <v>395</v>
      </c>
      <c r="H22">
        <v>395</v>
      </c>
      <c r="I22" s="1" t="s">
        <v>109</v>
      </c>
      <c r="J22">
        <v>121.53400000000001</v>
      </c>
      <c r="K22">
        <v>116.724</v>
      </c>
      <c r="L22">
        <v>119.401</v>
      </c>
      <c r="M22">
        <v>118.794</v>
      </c>
    </row>
    <row r="23" spans="1:13" x14ac:dyDescent="0.3">
      <c r="A23" t="s">
        <v>45</v>
      </c>
      <c r="I23" s="1" t="s">
        <v>110</v>
      </c>
      <c r="J23">
        <v>394.87700000000001</v>
      </c>
      <c r="K23">
        <v>393.26600000000002</v>
      </c>
      <c r="L23">
        <v>395.82499999999999</v>
      </c>
      <c r="M23">
        <v>398.74299999999999</v>
      </c>
    </row>
    <row r="24" spans="1:13" x14ac:dyDescent="0.3">
      <c r="A24" t="s">
        <v>46</v>
      </c>
      <c r="I24" s="1" t="s">
        <v>112</v>
      </c>
    </row>
    <row r="25" spans="1:13" x14ac:dyDescent="0.3">
      <c r="A25" t="s">
        <v>47</v>
      </c>
      <c r="I25" s="1" t="s">
        <v>34</v>
      </c>
      <c r="J25">
        <v>1029</v>
      </c>
      <c r="K25">
        <v>1030</v>
      </c>
    </row>
    <row r="26" spans="1:13" x14ac:dyDescent="0.3">
      <c r="A26" t="s">
        <v>48</v>
      </c>
      <c r="I26" s="1" t="s">
        <v>108</v>
      </c>
      <c r="J26">
        <f>J21*J25/J20</f>
        <v>429.33350591715975</v>
      </c>
      <c r="K26">
        <f>K21*K25/K20</f>
        <v>425.23661735700199</v>
      </c>
    </row>
    <row r="27" spans="1:13" x14ac:dyDescent="0.3">
      <c r="A27" t="s">
        <v>49</v>
      </c>
      <c r="E27">
        <v>900</v>
      </c>
      <c r="I27" s="1" t="s">
        <v>110</v>
      </c>
      <c r="J27">
        <f>J23*J25/J20</f>
        <v>400.71837573964501</v>
      </c>
      <c r="K27">
        <f>K23*K25/K20</f>
        <v>399.4713806706115</v>
      </c>
    </row>
    <row r="28" spans="1:13" x14ac:dyDescent="0.3">
      <c r="A28" t="s">
        <v>50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3" x14ac:dyDescent="0.3">
      <c r="A29" t="s">
        <v>51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13" x14ac:dyDescent="0.3">
      <c r="A30" t="s">
        <v>52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13" x14ac:dyDescent="0.3">
      <c r="A31" t="s">
        <v>53</v>
      </c>
    </row>
    <row r="32" spans="1:13" x14ac:dyDescent="0.3">
      <c r="A32" t="s">
        <v>54</v>
      </c>
    </row>
    <row r="34" spans="1:2" x14ac:dyDescent="0.3">
      <c r="A34" t="s">
        <v>55</v>
      </c>
      <c r="B34" t="s">
        <v>56</v>
      </c>
    </row>
    <row r="35" spans="1:2" x14ac:dyDescent="0.3">
      <c r="A35" s="2" t="s">
        <v>113</v>
      </c>
      <c r="B35" s="1" t="s">
        <v>116</v>
      </c>
    </row>
    <row r="36" spans="1:2" x14ac:dyDescent="0.3">
      <c r="A36" s="2" t="s">
        <v>114</v>
      </c>
      <c r="B36" s="1" t="s">
        <v>117</v>
      </c>
    </row>
    <row r="37" spans="1:2" x14ac:dyDescent="0.3">
      <c r="A37" s="2" t="s">
        <v>115</v>
      </c>
      <c r="B37" s="1" t="s">
        <v>118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  <c r="B39" t="s">
        <v>60</v>
      </c>
    </row>
    <row r="40" spans="1:2" x14ac:dyDescent="0.3">
      <c r="A40" t="s">
        <v>61</v>
      </c>
      <c r="B40" t="s">
        <v>62</v>
      </c>
    </row>
    <row r="41" spans="1:2" x14ac:dyDescent="0.3">
      <c r="A41" t="s">
        <v>63</v>
      </c>
      <c r="B41" t="s">
        <v>64</v>
      </c>
    </row>
    <row r="42" spans="1:2" x14ac:dyDescent="0.3">
      <c r="A42" t="s">
        <v>65</v>
      </c>
    </row>
    <row r="43" spans="1:2" x14ac:dyDescent="0.3">
      <c r="A43" t="s">
        <v>66</v>
      </c>
      <c r="B43" t="s">
        <v>67</v>
      </c>
    </row>
    <row r="44" spans="1:2" x14ac:dyDescent="0.3">
      <c r="A44" t="s">
        <v>68</v>
      </c>
      <c r="B44" t="s">
        <v>67</v>
      </c>
    </row>
    <row r="45" spans="1:2" x14ac:dyDescent="0.3">
      <c r="A45" t="s">
        <v>69</v>
      </c>
      <c r="B45" t="s">
        <v>67</v>
      </c>
    </row>
    <row r="46" spans="1:2" x14ac:dyDescent="0.3">
      <c r="A46" t="s">
        <v>70</v>
      </c>
      <c r="B46" t="s">
        <v>67</v>
      </c>
    </row>
    <row r="47" spans="1:2" x14ac:dyDescent="0.3">
      <c r="A47" t="s">
        <v>71</v>
      </c>
      <c r="B47" t="s">
        <v>72</v>
      </c>
    </row>
    <row r="48" spans="1:2" x14ac:dyDescent="0.3">
      <c r="A48" t="s">
        <v>73</v>
      </c>
      <c r="B48" t="s">
        <v>74</v>
      </c>
    </row>
    <row r="49" spans="1:2" x14ac:dyDescent="0.3">
      <c r="A49" t="s">
        <v>75</v>
      </c>
      <c r="B49" t="s">
        <v>76</v>
      </c>
    </row>
    <row r="50" spans="1:2" x14ac:dyDescent="0.3">
      <c r="A50" t="s">
        <v>77</v>
      </c>
    </row>
    <row r="51" spans="1:2" x14ac:dyDescent="0.3">
      <c r="A51" t="s">
        <v>78</v>
      </c>
      <c r="B51" t="s">
        <v>79</v>
      </c>
    </row>
    <row r="52" spans="1:2" x14ac:dyDescent="0.3">
      <c r="A52" t="s">
        <v>80</v>
      </c>
    </row>
    <row r="53" spans="1:2" x14ac:dyDescent="0.3">
      <c r="A53" t="s">
        <v>81</v>
      </c>
      <c r="B53" t="s">
        <v>15</v>
      </c>
    </row>
    <row r="54" spans="1:2" x14ac:dyDescent="0.3">
      <c r="A54" t="s">
        <v>82</v>
      </c>
    </row>
    <row r="55" spans="1:2" x14ac:dyDescent="0.3">
      <c r="A55" t="s">
        <v>83</v>
      </c>
      <c r="B55" t="s">
        <v>84</v>
      </c>
    </row>
    <row r="56" spans="1:2" x14ac:dyDescent="0.3">
      <c r="A56" t="s">
        <v>85</v>
      </c>
      <c r="B56" t="s">
        <v>84</v>
      </c>
    </row>
    <row r="57" spans="1:2" x14ac:dyDescent="0.3">
      <c r="A57" t="s">
        <v>86</v>
      </c>
    </row>
    <row r="58" spans="1:2" x14ac:dyDescent="0.3">
      <c r="A58" t="s">
        <v>87</v>
      </c>
      <c r="B58" t="s">
        <v>88</v>
      </c>
    </row>
    <row r="59" spans="1:2" x14ac:dyDescent="0.3">
      <c r="A59" t="s">
        <v>89</v>
      </c>
    </row>
    <row r="60" spans="1:2" x14ac:dyDescent="0.3">
      <c r="A60" t="s">
        <v>90</v>
      </c>
    </row>
    <row r="61" spans="1:2" x14ac:dyDescent="0.3">
      <c r="A61" t="s">
        <v>91</v>
      </c>
      <c r="B61" t="s">
        <v>67</v>
      </c>
    </row>
    <row r="62" spans="1:2" x14ac:dyDescent="0.3">
      <c r="A62" t="s">
        <v>92</v>
      </c>
    </row>
    <row r="63" spans="1:2" x14ac:dyDescent="0.3">
      <c r="A63" t="s">
        <v>93</v>
      </c>
    </row>
    <row r="64" spans="1:2" x14ac:dyDescent="0.3">
      <c r="A64" t="s">
        <v>94</v>
      </c>
      <c r="B64" t="s">
        <v>60</v>
      </c>
    </row>
    <row r="65" spans="1:2" x14ac:dyDescent="0.3">
      <c r="A65" t="s">
        <v>95</v>
      </c>
    </row>
    <row r="66" spans="1:2" x14ac:dyDescent="0.3">
      <c r="A66" t="s">
        <v>96</v>
      </c>
    </row>
    <row r="67" spans="1:2" x14ac:dyDescent="0.3">
      <c r="A67" t="s">
        <v>97</v>
      </c>
    </row>
    <row r="68" spans="1:2" x14ac:dyDescent="0.3">
      <c r="A68" t="s">
        <v>98</v>
      </c>
    </row>
    <row r="69" spans="1:2" x14ac:dyDescent="0.3">
      <c r="A69" t="s">
        <v>99</v>
      </c>
      <c r="B69" t="s">
        <v>100</v>
      </c>
    </row>
    <row r="70" spans="1:2" x14ac:dyDescent="0.3">
      <c r="A70" t="s">
        <v>101</v>
      </c>
      <c r="B70" t="s">
        <v>102</v>
      </c>
    </row>
    <row r="71" spans="1:2" x14ac:dyDescent="0.3">
      <c r="A71" t="s">
        <v>103</v>
      </c>
    </row>
    <row r="72" spans="1:2" x14ac:dyDescent="0.3">
      <c r="A72" t="s">
        <v>104</v>
      </c>
      <c r="B72" s="1" t="s">
        <v>107</v>
      </c>
    </row>
    <row r="73" spans="1:2" x14ac:dyDescent="0.3">
      <c r="A73" s="1" t="s">
        <v>106</v>
      </c>
      <c r="B73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2025-11-01T11:42:09Z</dcterms:modified>
</cp:coreProperties>
</file>