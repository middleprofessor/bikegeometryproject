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5153EED-2A73-5F4C-B9ED-70A69857DD3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D37" i="1"/>
  <c r="E37" i="1"/>
  <c r="F37" i="1"/>
  <c r="F35" i="1" s="1"/>
  <c r="D36" i="1"/>
  <c r="D34" i="1" s="1"/>
  <c r="C35" i="1" s="1"/>
  <c r="E36" i="1"/>
  <c r="F36" i="1"/>
  <c r="C36" i="1"/>
  <c r="C34" i="1" s="1"/>
  <c r="E34" i="1" l="1"/>
  <c r="D35" i="1" s="1"/>
  <c r="F34" i="1"/>
  <c r="E35" i="1" s="1"/>
</calcChain>
</file>

<file path=xl/sharedStrings.xml><?xml version="1.0" encoding="utf-8"?>
<sst xmlns="http://schemas.openxmlformats.org/spreadsheetml/2006/main" count="116" uniqueCount="116">
  <si>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</si>
  <si>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</si>
  <si>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</si>
  <si>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</si>
  <si>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</si>
  <si>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</si>
  <si>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</si>
  <si>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</si>
  <si>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</si>
  <si>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</si>
  <si>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</si>
  <si>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</si>
  <si>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</si>
  <si>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</si>
  <si>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</si>
  <si>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</si>
  <si>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</si>
  <si>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</si>
  <si>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</si>
  <si>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</si>
  <si>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</si>
  <si>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</si>
  <si>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</si>
  <si>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</si>
  <si>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</si>
  <si>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</si>
  <si>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</si>
  <si>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</si>
  <si>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</si>
  <si>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</si>
  <si>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</si>
  <si>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</si>
  <si>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</si>
  <si>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</si>
  <si>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</si>
  <si>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</si>
  <si>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</si>
  <si>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</si>
  <si>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</si>
  <si>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</si>
  <si>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</si>
  <si>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</si>
  <si>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</si>
  <si>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</si>
  <si>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</si>
  <si>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</si>
  <si>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</si>
  <si>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</si>
  <si>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</si>
  <si>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</si>
  <si>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</si>
  <si>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</si>
  <si>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</si>
  <si>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</si>
  <si>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</si>
  <si>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</si>
  <si>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</si>
  <si>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</si>
  <si>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</si>
  <si>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</si>
  <si>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</si>
  <si>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</si>
  <si>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</si>
  <si>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</si>
  <si>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</si>
  <si>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</si>
  <si>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</si>
  <si>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</si>
  <si>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</si>
  <si>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SM</t>
  </si>
  <si>
    <t>MD</t>
  </si>
  <si>
    <t>LG</t>
  </si>
  <si>
    <t>XL</t>
  </si>
  <si>
    <t>threaded</t>
  </si>
  <si>
    <t>GT</t>
  </si>
  <si>
    <t>Grade Carbon</t>
  </si>
  <si>
    <t>carbon</t>
  </si>
  <si>
    <t>Sizes (mm) </t>
  </si>
  <si>
    <t>Seat tube length </t>
  </si>
  <si>
    <t>Seat tube angle effective </t>
  </si>
  <si>
    <t>Seat tube angle actual </t>
  </si>
  <si>
    <t>Top tube horizontal </t>
  </si>
  <si>
    <t>Top tube actual </t>
  </si>
  <si>
    <t>Head tube angle </t>
  </si>
  <si>
    <t>Standover </t>
  </si>
  <si>
    <t>Head tube length </t>
  </si>
  <si>
    <t>Stem length </t>
  </si>
  <si>
    <t>Wheelbase </t>
  </si>
  <si>
    <t>Front center </t>
  </si>
  <si>
    <t>Chainstay length </t>
  </si>
  <si>
    <t>Crank length </t>
  </si>
  <si>
    <t>Bottom bracket drop </t>
  </si>
  <si>
    <t>Bottom bracket height </t>
  </si>
  <si>
    <t>Fork rake </t>
  </si>
  <si>
    <t>Trail </t>
  </si>
  <si>
    <t>Stack </t>
  </si>
  <si>
    <t>Reach </t>
  </si>
  <si>
    <t>seat_tube_angle_actual</t>
  </si>
  <si>
    <t>top_tube_actual</t>
  </si>
  <si>
    <t>bb_height</t>
  </si>
  <si>
    <t>48/32</t>
  </si>
  <si>
    <t>no</t>
  </si>
  <si>
    <t>https://gtbicycles.com/collections/gravel-bikes/products/grade-carbon-pro-le?variant=45862854099241</t>
  </si>
  <si>
    <t>a8:f35</t>
  </si>
  <si>
    <t xml:space="preserve">I estimate this as 421 </t>
  </si>
  <si>
    <t>class</t>
  </si>
  <si>
    <t>gravel</t>
  </si>
  <si>
    <t>handlebar</t>
  </si>
  <si>
    <t>drop bar</t>
  </si>
  <si>
    <t>fork</t>
  </si>
  <si>
    <t>rigid</t>
  </si>
  <si>
    <t>https://gtbicycles.com/cdn/shop/files/GradeCRBProLE_3Q_BZN.jpg?v=1693598802&amp;width=1150</t>
  </si>
  <si>
    <t>location</t>
  </si>
  <si>
    <t>Aliso Viejo, California, USA</t>
  </si>
  <si>
    <t>USD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</si>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</sst>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202020"/>
      <name val="Avenir-next-pro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48" workbookViewId="0">
      <selection activeCell="B62" sqref="B62"/>
    </sheetView>
  </sheetViews>
  <sheetFormatPr baseColWidth="10" defaultRowHeight="20"/>
  <cols>
    <col min="1" max="2" width="19.6640625" customWidth="1"/>
  </cols>
  <sheetData>
    <row r="1" spans="1:6">
      <c r="A1" t="s">
        <v>0</v>
      </c>
      <c r="B1" s="1" t="s">
        <v>74</v>
      </c>
    </row>
    <row r="2" spans="1:6">
      <c r="A2" t="s">
        <v>1</v>
      </c>
      <c r="B2" s="1" t="s">
        <v>75</v>
      </c>
    </row>
    <row r="3" spans="1:6">
      <c r="A3" t="s">
        <v>2</v>
      </c>
      <c r="B3">
        <v>2025</v>
      </c>
    </row>
    <row r="4" spans="1:6">
      <c r="A4" t="s">
        <v>3</v>
      </c>
      <c r="B4" s="3">
        <v>45867</v>
      </c>
    </row>
    <row r="5" spans="1:6">
      <c r="A5" t="s">
        <v>4</v>
      </c>
      <c r="B5" t="s">
        <v>102</v>
      </c>
    </row>
    <row r="6" spans="1:6">
      <c r="B6" t="s">
        <v>111</v>
      </c>
    </row>
    <row r="7" spans="1:6">
      <c r="A7" t="s">
        <v>5</v>
      </c>
      <c r="B7" s="1" t="s">
        <v>103</v>
      </c>
    </row>
    <row r="8" spans="1:6">
      <c r="A8" t="s">
        <v>6</v>
      </c>
      <c r="B8" s="4" t="s">
        <v>77</v>
      </c>
      <c r="C8" s="4" t="s">
        <v>69</v>
      </c>
      <c r="D8" s="4" t="s">
        <v>70</v>
      </c>
      <c r="E8" s="4" t="s">
        <v>71</v>
      </c>
      <c r="F8" s="4" t="s">
        <v>72</v>
      </c>
    </row>
    <row r="9" spans="1:6">
      <c r="A9" t="s">
        <v>7</v>
      </c>
      <c r="B9" s="1" t="s">
        <v>78</v>
      </c>
      <c r="C9" s="1">
        <v>450</v>
      </c>
      <c r="D9" s="1">
        <v>500</v>
      </c>
      <c r="E9" s="1">
        <v>550</v>
      </c>
      <c r="F9" s="1">
        <v>600</v>
      </c>
    </row>
    <row r="10" spans="1:6">
      <c r="A10" t="s">
        <v>8</v>
      </c>
      <c r="B10" s="1" t="s">
        <v>79</v>
      </c>
      <c r="C10" s="1">
        <v>73</v>
      </c>
      <c r="D10" s="1">
        <v>73</v>
      </c>
      <c r="E10" s="1">
        <v>73</v>
      </c>
      <c r="F10" s="1">
        <v>73</v>
      </c>
    </row>
    <row r="11" spans="1:6">
      <c r="A11" s="1" t="s">
        <v>97</v>
      </c>
      <c r="B11" s="1" t="s">
        <v>80</v>
      </c>
      <c r="C11" s="1">
        <v>73</v>
      </c>
      <c r="D11" s="1">
        <v>73</v>
      </c>
      <c r="E11" s="1">
        <v>73</v>
      </c>
      <c r="F11" s="1">
        <v>73</v>
      </c>
    </row>
    <row r="12" spans="1:6">
      <c r="A12" t="s">
        <v>9</v>
      </c>
      <c r="B12" s="1" t="s">
        <v>81</v>
      </c>
      <c r="C12" s="1">
        <v>553</v>
      </c>
      <c r="D12" s="1">
        <v>581</v>
      </c>
      <c r="E12" s="1">
        <v>609</v>
      </c>
      <c r="F12" s="1">
        <v>638</v>
      </c>
    </row>
    <row r="13" spans="1:6">
      <c r="A13" s="1" t="s">
        <v>98</v>
      </c>
      <c r="B13" s="1" t="s">
        <v>82</v>
      </c>
      <c r="C13" s="1">
        <v>530</v>
      </c>
      <c r="D13" s="1">
        <v>560</v>
      </c>
      <c r="E13" s="1">
        <v>591</v>
      </c>
      <c r="F13" s="1">
        <v>623</v>
      </c>
    </row>
    <row r="14" spans="1:6">
      <c r="A14" t="s">
        <v>11</v>
      </c>
      <c r="B14" s="1" t="s">
        <v>83</v>
      </c>
      <c r="C14" s="1">
        <v>70</v>
      </c>
      <c r="D14" s="1">
        <v>70</v>
      </c>
      <c r="E14" s="1">
        <v>70</v>
      </c>
      <c r="F14" s="1">
        <v>70</v>
      </c>
    </row>
    <row r="15" spans="1:6">
      <c r="A15" t="s">
        <v>19</v>
      </c>
      <c r="B15" s="1" t="s">
        <v>84</v>
      </c>
      <c r="C15" s="1">
        <v>730</v>
      </c>
      <c r="D15" s="1">
        <v>753</v>
      </c>
      <c r="E15" s="1">
        <v>792</v>
      </c>
      <c r="F15" s="1">
        <v>816</v>
      </c>
    </row>
    <row r="16" spans="1:6">
      <c r="A16" t="s">
        <v>10</v>
      </c>
      <c r="B16" s="1" t="s">
        <v>85</v>
      </c>
      <c r="C16" s="1">
        <v>106</v>
      </c>
      <c r="D16" s="1">
        <v>134</v>
      </c>
      <c r="E16" s="1">
        <v>162</v>
      </c>
      <c r="F16" s="1">
        <v>191</v>
      </c>
    </row>
    <row r="17" spans="1:7">
      <c r="A17" t="s">
        <v>21</v>
      </c>
      <c r="B17" s="1" t="s">
        <v>86</v>
      </c>
      <c r="C17" s="1">
        <v>80</v>
      </c>
      <c r="D17" s="1">
        <v>80</v>
      </c>
      <c r="E17" s="1">
        <v>80</v>
      </c>
      <c r="F17" s="1">
        <v>80</v>
      </c>
    </row>
    <row r="18" spans="1:7">
      <c r="A18" t="s">
        <v>14</v>
      </c>
      <c r="B18" s="1" t="s">
        <v>87</v>
      </c>
      <c r="C18" s="1">
        <v>1040</v>
      </c>
      <c r="D18" s="1">
        <v>1069</v>
      </c>
      <c r="E18" s="1">
        <v>1099</v>
      </c>
      <c r="F18" s="1">
        <v>1129</v>
      </c>
    </row>
    <row r="19" spans="1:7">
      <c r="A19" s="1" t="s">
        <v>66</v>
      </c>
      <c r="B19" s="1" t="s">
        <v>88</v>
      </c>
      <c r="C19" s="1">
        <v>621</v>
      </c>
      <c r="D19" s="1">
        <v>650</v>
      </c>
      <c r="E19" s="1">
        <v>680</v>
      </c>
      <c r="F19" s="1">
        <v>710</v>
      </c>
    </row>
    <row r="20" spans="1:7">
      <c r="A20" t="s">
        <v>15</v>
      </c>
      <c r="B20" s="1" t="s">
        <v>89</v>
      </c>
      <c r="C20" s="1">
        <v>430</v>
      </c>
      <c r="D20" s="1">
        <v>430</v>
      </c>
      <c r="E20" s="1">
        <v>430</v>
      </c>
      <c r="F20" s="1">
        <v>430</v>
      </c>
    </row>
    <row r="21" spans="1:7">
      <c r="A21" t="s">
        <v>22</v>
      </c>
      <c r="B21" s="1" t="s">
        <v>90</v>
      </c>
      <c r="C21" s="1">
        <v>170</v>
      </c>
      <c r="D21" s="1">
        <v>172.5</v>
      </c>
      <c r="E21" s="1">
        <v>172.5</v>
      </c>
      <c r="F21" s="1">
        <v>175</v>
      </c>
    </row>
    <row r="22" spans="1:7">
      <c r="A22" t="s">
        <v>16</v>
      </c>
      <c r="B22" s="1" t="s">
        <v>91</v>
      </c>
      <c r="C22" s="1">
        <v>75</v>
      </c>
      <c r="D22" s="1">
        <v>75</v>
      </c>
      <c r="E22" s="1">
        <v>75</v>
      </c>
      <c r="F22" s="1">
        <v>75</v>
      </c>
    </row>
    <row r="23" spans="1:7">
      <c r="A23" s="1" t="s">
        <v>99</v>
      </c>
      <c r="B23" s="1" t="s">
        <v>92</v>
      </c>
      <c r="C23" s="1">
        <v>284</v>
      </c>
      <c r="D23" s="1">
        <v>284</v>
      </c>
      <c r="E23" s="1">
        <v>284</v>
      </c>
      <c r="F23" s="1">
        <v>284</v>
      </c>
      <c r="G23" s="1"/>
    </row>
    <row r="24" spans="1:7">
      <c r="A24" t="s">
        <v>12</v>
      </c>
      <c r="B24" s="1" t="s">
        <v>93</v>
      </c>
      <c r="C24" s="1">
        <v>55</v>
      </c>
      <c r="D24" s="1">
        <v>55</v>
      </c>
      <c r="E24" s="1">
        <v>55</v>
      </c>
      <c r="F24" s="1">
        <v>55</v>
      </c>
    </row>
    <row r="25" spans="1:7">
      <c r="A25" t="s">
        <v>13</v>
      </c>
      <c r="B25" s="1" t="s">
        <v>94</v>
      </c>
      <c r="C25" s="1">
        <v>72</v>
      </c>
      <c r="D25" s="1">
        <v>72</v>
      </c>
      <c r="E25" s="1">
        <v>72</v>
      </c>
      <c r="F25" s="1">
        <v>72</v>
      </c>
    </row>
    <row r="26" spans="1:7">
      <c r="A26" t="s">
        <v>17</v>
      </c>
      <c r="B26" s="1" t="s">
        <v>95</v>
      </c>
      <c r="C26" s="1">
        <v>550</v>
      </c>
      <c r="D26" s="1">
        <v>577</v>
      </c>
      <c r="E26" s="1">
        <v>603</v>
      </c>
      <c r="F26" s="1">
        <v>630</v>
      </c>
    </row>
    <row r="27" spans="1:7">
      <c r="A27" t="s">
        <v>18</v>
      </c>
      <c r="B27" s="1" t="s">
        <v>96</v>
      </c>
      <c r="C27" s="1">
        <v>385</v>
      </c>
      <c r="D27" s="1">
        <v>405</v>
      </c>
      <c r="E27" s="1">
        <v>425</v>
      </c>
      <c r="F27" s="1">
        <v>445</v>
      </c>
    </row>
    <row r="28" spans="1:7">
      <c r="A28" t="s">
        <v>24</v>
      </c>
      <c r="B28" s="1"/>
      <c r="C28" s="1"/>
      <c r="D28" s="1"/>
      <c r="E28" s="1"/>
      <c r="F28" s="1"/>
      <c r="G28" s="1" t="s">
        <v>104</v>
      </c>
    </row>
    <row r="29" spans="1:7">
      <c r="A29" s="1" t="s">
        <v>68</v>
      </c>
      <c r="B29" s="1"/>
      <c r="C29" s="1"/>
      <c r="D29" s="1"/>
      <c r="E29" s="1"/>
      <c r="F29" s="1"/>
    </row>
    <row r="30" spans="1:7">
      <c r="A30" t="s">
        <v>20</v>
      </c>
      <c r="B30" s="1"/>
    </row>
    <row r="31" spans="1:7">
      <c r="A31" t="s">
        <v>23</v>
      </c>
      <c r="C31">
        <v>700</v>
      </c>
      <c r="D31">
        <v>700</v>
      </c>
      <c r="E31">
        <v>700</v>
      </c>
      <c r="F31">
        <v>700</v>
      </c>
    </row>
    <row r="32" spans="1:7">
      <c r="A32" t="s">
        <v>25</v>
      </c>
      <c r="C32">
        <v>42</v>
      </c>
      <c r="D32">
        <v>42</v>
      </c>
      <c r="E32">
        <v>42</v>
      </c>
      <c r="F32">
        <v>42</v>
      </c>
    </row>
    <row r="33" spans="1:6">
      <c r="A33" t="s">
        <v>26</v>
      </c>
      <c r="C33">
        <v>45</v>
      </c>
      <c r="D33">
        <v>45</v>
      </c>
      <c r="E33">
        <v>45</v>
      </c>
      <c r="F33">
        <v>45</v>
      </c>
    </row>
    <row r="34" spans="1:6">
      <c r="A34" t="s">
        <v>27</v>
      </c>
      <c r="C34">
        <f>C36</f>
        <v>160.02000000000001</v>
      </c>
      <c r="D34">
        <f>AVERAGE(D36,C37)</f>
        <v>171.45</v>
      </c>
      <c r="E34">
        <f t="shared" ref="E34:F34" si="0">AVERAGE(E36,D37)</f>
        <v>180.34</v>
      </c>
      <c r="F34">
        <f t="shared" si="0"/>
        <v>187.96</v>
      </c>
    </row>
    <row r="35" spans="1:6">
      <c r="A35" t="s">
        <v>28</v>
      </c>
      <c r="C35">
        <f>D34</f>
        <v>171.45</v>
      </c>
      <c r="D35">
        <f t="shared" ref="D35:E35" si="1">E34</f>
        <v>180.34</v>
      </c>
      <c r="E35">
        <f t="shared" si="1"/>
        <v>187.96</v>
      </c>
      <c r="F35">
        <f>F37</f>
        <v>195.58</v>
      </c>
    </row>
    <row r="36" spans="1:6">
      <c r="C36">
        <f>C38*2.54</f>
        <v>160.02000000000001</v>
      </c>
      <c r="D36">
        <f t="shared" ref="D36:F37" si="2">D38*2.54</f>
        <v>170.18</v>
      </c>
      <c r="E36">
        <f t="shared" si="2"/>
        <v>180.34</v>
      </c>
      <c r="F36">
        <f t="shared" si="2"/>
        <v>187.96</v>
      </c>
    </row>
    <row r="37" spans="1:6">
      <c r="A37" t="s">
        <v>29</v>
      </c>
      <c r="B37" t="s">
        <v>30</v>
      </c>
      <c r="C37">
        <f>C39*2.54</f>
        <v>172.72</v>
      </c>
      <c r="D37">
        <f t="shared" si="2"/>
        <v>180.34</v>
      </c>
      <c r="E37">
        <f t="shared" si="2"/>
        <v>187.96</v>
      </c>
      <c r="F37">
        <f t="shared" si="2"/>
        <v>195.58</v>
      </c>
    </row>
    <row r="38" spans="1:6" ht="21">
      <c r="A38" t="s">
        <v>105</v>
      </c>
      <c r="B38" t="s">
        <v>106</v>
      </c>
      <c r="C38" s="2">
        <v>63</v>
      </c>
      <c r="D38" s="2">
        <v>67</v>
      </c>
      <c r="E38" s="2">
        <v>71</v>
      </c>
      <c r="F38" s="2">
        <v>74</v>
      </c>
    </row>
    <row r="39" spans="1:6" ht="21">
      <c r="A39" t="s">
        <v>107</v>
      </c>
      <c r="B39" t="s">
        <v>108</v>
      </c>
      <c r="C39" s="2">
        <v>68</v>
      </c>
      <c r="D39" s="2">
        <v>71</v>
      </c>
      <c r="E39" s="2">
        <v>74</v>
      </c>
      <c r="F39" s="2">
        <v>77</v>
      </c>
    </row>
    <row r="40" spans="1:6">
      <c r="A40" t="s">
        <v>109</v>
      </c>
      <c r="B40" t="s">
        <v>110</v>
      </c>
    </row>
    <row r="41" spans="1:6">
      <c r="A41" t="s">
        <v>31</v>
      </c>
      <c r="B41" s="1" t="s">
        <v>76</v>
      </c>
    </row>
    <row r="42" spans="1:6">
      <c r="A42" t="s">
        <v>32</v>
      </c>
      <c r="B42" s="1" t="s">
        <v>101</v>
      </c>
    </row>
    <row r="43" spans="1:6">
      <c r="A43" t="s">
        <v>33</v>
      </c>
    </row>
    <row r="44" spans="1:6">
      <c r="A44" t="s">
        <v>34</v>
      </c>
      <c r="B44">
        <v>45</v>
      </c>
    </row>
    <row r="45" spans="1:6">
      <c r="A45" t="s">
        <v>35</v>
      </c>
      <c r="B45" s="1"/>
    </row>
    <row r="46" spans="1:6">
      <c r="A46" t="s">
        <v>36</v>
      </c>
      <c r="B46" s="1">
        <v>40</v>
      </c>
    </row>
    <row r="47" spans="1:6">
      <c r="A47" t="s">
        <v>37</v>
      </c>
      <c r="B47" s="1"/>
      <c r="C47" s="1"/>
    </row>
    <row r="48" spans="1:6">
      <c r="A48" t="s">
        <v>38</v>
      </c>
      <c r="C48" s="1"/>
    </row>
    <row r="49" spans="1:2">
      <c r="A49" t="s">
        <v>39</v>
      </c>
      <c r="B49">
        <v>30</v>
      </c>
    </row>
    <row r="50" spans="1:2">
      <c r="A50" t="s">
        <v>40</v>
      </c>
      <c r="B50">
        <v>142</v>
      </c>
    </row>
    <row r="51" spans="1:2">
      <c r="A51" t="s">
        <v>41</v>
      </c>
      <c r="B51">
        <v>100</v>
      </c>
    </row>
    <row r="52" spans="1:2">
      <c r="A52" t="s">
        <v>42</v>
      </c>
      <c r="B52" s="1" t="s">
        <v>73</v>
      </c>
    </row>
    <row r="53" spans="1:2">
      <c r="A53" t="s">
        <v>43</v>
      </c>
    </row>
    <row r="54" spans="1:2">
      <c r="A54" t="s">
        <v>44</v>
      </c>
      <c r="B54">
        <v>27.2</v>
      </c>
    </row>
    <row r="55" spans="1:2">
      <c r="A55" t="s">
        <v>45</v>
      </c>
      <c r="B55" s="1" t="s">
        <v>67</v>
      </c>
    </row>
    <row r="56" spans="1:2">
      <c r="A56" t="s">
        <v>46</v>
      </c>
      <c r="B56">
        <v>42</v>
      </c>
    </row>
    <row r="57" spans="1:2">
      <c r="A57" t="s">
        <v>47</v>
      </c>
      <c r="B57" s="1" t="s">
        <v>100</v>
      </c>
    </row>
    <row r="58" spans="1:2">
      <c r="A58" t="s">
        <v>48</v>
      </c>
      <c r="B58">
        <v>160</v>
      </c>
    </row>
    <row r="59" spans="1:2">
      <c r="A59" t="s">
        <v>49</v>
      </c>
      <c r="B59">
        <v>180</v>
      </c>
    </row>
    <row r="60" spans="1:2">
      <c r="A60" t="s">
        <v>50</v>
      </c>
    </row>
    <row r="61" spans="1:2">
      <c r="A61" t="s">
        <v>51</v>
      </c>
    </row>
    <row r="62" spans="1:2">
      <c r="A62" t="s">
        <v>52</v>
      </c>
      <c r="B62" s="1" t="s">
        <v>115</v>
      </c>
    </row>
    <row r="63" spans="1:2">
      <c r="A63" t="s">
        <v>53</v>
      </c>
    </row>
    <row r="64" spans="1:2">
      <c r="A64" t="s">
        <v>54</v>
      </c>
    </row>
    <row r="65" spans="1:2">
      <c r="A65" t="s">
        <v>55</v>
      </c>
    </row>
    <row r="66" spans="1:2">
      <c r="A66" t="s">
        <v>56</v>
      </c>
    </row>
    <row r="67" spans="1:2">
      <c r="A67" t="s">
        <v>57</v>
      </c>
      <c r="B67" s="1"/>
    </row>
    <row r="68" spans="1:2">
      <c r="A68" t="s">
        <v>58</v>
      </c>
      <c r="B68" s="1"/>
    </row>
    <row r="69" spans="1:2">
      <c r="A69" t="s">
        <v>59</v>
      </c>
      <c r="B69" s="1"/>
    </row>
    <row r="70" spans="1:2">
      <c r="A70" t="s">
        <v>60</v>
      </c>
      <c r="B70" s="1"/>
    </row>
    <row r="71" spans="1:2">
      <c r="A71" t="s">
        <v>61</v>
      </c>
      <c r="B71" s="1"/>
    </row>
    <row r="72" spans="1:2">
      <c r="A72" t="s">
        <v>62</v>
      </c>
      <c r="B72">
        <v>2000</v>
      </c>
    </row>
    <row r="73" spans="1:2">
      <c r="A73" t="s">
        <v>63</v>
      </c>
    </row>
    <row r="74" spans="1:2">
      <c r="A74" t="s">
        <v>64</v>
      </c>
    </row>
    <row r="75" spans="1:2">
      <c r="A75" t="s">
        <v>65</v>
      </c>
      <c r="B75" s="1" t="s">
        <v>114</v>
      </c>
    </row>
    <row r="76" spans="1:2">
      <c r="A76" t="s">
        <v>112</v>
      </c>
      <c r="B76" t="s">
        <v>113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2025-11-02T12:25:59Z</dcterms:modified>
</cp:coreProperties>
</file>