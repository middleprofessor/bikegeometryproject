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3D0BE49-02F8-F947-B59E-F3482F40618E}" xr6:coauthVersionLast="47" xr6:coauthVersionMax="47" xr10:uidLastSave="{00000000-0000-0000-0000-000000000000}"/>
  <bookViews>
    <workbookView xWindow="31700" yWindow="-26260" windowWidth="29540" windowHeight="20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D31" i="1"/>
  <c r="E31" i="1"/>
  <c r="F31" i="1"/>
  <c r="C31" i="1"/>
  <c r="D16" i="1"/>
  <c r="E16" i="1"/>
  <c r="F16" i="1"/>
  <c r="C16" i="1"/>
  <c r="D15" i="1"/>
  <c r="E15" i="1"/>
  <c r="F15" i="1"/>
  <c r="C15" i="1"/>
</calcChain>
</file>

<file path=xl/sharedStrings.xml><?xml version="1.0" encoding="utf-8"?>
<sst xmlns="http://schemas.openxmlformats.org/spreadsheetml/2006/main" count="123" uniqueCount="116">
  <si>
    <t>brand</t>
  </si>
  <si>
    <t>Bearclaw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</si>
  <si>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</si>
  <si>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</si>
  <si>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</si>
  <si>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</si>
  <si>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</si>
  <si>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</si>
  <si>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</si>
  <si>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</si>
  <si>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</si>
  <si>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</si>
  <si>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</si>
  <si>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</si>
  <si>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</si>
  <si>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</si>
  <si>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</si>
  <si>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</si>
  <si>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</si>
  <si>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</si>
  <si>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</si>
  <si>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</si>
  <si>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</si>
  <si>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</si>
  <si>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</si>
  <si>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</si>
  <si>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</si>
  <si>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</si>
  <si>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</si>
  <si>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</si>
  <si>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</si>
  <si>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</si>
  <si>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</si>
  <si>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</si>
  <si>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</si>
  <si>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</si>
  <si>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</si>
  <si>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</si>
  <si>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</si>
  <si>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</si>
  <si>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</si>
  <si>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</si>
  <si>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</si>
  <si>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</si>
  <si>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</si>
  <si>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</si>
  <si>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</si>
  <si>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</si>
  <si>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</si>
  <si>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</si>
  <si>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</si>
  <si>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</si>
  <si>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</si>
  <si>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</si>
  <si>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</si>
  <si>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</si>
  <si>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</si>
  <si>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</si>
  <si>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</si>
  <si>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</si>
  <si>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</si>
  <si>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</si>
  <si>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</si>
  <si>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</si>
  <si>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</si>
  <si>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</si>
  <si>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</si>
  <si>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</si>
  <si>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</si>
  <si>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</si>
  <si>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</si>
  <si>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</si>
  <si>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</si>
  <si>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</si>
  <si>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internal</t>
  </si>
  <si>
    <t>front_center</t>
  </si>
  <si>
    <t>USD</t>
  </si>
  <si>
    <t>flat bar</t>
  </si>
  <si>
    <t>hardtail</t>
  </si>
  <si>
    <t>https://bearclawbicycleco.com/pages/buck-macho</t>
  </si>
  <si>
    <t>Buck Macho</t>
  </si>
  <si>
    <t>S</t>
  </si>
  <si>
    <t>M</t>
  </si>
  <si>
    <t>L</t>
  </si>
  <si>
    <t>XL</t>
  </si>
  <si>
    <t>Top Tube (mm)</t>
  </si>
  <si>
    <t>Head Tube Angle (°)</t>
  </si>
  <si>
    <t>Head Tube Length (mm)</t>
  </si>
  <si>
    <t>Seat Tube Angle (°)</t>
  </si>
  <si>
    <t>Seat Tube Length (mm)</t>
  </si>
  <si>
    <t>Front to Center (mm)</t>
  </si>
  <si>
    <t>Chainstay Length (mm)</t>
  </si>
  <si>
    <t>425–445</t>
  </si>
  <si>
    <t>Wheelbase (mm)</t>
  </si>
  <si>
    <t>1143–1163</t>
  </si>
  <si>
    <t>1165–1185</t>
  </si>
  <si>
    <t>1190–1210</t>
  </si>
  <si>
    <t>1218–1238</t>
  </si>
  <si>
    <t>BB Drop (mm)</t>
  </si>
  <si>
    <t>Fork Length (mm)</t>
  </si>
  <si>
    <t>Fork Rake (mm)</t>
  </si>
  <si>
    <t>Stack (mm)</t>
  </si>
  <si>
    <t>Reach (mm)</t>
  </si>
  <si>
    <t>Rider Height</t>
  </si>
  <si>
    <t>5'3"–5'8"</t>
  </si>
  <si>
    <t>5'7"–5'11"</t>
  </si>
  <si>
    <t>5'10"–6'2"</t>
  </si>
  <si>
    <t>6'1"–6'5"</t>
  </si>
  <si>
    <t>Frame Size</t>
  </si>
  <si>
    <t>threaded 73</t>
  </si>
  <si>
    <t>x</t>
  </si>
  <si>
    <t>frame only</t>
  </si>
  <si>
    <t>a8:f32</t>
  </si>
  <si>
    <t>https://cdn.shopify.com/s/files/1/0850/1320/1198/files/BUCK-MACHO_2048x2048.jpg?v=1710938209</t>
  </si>
  <si>
    <t>location</t>
  </si>
  <si>
    <t>Dexter, Michigan,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</si>
</sst>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sz val="14"/>
      <color rgb="FF000000"/>
      <name val="Futura Medium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50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1" t="s">
        <v>80</v>
      </c>
    </row>
    <row r="3" spans="1:10" x14ac:dyDescent="0.3">
      <c r="A3" t="s">
        <v>3</v>
      </c>
      <c r="B3">
        <v>2025</v>
      </c>
    </row>
    <row r="4" spans="1:10" x14ac:dyDescent="0.3">
      <c r="A4" t="s">
        <v>4</v>
      </c>
      <c r="B4" s="2">
        <v>45938</v>
      </c>
    </row>
    <row r="5" spans="1:10" x14ac:dyDescent="0.3">
      <c r="A5" t="s">
        <v>5</v>
      </c>
      <c r="B5" t="s">
        <v>79</v>
      </c>
    </row>
    <row r="6" spans="1:10" x14ac:dyDescent="0.3">
      <c r="B6" t="s">
        <v>113</v>
      </c>
    </row>
    <row r="7" spans="1:10" x14ac:dyDescent="0.3">
      <c r="A7" t="s">
        <v>6</v>
      </c>
      <c r="B7" s="1" t="s">
        <v>112</v>
      </c>
    </row>
    <row r="8" spans="1:10" x14ac:dyDescent="0.3">
      <c r="A8" t="s">
        <v>7</v>
      </c>
      <c r="B8" s="4" t="s">
        <v>108</v>
      </c>
      <c r="C8" s="4" t="s">
        <v>81</v>
      </c>
      <c r="D8" s="4" t="s">
        <v>82</v>
      </c>
      <c r="E8" s="4" t="s">
        <v>83</v>
      </c>
      <c r="F8" s="4" t="s">
        <v>84</v>
      </c>
      <c r="G8" s="3"/>
      <c r="H8" s="3"/>
      <c r="I8" s="3"/>
    </row>
    <row r="9" spans="1:10" x14ac:dyDescent="0.3">
      <c r="A9" t="s">
        <v>9</v>
      </c>
      <c r="B9" s="4" t="s">
        <v>85</v>
      </c>
      <c r="C9" s="4">
        <v>592</v>
      </c>
      <c r="D9" s="4">
        <v>614</v>
      </c>
      <c r="E9" s="4">
        <v>639</v>
      </c>
      <c r="F9" s="4">
        <v>664</v>
      </c>
      <c r="G9" s="3"/>
      <c r="H9" s="3"/>
      <c r="I9" s="3"/>
    </row>
    <row r="10" spans="1:10" x14ac:dyDescent="0.3">
      <c r="A10" t="s">
        <v>12</v>
      </c>
      <c r="B10" s="4" t="s">
        <v>86</v>
      </c>
      <c r="C10" s="4">
        <v>66</v>
      </c>
      <c r="D10" s="4">
        <v>66</v>
      </c>
      <c r="E10" s="4">
        <v>66</v>
      </c>
      <c r="F10" s="4">
        <v>66</v>
      </c>
      <c r="G10" s="3"/>
      <c r="H10" s="3"/>
      <c r="I10" s="3"/>
    </row>
    <row r="11" spans="1:10" x14ac:dyDescent="0.3">
      <c r="A11" t="s">
        <v>10</v>
      </c>
      <c r="B11" s="4" t="s">
        <v>87</v>
      </c>
      <c r="C11" s="4">
        <v>105</v>
      </c>
      <c r="D11" s="4">
        <v>110</v>
      </c>
      <c r="E11" s="4">
        <v>120</v>
      </c>
      <c r="F11" s="4">
        <v>125</v>
      </c>
      <c r="G11" s="3"/>
      <c r="H11" s="3"/>
      <c r="I11" s="3"/>
    </row>
    <row r="12" spans="1:10" x14ac:dyDescent="0.3">
      <c r="A12" t="s">
        <v>11</v>
      </c>
      <c r="B12" s="4" t="s">
        <v>88</v>
      </c>
      <c r="C12" s="4">
        <v>75</v>
      </c>
      <c r="D12" s="4">
        <v>75</v>
      </c>
      <c r="E12" s="4">
        <v>75</v>
      </c>
      <c r="F12" s="4">
        <v>75</v>
      </c>
      <c r="G12" s="3"/>
      <c r="H12" s="3"/>
      <c r="I12" s="3"/>
    </row>
    <row r="13" spans="1:10" x14ac:dyDescent="0.3">
      <c r="A13" t="s">
        <v>8</v>
      </c>
      <c r="B13" s="4" t="s">
        <v>89</v>
      </c>
      <c r="C13" s="4">
        <v>390</v>
      </c>
      <c r="D13" s="4">
        <v>420</v>
      </c>
      <c r="E13" s="4">
        <v>460</v>
      </c>
      <c r="F13" s="4">
        <v>510</v>
      </c>
      <c r="G13" s="3"/>
      <c r="H13" s="3"/>
      <c r="I13" s="3"/>
    </row>
    <row r="14" spans="1:10" x14ac:dyDescent="0.3">
      <c r="A14" s="1" t="s">
        <v>75</v>
      </c>
      <c r="B14" s="4" t="s">
        <v>90</v>
      </c>
      <c r="C14" s="4">
        <v>727.7</v>
      </c>
      <c r="D14" s="4">
        <v>749.6</v>
      </c>
      <c r="E14" s="4">
        <v>776.6</v>
      </c>
      <c r="F14" s="4">
        <v>802.5</v>
      </c>
      <c r="G14" s="3"/>
      <c r="H14" s="3"/>
      <c r="I14" s="3"/>
    </row>
    <row r="15" spans="1:10" x14ac:dyDescent="0.3">
      <c r="A15" t="s">
        <v>13</v>
      </c>
      <c r="B15" s="4" t="s">
        <v>91</v>
      </c>
      <c r="C15">
        <f>VALUE(LEFT(G15,3))</f>
        <v>425</v>
      </c>
      <c r="D15">
        <f t="shared" ref="D15:F15" si="0">VALUE(LEFT(H15,3))</f>
        <v>425</v>
      </c>
      <c r="E15">
        <f t="shared" si="0"/>
        <v>425</v>
      </c>
      <c r="F15">
        <f t="shared" si="0"/>
        <v>425</v>
      </c>
      <c r="G15" s="4" t="s">
        <v>92</v>
      </c>
      <c r="H15" s="4" t="s">
        <v>92</v>
      </c>
      <c r="I15" s="4" t="s">
        <v>92</v>
      </c>
      <c r="J15" s="4" t="s">
        <v>92</v>
      </c>
    </row>
    <row r="16" spans="1:10" x14ac:dyDescent="0.3">
      <c r="A16" t="s">
        <v>14</v>
      </c>
      <c r="B16" s="4" t="s">
        <v>93</v>
      </c>
      <c r="C16" s="1">
        <f>VALUE(LEFT(G16,4))</f>
        <v>1143</v>
      </c>
      <c r="D16" s="1">
        <f t="shared" ref="D16:F16" si="1">VALUE(LEFT(H16,4))</f>
        <v>1165</v>
      </c>
      <c r="E16" s="1">
        <f t="shared" si="1"/>
        <v>1190</v>
      </c>
      <c r="F16" s="1">
        <f t="shared" si="1"/>
        <v>1218</v>
      </c>
      <c r="G16" s="4" t="s">
        <v>94</v>
      </c>
      <c r="H16" s="4" t="s">
        <v>95</v>
      </c>
      <c r="I16" s="4" t="s">
        <v>96</v>
      </c>
      <c r="J16" s="4" t="s">
        <v>97</v>
      </c>
    </row>
    <row r="17" spans="1:9" x14ac:dyDescent="0.3">
      <c r="A17" t="s">
        <v>15</v>
      </c>
      <c r="B17" s="4" t="s">
        <v>98</v>
      </c>
      <c r="C17" s="4">
        <v>70</v>
      </c>
      <c r="D17" s="4">
        <v>70</v>
      </c>
      <c r="E17" s="4">
        <v>70</v>
      </c>
      <c r="F17" s="4">
        <v>70</v>
      </c>
      <c r="G17" s="3"/>
      <c r="H17" s="3"/>
      <c r="I17" s="3"/>
    </row>
    <row r="18" spans="1:9" x14ac:dyDescent="0.3">
      <c r="A18" t="s">
        <v>16</v>
      </c>
      <c r="B18" s="4" t="s">
        <v>99</v>
      </c>
      <c r="C18" s="4">
        <v>531</v>
      </c>
      <c r="D18" s="4">
        <v>531</v>
      </c>
      <c r="E18" s="4">
        <v>531</v>
      </c>
      <c r="F18" s="4">
        <v>531</v>
      </c>
      <c r="G18" s="3"/>
      <c r="H18" s="3"/>
      <c r="I18" s="3"/>
    </row>
    <row r="19" spans="1:9" x14ac:dyDescent="0.3">
      <c r="A19" t="s">
        <v>17</v>
      </c>
      <c r="B19" s="4" t="s">
        <v>100</v>
      </c>
      <c r="C19" s="4">
        <v>44</v>
      </c>
      <c r="D19" s="4">
        <v>44</v>
      </c>
      <c r="E19" s="4">
        <v>44</v>
      </c>
      <c r="F19" s="4">
        <v>44</v>
      </c>
      <c r="G19" s="3"/>
      <c r="H19" s="3"/>
      <c r="I19" s="3"/>
    </row>
    <row r="20" spans="1:9" x14ac:dyDescent="0.3">
      <c r="A20" t="s">
        <v>22</v>
      </c>
      <c r="B20" s="4" t="s">
        <v>101</v>
      </c>
      <c r="C20" s="4">
        <v>644</v>
      </c>
      <c r="D20" s="4">
        <v>649</v>
      </c>
      <c r="E20" s="4">
        <v>657</v>
      </c>
      <c r="F20" s="4">
        <v>663</v>
      </c>
      <c r="G20" s="3"/>
      <c r="H20" s="3"/>
      <c r="I20" s="3"/>
    </row>
    <row r="21" spans="1:9" x14ac:dyDescent="0.3">
      <c r="A21" t="s">
        <v>23</v>
      </c>
      <c r="B21" s="4" t="s">
        <v>102</v>
      </c>
      <c r="C21" s="4">
        <v>420</v>
      </c>
      <c r="D21" s="4">
        <v>440</v>
      </c>
      <c r="E21" s="4">
        <v>463</v>
      </c>
      <c r="F21" s="4">
        <v>487</v>
      </c>
      <c r="G21" s="3"/>
      <c r="H21" s="3"/>
      <c r="I21" s="3"/>
    </row>
    <row r="22" spans="1:9" x14ac:dyDescent="0.3">
      <c r="A22" t="s">
        <v>28</v>
      </c>
      <c r="G22" s="3"/>
      <c r="H22" s="3"/>
      <c r="I22" s="3"/>
    </row>
    <row r="23" spans="1:9" x14ac:dyDescent="0.3">
      <c r="A23" t="s">
        <v>18</v>
      </c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t="s">
        <v>19</v>
      </c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t="s">
        <v>20</v>
      </c>
    </row>
    <row r="26" spans="1:9" x14ac:dyDescent="0.3">
      <c r="A26" t="s">
        <v>21</v>
      </c>
      <c r="C26" s="3"/>
      <c r="D26" s="3"/>
      <c r="E26" s="3"/>
      <c r="F26" s="3"/>
      <c r="G26" s="3"/>
      <c r="H26" s="3"/>
      <c r="I26" s="3"/>
    </row>
    <row r="27" spans="1:9" x14ac:dyDescent="0.3">
      <c r="A27" t="s">
        <v>24</v>
      </c>
    </row>
    <row r="28" spans="1:9" x14ac:dyDescent="0.3">
      <c r="A28" t="s">
        <v>25</v>
      </c>
      <c r="B28" t="s">
        <v>25</v>
      </c>
      <c r="C28">
        <v>700</v>
      </c>
      <c r="D28">
        <v>700</v>
      </c>
      <c r="E28">
        <v>700</v>
      </c>
      <c r="F28">
        <v>700</v>
      </c>
    </row>
    <row r="29" spans="1:9" x14ac:dyDescent="0.3">
      <c r="A29" t="s">
        <v>26</v>
      </c>
      <c r="B29" t="s">
        <v>26</v>
      </c>
      <c r="C29">
        <v>2.5</v>
      </c>
      <c r="D29">
        <v>2.5</v>
      </c>
      <c r="E29">
        <v>2.5</v>
      </c>
      <c r="F29">
        <v>2.5</v>
      </c>
    </row>
    <row r="30" spans="1:9" x14ac:dyDescent="0.3">
      <c r="A30" t="s">
        <v>27</v>
      </c>
      <c r="B30" t="s">
        <v>27</v>
      </c>
      <c r="C30">
        <v>2.8</v>
      </c>
      <c r="D30">
        <v>2.8</v>
      </c>
      <c r="E30">
        <v>2.8</v>
      </c>
      <c r="F30">
        <v>2.8</v>
      </c>
    </row>
    <row r="31" spans="1:9" x14ac:dyDescent="0.3">
      <c r="A31" t="s">
        <v>29</v>
      </c>
      <c r="C31">
        <f>C33*2.54</f>
        <v>160.02000000000001</v>
      </c>
      <c r="D31">
        <f t="shared" ref="D31:F32" si="2">D33*2.54</f>
        <v>170.18</v>
      </c>
      <c r="E31">
        <f t="shared" si="2"/>
        <v>177.8</v>
      </c>
      <c r="F31">
        <f t="shared" si="2"/>
        <v>185.42000000000002</v>
      </c>
    </row>
    <row r="32" spans="1:9" x14ac:dyDescent="0.3">
      <c r="A32" t="s">
        <v>30</v>
      </c>
      <c r="C32">
        <f>C34*2.54</f>
        <v>172.72</v>
      </c>
      <c r="D32">
        <f t="shared" si="2"/>
        <v>180.34</v>
      </c>
      <c r="E32">
        <f t="shared" si="2"/>
        <v>187.96</v>
      </c>
      <c r="F32">
        <f t="shared" si="2"/>
        <v>195.58</v>
      </c>
    </row>
    <row r="33" spans="1:10" x14ac:dyDescent="0.3">
      <c r="C33">
        <v>63</v>
      </c>
      <c r="D33">
        <v>67</v>
      </c>
      <c r="E33">
        <v>70</v>
      </c>
      <c r="F33" s="5">
        <v>73</v>
      </c>
    </row>
    <row r="34" spans="1:10" x14ac:dyDescent="0.3">
      <c r="A34" t="s">
        <v>31</v>
      </c>
      <c r="B34" t="s">
        <v>32</v>
      </c>
      <c r="C34">
        <v>68</v>
      </c>
      <c r="D34">
        <v>71</v>
      </c>
      <c r="E34">
        <v>74</v>
      </c>
      <c r="F34">
        <v>77</v>
      </c>
    </row>
    <row r="35" spans="1:10" x14ac:dyDescent="0.3">
      <c r="A35" t="s">
        <v>69</v>
      </c>
      <c r="B35" s="1" t="s">
        <v>78</v>
      </c>
      <c r="C35" s="4" t="s">
        <v>104</v>
      </c>
      <c r="D35" s="4" t="s">
        <v>105</v>
      </c>
      <c r="E35" s="4" t="s">
        <v>106</v>
      </c>
      <c r="F35" s="4" t="s">
        <v>107</v>
      </c>
      <c r="G35" s="4" t="s">
        <v>103</v>
      </c>
    </row>
    <row r="36" spans="1:10" x14ac:dyDescent="0.3">
      <c r="A36" t="s">
        <v>70</v>
      </c>
      <c r="B36" s="1" t="s">
        <v>77</v>
      </c>
    </row>
    <row r="37" spans="1:10" x14ac:dyDescent="0.3">
      <c r="A37" t="s">
        <v>71</v>
      </c>
      <c r="B37" t="s">
        <v>72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t="s">
        <v>33</v>
      </c>
      <c r="B38" t="s">
        <v>34</v>
      </c>
    </row>
    <row r="39" spans="1:10" x14ac:dyDescent="0.3">
      <c r="A39" t="s">
        <v>35</v>
      </c>
      <c r="B39" s="1"/>
    </row>
    <row r="40" spans="1:10" x14ac:dyDescent="0.3">
      <c r="A40" t="s">
        <v>36</v>
      </c>
      <c r="B40">
        <v>20</v>
      </c>
      <c r="F40" s="1" t="s">
        <v>110</v>
      </c>
    </row>
    <row r="41" spans="1:10" x14ac:dyDescent="0.3">
      <c r="A41" t="s">
        <v>37</v>
      </c>
      <c r="B41">
        <v>2.8</v>
      </c>
    </row>
    <row r="42" spans="1:10" x14ac:dyDescent="0.3">
      <c r="A42" t="s">
        <v>38</v>
      </c>
    </row>
    <row r="43" spans="1:10" x14ac:dyDescent="0.3">
      <c r="A43" t="s">
        <v>39</v>
      </c>
      <c r="B43">
        <v>120</v>
      </c>
    </row>
    <row r="44" spans="1:10" x14ac:dyDescent="0.3">
      <c r="A44" t="s">
        <v>40</v>
      </c>
      <c r="B44">
        <v>120</v>
      </c>
    </row>
    <row r="45" spans="1:10" x14ac:dyDescent="0.3">
      <c r="A45" t="s">
        <v>41</v>
      </c>
    </row>
    <row r="46" spans="1:10" x14ac:dyDescent="0.3">
      <c r="A46" t="s">
        <v>42</v>
      </c>
    </row>
    <row r="47" spans="1:10" x14ac:dyDescent="0.3">
      <c r="A47" t="s">
        <v>43</v>
      </c>
      <c r="B47">
        <v>148</v>
      </c>
    </row>
    <row r="48" spans="1:10" x14ac:dyDescent="0.3">
      <c r="A48" t="s">
        <v>44</v>
      </c>
      <c r="B48">
        <v>110</v>
      </c>
    </row>
    <row r="49" spans="1:2" x14ac:dyDescent="0.3">
      <c r="A49" t="s">
        <v>45</v>
      </c>
      <c r="B49" s="1" t="s">
        <v>109</v>
      </c>
    </row>
    <row r="50" spans="1:2" x14ac:dyDescent="0.3">
      <c r="A50" t="s">
        <v>46</v>
      </c>
    </row>
    <row r="51" spans="1:2" x14ac:dyDescent="0.3">
      <c r="A51" t="s">
        <v>47</v>
      </c>
      <c r="B51">
        <v>31.6</v>
      </c>
    </row>
    <row r="52" spans="1:2" x14ac:dyDescent="0.3">
      <c r="A52" t="s">
        <v>48</v>
      </c>
    </row>
    <row r="53" spans="1:2" x14ac:dyDescent="0.3">
      <c r="A53" t="s">
        <v>49</v>
      </c>
      <c r="B53">
        <v>38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74</v>
      </c>
    </row>
    <row r="59" spans="1:2" x14ac:dyDescent="0.3">
      <c r="A59" t="s">
        <v>55</v>
      </c>
      <c r="B59" s="1" t="s">
        <v>74</v>
      </c>
    </row>
    <row r="60" spans="1:2" x14ac:dyDescent="0.3">
      <c r="A60" t="s">
        <v>56</v>
      </c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</row>
    <row r="65" spans="1:3" x14ac:dyDescent="0.3">
      <c r="A65" t="s">
        <v>61</v>
      </c>
      <c r="B65" s="1"/>
    </row>
    <row r="66" spans="1:3" x14ac:dyDescent="0.3">
      <c r="A66" t="s">
        <v>62</v>
      </c>
    </row>
    <row r="67" spans="1:3" x14ac:dyDescent="0.3">
      <c r="A67" t="s">
        <v>63</v>
      </c>
      <c r="B67" s="1"/>
    </row>
    <row r="68" spans="1:3" x14ac:dyDescent="0.3">
      <c r="A68" t="s">
        <v>64</v>
      </c>
      <c r="B68" s="1" t="s">
        <v>73</v>
      </c>
    </row>
    <row r="69" spans="1:3" x14ac:dyDescent="0.3">
      <c r="A69" t="s">
        <v>65</v>
      </c>
      <c r="B69">
        <v>2490</v>
      </c>
      <c r="C69" s="1" t="s">
        <v>111</v>
      </c>
    </row>
    <row r="70" spans="1:3" x14ac:dyDescent="0.3">
      <c r="A70" t="s">
        <v>66</v>
      </c>
    </row>
    <row r="71" spans="1:3" x14ac:dyDescent="0.3">
      <c r="A71" t="s">
        <v>67</v>
      </c>
      <c r="B71" s="1"/>
    </row>
    <row r="72" spans="1:3" x14ac:dyDescent="0.3">
      <c r="A72" t="s">
        <v>68</v>
      </c>
      <c r="B72" s="1" t="s">
        <v>76</v>
      </c>
    </row>
    <row r="73" spans="1:3" x14ac:dyDescent="0.3">
      <c r="A73" t="s">
        <v>114</v>
      </c>
      <c r="B73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2025-10-17T11:11:03Z</dcterms:modified>
</cp:coreProperties>
</file>