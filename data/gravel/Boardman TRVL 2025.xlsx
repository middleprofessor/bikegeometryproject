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9021D42-106D-8F40-81C6-F332F8C7EEE7}" xr6:coauthVersionLast="47" xr6:coauthVersionMax="47" xr10:uidLastSave="{00000000-0000-0000-0000-000000000000}"/>
  <bookViews>
    <workbookView xWindow="36220" yWindow="-1996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C31" i="1"/>
  <c r="E30" i="1"/>
  <c r="D30" i="1"/>
  <c r="C30" i="1"/>
</calcChain>
</file>

<file path=xl/sharedStrings.xml><?xml version="1.0" encoding="utf-8"?>
<sst xmlns="http://schemas.openxmlformats.org/spreadsheetml/2006/main" count="111" uniqueCount="109">
  <si>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</si>
  <si>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</si>
  <si>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</si>
  <si>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</si>
  <si>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</si>
  <si>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</si>
  <si>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</si>
  <si>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</si>
  <si>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</si>
  <si>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</si>
  <si>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</si>
  <si>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</si>
  <si>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</si>
  <si>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</si>
  <si>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</si>
  <si>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</si>
  <si>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</si>
  <si>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</si>
  <si>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</si>
  <si>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</si>
  <si>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</si>
  <si>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</si>
  <si>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</si>
  <si>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</si>
  <si>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</si>
  <si>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</si>
  <si>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</si>
  <si>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</si>
  <si>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</si>
  <si>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</si>
  <si>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</si>
  <si>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</si>
  <si>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</si>
  <si>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</si>
  <si>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</si>
  <si>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</si>
  <si>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</si>
  <si>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</si>
  <si>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</si>
  <si>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</si>
  <si>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</si>
  <si>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</si>
  <si>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</si>
  <si>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</si>
  <si>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</si>
  <si>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</si>
  <si>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</si>
  <si>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</si>
  <si>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</si>
  <si>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</si>
  <si>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</si>
  <si>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</si>
  <si>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</si>
  <si>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</si>
  <si>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</si>
  <si>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</si>
  <si>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</si>
  <si>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</si>
  <si>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</si>
  <si>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</si>
  <si>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</si>
  <si>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</si>
  <si>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</si>
  <si>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</si>
  <si>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</si>
  <si>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</si>
  <si>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</si>
  <si>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</si>
  <si>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</si>
  <si>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</si>
  <si>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</si>
  <si>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</si>
  <si>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</si>
  <si>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</si>
  <si>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</si>
  <si>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Reach</t>
  </si>
  <si>
    <t>Stack</t>
  </si>
  <si>
    <t>internal</t>
  </si>
  <si>
    <t>SM</t>
  </si>
  <si>
    <t>MD</t>
  </si>
  <si>
    <t>LG</t>
  </si>
  <si>
    <t>Recommended Height</t>
  </si>
  <si>
    <t>Recommended Inside Leg</t>
  </si>
  <si>
    <t>ST Seat Tube</t>
  </si>
  <si>
    <t>TT Top Tube</t>
  </si>
  <si>
    <t>HT Head Tube</t>
  </si>
  <si>
    <t>HA Head Angle</t>
  </si>
  <si>
    <t>SA Seat Angle</t>
  </si>
  <si>
    <t>CS Chainstay</t>
  </si>
  <si>
    <t>BB Bottom Bracket Drop</t>
  </si>
  <si>
    <t>Crank Length</t>
  </si>
  <si>
    <t>Stem Length</t>
  </si>
  <si>
    <t>Handlebar Width</t>
  </si>
  <si>
    <t>Boardman</t>
  </si>
  <si>
    <t>pounds</t>
  </si>
  <si>
    <t>https://www.boardmanbikes.com/gb_en/bikes/road/adventure-gravel/</t>
  </si>
  <si>
    <t>Size</t>
  </si>
  <si>
    <t>170 - 179 cm</t>
  </si>
  <si>
    <t>74 - 82 cm</t>
  </si>
  <si>
    <t>aluminum</t>
  </si>
  <si>
    <t>threaded</t>
  </si>
  <si>
    <t>both</t>
  </si>
  <si>
    <t>177 - 185 cm</t>
  </si>
  <si>
    <t>184 - 192 cm</t>
  </si>
  <si>
    <t>79 - 86 cm</t>
  </si>
  <si>
    <t>84 - 92 cm</t>
  </si>
  <si>
    <t>F0 Fork Offset</t>
  </si>
  <si>
    <t>TRVL</t>
  </si>
  <si>
    <t>a8:e33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</si>
</sst>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topLeftCell="A22" workbookViewId="0">
      <selection activeCell="B8" sqref="B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93</v>
      </c>
    </row>
    <row r="2" spans="1:11" x14ac:dyDescent="0.3">
      <c r="A2" s="1" t="s">
        <v>1</v>
      </c>
      <c r="B2" s="1" t="s">
        <v>107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95</v>
      </c>
    </row>
    <row r="6" spans="1:11" x14ac:dyDescent="0.3"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108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7" t="s">
        <v>96</v>
      </c>
      <c r="C8" s="6" t="s">
        <v>78</v>
      </c>
      <c r="D8" s="6" t="s">
        <v>79</v>
      </c>
      <c r="E8" s="6" t="s">
        <v>80</v>
      </c>
      <c r="F8" s="6"/>
      <c r="G8" s="6"/>
    </row>
    <row r="9" spans="1:11" x14ac:dyDescent="0.3">
      <c r="A9" s="1" t="s">
        <v>16</v>
      </c>
      <c r="B9" s="7" t="s">
        <v>76</v>
      </c>
      <c r="C9" s="7">
        <v>580</v>
      </c>
      <c r="D9" s="7">
        <v>590</v>
      </c>
      <c r="E9" s="7">
        <v>603</v>
      </c>
      <c r="F9" s="7"/>
      <c r="G9" s="7"/>
    </row>
    <row r="10" spans="1:11" x14ac:dyDescent="0.3">
      <c r="A10" s="1" t="s">
        <v>17</v>
      </c>
      <c r="B10" s="7" t="s">
        <v>75</v>
      </c>
      <c r="C10" s="7">
        <v>380</v>
      </c>
      <c r="D10" s="7">
        <v>395</v>
      </c>
      <c r="E10" s="7">
        <v>406</v>
      </c>
      <c r="F10" s="7"/>
      <c r="G10" s="7"/>
    </row>
    <row r="11" spans="1:11" x14ac:dyDescent="0.3">
      <c r="A11" s="1" t="s">
        <v>7</v>
      </c>
      <c r="B11" s="7" t="s">
        <v>83</v>
      </c>
      <c r="C11" s="7">
        <v>460</v>
      </c>
      <c r="D11" s="7">
        <v>480</v>
      </c>
      <c r="E11" s="7">
        <v>500</v>
      </c>
      <c r="F11" s="7"/>
      <c r="G11" s="7"/>
    </row>
    <row r="12" spans="1:11" x14ac:dyDescent="0.3">
      <c r="A12" s="1" t="s">
        <v>8</v>
      </c>
      <c r="B12" s="7" t="s">
        <v>84</v>
      </c>
      <c r="C12" s="7">
        <v>545</v>
      </c>
      <c r="D12" s="7">
        <v>565</v>
      </c>
      <c r="E12" s="7">
        <v>585</v>
      </c>
      <c r="F12" s="7"/>
      <c r="G12" s="7"/>
    </row>
    <row r="13" spans="1:11" x14ac:dyDescent="0.3">
      <c r="A13" s="1" t="s">
        <v>9</v>
      </c>
      <c r="B13" s="7" t="s">
        <v>85</v>
      </c>
      <c r="C13" s="7">
        <v>125</v>
      </c>
      <c r="D13" s="7">
        <v>135</v>
      </c>
      <c r="E13" s="7">
        <v>150</v>
      </c>
      <c r="F13" s="7"/>
      <c r="G13" s="7"/>
    </row>
    <row r="14" spans="1:11" x14ac:dyDescent="0.3">
      <c r="A14" s="1" t="s">
        <v>11</v>
      </c>
      <c r="B14" s="7" t="s">
        <v>86</v>
      </c>
      <c r="C14" s="7">
        <v>70.5</v>
      </c>
      <c r="D14" s="7">
        <v>70.5</v>
      </c>
      <c r="E14" s="7">
        <v>70.5</v>
      </c>
      <c r="F14" s="7"/>
      <c r="G14" s="7"/>
    </row>
    <row r="15" spans="1:11" x14ac:dyDescent="0.3">
      <c r="A15" s="1" t="s">
        <v>10</v>
      </c>
      <c r="B15" s="7" t="s">
        <v>87</v>
      </c>
      <c r="C15" s="7">
        <v>74</v>
      </c>
      <c r="D15" s="7">
        <v>74</v>
      </c>
      <c r="E15" s="7">
        <v>73.5</v>
      </c>
      <c r="F15" s="7"/>
      <c r="G15" s="7"/>
    </row>
    <row r="16" spans="1:11" x14ac:dyDescent="0.3">
      <c r="A16" s="1" t="s">
        <v>12</v>
      </c>
      <c r="B16" s="7" t="s">
        <v>88</v>
      </c>
      <c r="C16" s="7">
        <v>430</v>
      </c>
      <c r="D16" s="7">
        <v>430</v>
      </c>
      <c r="E16" s="7">
        <v>430</v>
      </c>
      <c r="F16" s="7"/>
      <c r="G16" s="7"/>
    </row>
    <row r="17" spans="1:12" x14ac:dyDescent="0.3">
      <c r="A17" s="1" t="s">
        <v>18</v>
      </c>
      <c r="B17" s="7" t="s">
        <v>106</v>
      </c>
      <c r="C17" s="7">
        <v>51</v>
      </c>
      <c r="D17" s="7">
        <v>51</v>
      </c>
      <c r="E17" s="7">
        <v>51</v>
      </c>
      <c r="F17" s="7"/>
      <c r="G17" s="7"/>
    </row>
    <row r="18" spans="1:12" x14ac:dyDescent="0.3">
      <c r="A18" s="1" t="s">
        <v>13</v>
      </c>
      <c r="B18" s="7" t="s">
        <v>89</v>
      </c>
      <c r="C18" s="7">
        <v>75</v>
      </c>
      <c r="D18" s="7">
        <v>75</v>
      </c>
      <c r="E18" s="7">
        <v>75</v>
      </c>
      <c r="F18" s="7"/>
      <c r="H18" s="7"/>
      <c r="I18" s="7"/>
      <c r="J18" s="7"/>
      <c r="K18" s="7"/>
      <c r="L18" s="7"/>
    </row>
    <row r="19" spans="1:12" x14ac:dyDescent="0.3">
      <c r="A19" s="1" t="s">
        <v>19</v>
      </c>
      <c r="B19" s="7" t="s">
        <v>90</v>
      </c>
      <c r="C19" s="7">
        <v>165</v>
      </c>
      <c r="D19" s="7">
        <v>170</v>
      </c>
      <c r="E19" s="7">
        <v>172.5</v>
      </c>
      <c r="F19" s="7"/>
      <c r="G19" s="7"/>
    </row>
    <row r="20" spans="1:12" x14ac:dyDescent="0.3">
      <c r="A20" s="1" t="s">
        <v>21</v>
      </c>
      <c r="B20" s="1" t="s">
        <v>91</v>
      </c>
      <c r="C20" s="1">
        <v>80</v>
      </c>
      <c r="D20" s="1">
        <v>80</v>
      </c>
      <c r="E20" s="1">
        <v>90</v>
      </c>
      <c r="F20" s="7"/>
    </row>
    <row r="21" spans="1:12" x14ac:dyDescent="0.3">
      <c r="A21" s="1" t="s">
        <v>20</v>
      </c>
      <c r="B21" s="1" t="s">
        <v>92</v>
      </c>
      <c r="C21" s="1">
        <v>400</v>
      </c>
      <c r="D21" s="1">
        <v>420</v>
      </c>
      <c r="E21" s="1">
        <v>440</v>
      </c>
      <c r="F21" s="7"/>
    </row>
    <row r="22" spans="1:12" x14ac:dyDescent="0.3">
      <c r="A22" s="1" t="s">
        <v>15</v>
      </c>
    </row>
    <row r="23" spans="1:12" x14ac:dyDescent="0.3">
      <c r="A23" s="1" t="s">
        <v>14</v>
      </c>
    </row>
    <row r="24" spans="1:12" x14ac:dyDescent="0.3">
      <c r="A24" s="1" t="s">
        <v>22</v>
      </c>
      <c r="C24" s="1">
        <v>435</v>
      </c>
      <c r="D24" s="1">
        <v>435</v>
      </c>
      <c r="E24" s="1">
        <v>435</v>
      </c>
    </row>
    <row r="25" spans="1:12" x14ac:dyDescent="0.3">
      <c r="A25" s="1" t="s">
        <v>72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/>
      <c r="G27" s="4"/>
      <c r="H27" s="4"/>
      <c r="I27" s="4"/>
      <c r="J27" s="4"/>
      <c r="K27" s="4"/>
    </row>
    <row r="28" spans="1:12" x14ac:dyDescent="0.3">
      <c r="A28" s="1" t="s">
        <v>25</v>
      </c>
      <c r="C28" s="4">
        <v>45</v>
      </c>
      <c r="D28" s="4">
        <v>45</v>
      </c>
      <c r="E28" s="4">
        <v>45</v>
      </c>
      <c r="F28" s="4"/>
      <c r="G28" s="4"/>
      <c r="H28" s="4"/>
      <c r="I28" s="4"/>
      <c r="J28" s="4"/>
      <c r="K28" s="4"/>
    </row>
    <row r="29" spans="1:12" x14ac:dyDescent="0.3">
      <c r="A29" s="1" t="s">
        <v>26</v>
      </c>
      <c r="C29" s="1">
        <v>50</v>
      </c>
      <c r="D29" s="1">
        <v>50</v>
      </c>
      <c r="E29" s="1">
        <v>50</v>
      </c>
    </row>
    <row r="30" spans="1:12" x14ac:dyDescent="0.3">
      <c r="A30" s="1" t="s">
        <v>27</v>
      </c>
      <c r="C30" s="1">
        <f>C32</f>
        <v>170</v>
      </c>
      <c r="D30" s="1">
        <f>AVERAGE(D32,C33)</f>
        <v>178</v>
      </c>
      <c r="E30" s="1">
        <f t="shared" ref="E30:F30" si="0">AVERAGE(E32,D33)</f>
        <v>182</v>
      </c>
    </row>
    <row r="31" spans="1:12" x14ac:dyDescent="0.3">
      <c r="A31" s="1" t="s">
        <v>28</v>
      </c>
      <c r="C31" s="1">
        <f>D30</f>
        <v>178</v>
      </c>
      <c r="D31" s="1">
        <f t="shared" ref="D31:E31" si="1">E30</f>
        <v>182</v>
      </c>
      <c r="E31" s="1">
        <f t="shared" si="1"/>
        <v>0</v>
      </c>
    </row>
    <row r="32" spans="1:12" x14ac:dyDescent="0.3">
      <c r="A32" s="1" t="s">
        <v>73</v>
      </c>
      <c r="C32" s="1">
        <v>170</v>
      </c>
      <c r="D32" s="1">
        <v>177</v>
      </c>
      <c r="E32" s="1">
        <v>181</v>
      </c>
    </row>
    <row r="33" spans="1:8" x14ac:dyDescent="0.3">
      <c r="A33" s="1" t="s">
        <v>74</v>
      </c>
      <c r="C33" s="1">
        <v>179</v>
      </c>
      <c r="D33" s="1">
        <v>183</v>
      </c>
      <c r="E33" s="1">
        <v>189</v>
      </c>
    </row>
    <row r="34" spans="1:8" x14ac:dyDescent="0.3">
      <c r="C34" s="7" t="s">
        <v>97</v>
      </c>
      <c r="D34" s="7" t="s">
        <v>102</v>
      </c>
      <c r="E34" s="7" t="s">
        <v>103</v>
      </c>
      <c r="F34" s="6" t="s">
        <v>81</v>
      </c>
    </row>
    <row r="35" spans="1:8" x14ac:dyDescent="0.3">
      <c r="A35" s="1" t="s">
        <v>29</v>
      </c>
      <c r="B35" s="1" t="s">
        <v>30</v>
      </c>
      <c r="C35" s="7" t="s">
        <v>98</v>
      </c>
      <c r="D35" s="7" t="s">
        <v>104</v>
      </c>
      <c r="E35" s="7" t="s">
        <v>105</v>
      </c>
      <c r="F35" s="6" t="s">
        <v>82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101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99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50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  <c r="B44" s="1">
        <v>40</v>
      </c>
    </row>
    <row r="45" spans="1:8" x14ac:dyDescent="0.3">
      <c r="A45" s="1" t="s">
        <v>37</v>
      </c>
      <c r="B45" s="1">
        <v>40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100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31.6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77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71</v>
      </c>
    </row>
    <row r="66" spans="1:2" x14ac:dyDescent="0.3">
      <c r="A66" s="1" t="s">
        <v>58</v>
      </c>
    </row>
    <row r="67" spans="1:2" x14ac:dyDescent="0.3">
      <c r="A67" s="1" t="s">
        <v>59</v>
      </c>
      <c r="B67" s="1" t="s">
        <v>71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</row>
    <row r="71" spans="1:2" x14ac:dyDescent="0.3">
      <c r="A71" s="1" t="s">
        <v>63</v>
      </c>
      <c r="B71" s="1">
        <v>1600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2025-09-02T13:19:29Z</dcterms:modified>
</cp:coreProperties>
</file>