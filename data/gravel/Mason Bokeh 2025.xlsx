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6C9BB6B-FA9D-D24E-9D07-43D75C278002}" xr6:coauthVersionLast="47" xr6:coauthVersionMax="47" xr10:uidLastSave="{00000000-0000-0000-0000-000000000000}"/>
  <bookViews>
    <workbookView xWindow="3120" yWindow="500" windowWidth="2568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J25" i="1"/>
  <c r="C25" i="1"/>
</calcChain>
</file>

<file path=xl/sharedStrings.xml><?xml version="1.0" encoding="utf-8"?>
<sst xmlns="http://schemas.openxmlformats.org/spreadsheetml/2006/main" count="145" uniqueCount="137">
  <si>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</si>
  <si>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</si>
  <si>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</si>
  <si>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</si>
  <si>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</si>
  <si>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</si>
  <si>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</si>
  <si>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</si>
  <si>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</si>
  <si>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</si>
  <si>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</si>
  <si>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</si>
  <si>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</si>
  <si>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</si>
  <si>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</si>
  <si>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</si>
  <si>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</si>
  <si>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</si>
  <si>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</si>
  <si>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</si>
  <si>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</si>
  <si>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</si>
  <si>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</si>
  <si>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</si>
  <si>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</si>
  <si>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</si>
  <si>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</si>
  <si>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</si>
  <si>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</si>
  <si>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</si>
  <si>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</si>
  <si>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</si>
  <si>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</si>
  <si>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</si>
  <si>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</si>
  <si>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</si>
  <si>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</si>
  <si>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</si>
  <si>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</si>
  <si>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</si>
  <si>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</si>
  <si>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</si>
  <si>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</si>
  <si>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</si>
  <si>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</si>
  <si>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</si>
  <si>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</si>
  <si>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</si>
  <si>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</si>
  <si>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</si>
  <si>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</si>
  <si>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</si>
  <si>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</si>
  <si>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</si>
  <si>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</si>
  <si>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</si>
  <si>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</si>
  <si>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</si>
  <si>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</si>
  <si>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</si>
  <si>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</si>
  <si>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</si>
  <si>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</si>
  <si>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</si>
  <si>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</si>
  <si>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</si>
  <si>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</si>
  <si>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</si>
  <si>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</si>
  <si>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</si>
  <si>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</si>
  <si>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</si>
  <si>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</si>
  <si>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</si>
  <si>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</si>
  <si>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Mason</t>
  </si>
  <si>
    <t>48CM</t>
  </si>
  <si>
    <t>50CM</t>
  </si>
  <si>
    <t>52CM</t>
  </si>
  <si>
    <t>54CM</t>
  </si>
  <si>
    <t>56CM</t>
  </si>
  <si>
    <t>58CM</t>
  </si>
  <si>
    <t>60CM</t>
  </si>
  <si>
    <t>62CM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</si>
  <si>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</si>
  <si>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</si>
  <si>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</si>
  <si>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</si>
  <si>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</si>
  <si>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</si>
  <si>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</si>
  <si>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</si>
  <si>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STAND-OVER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</si>
  <si>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</si>
  <si>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</si>
  <si>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</si>
  <si>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</si>
  <si>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</si>
  <si>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</si>
  <si>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</si>
  <si>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</si>
  <si>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</si>
  <si>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</si>
  <si>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RIDER HEIGHT GUIDE CM</t>
  </si>
  <si>
    <t>151-160</t>
  </si>
  <si>
    <t>157-168</t>
  </si>
  <si>
    <t>163-172</t>
  </si>
  <si>
    <t>170-180</t>
  </si>
  <si>
    <t>175-185</t>
  </si>
  <si>
    <t>180-188</t>
  </si>
  <si>
    <t>185-193</t>
  </si>
  <si>
    <t>188-198</t>
  </si>
  <si>
    <t>STEM</t>
  </si>
  <si>
    <t>CRANKARM</t>
  </si>
  <si>
    <t>top_tube_actual</t>
  </si>
  <si>
    <t>trail</t>
  </si>
  <si>
    <t>fork_weight</t>
  </si>
  <si>
    <t>rear_axle_spec</t>
  </si>
  <si>
    <t>GBP</t>
  </si>
  <si>
    <t>location</t>
  </si>
  <si>
    <t>Lancing, West Sussex, United Kingdom</t>
  </si>
  <si>
    <t>FRAME WEIGHT BOKEH</t>
  </si>
  <si>
    <t>FORK WEIGHT PARALLAX</t>
  </si>
  <si>
    <t>frame size</t>
  </si>
  <si>
    <t>seat_tube_cc</t>
  </si>
  <si>
    <t>aluminum</t>
  </si>
  <si>
    <t>threaded 68</t>
  </si>
  <si>
    <t>a8:j36</t>
  </si>
  <si>
    <t>https://masoncycles.cc/shop/categories/bokeh-bikes</t>
  </si>
  <si>
    <t>https://masoncycles.cc/images/000/007/169/large/Bokeh3udh_EKAR_SB_Side_Web.jpg?1747325727</t>
  </si>
  <si>
    <t>Bokeh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</si>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</sst>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tabSelected="1" topLeftCell="A22" zoomScale="99" workbookViewId="0">
      <selection activeCell="H38" sqref="H38"/>
    </sheetView>
  </sheetViews>
  <sheetFormatPr baseColWidth="10" defaultRowHeight="20" x14ac:dyDescent="0.3"/>
  <cols>
    <col min="1" max="2" width="19.6640625" customWidth="1"/>
  </cols>
  <sheetData>
    <row r="1" spans="1:19" x14ac:dyDescent="0.3">
      <c r="A1" t="s">
        <v>0</v>
      </c>
      <c r="B1" s="1" t="s">
        <v>75</v>
      </c>
    </row>
    <row r="2" spans="1:19" x14ac:dyDescent="0.3">
      <c r="A2" t="s">
        <v>1</v>
      </c>
      <c r="B2" s="1" t="s">
        <v>130</v>
      </c>
    </row>
    <row r="3" spans="1:19" x14ac:dyDescent="0.3">
      <c r="A3" t="s">
        <v>2</v>
      </c>
      <c r="B3">
        <v>2025</v>
      </c>
    </row>
    <row r="4" spans="1:19" x14ac:dyDescent="0.3">
      <c r="A4" t="s">
        <v>3</v>
      </c>
      <c r="B4" s="2">
        <v>45950</v>
      </c>
    </row>
    <row r="5" spans="1:19" x14ac:dyDescent="0.3">
      <c r="A5" t="s">
        <v>4</v>
      </c>
      <c r="B5" t="s">
        <v>128</v>
      </c>
    </row>
    <row r="6" spans="1:19" x14ac:dyDescent="0.3">
      <c r="B6" t="s">
        <v>129</v>
      </c>
    </row>
    <row r="7" spans="1:19" x14ac:dyDescent="0.3">
      <c r="A7" s="1" t="s">
        <v>5</v>
      </c>
      <c r="B7" s="1" t="s">
        <v>127</v>
      </c>
      <c r="C7" s="1"/>
      <c r="D7" s="1"/>
      <c r="E7" s="1"/>
      <c r="F7" s="1"/>
      <c r="G7" s="1"/>
      <c r="H7" s="1"/>
      <c r="I7" s="1"/>
      <c r="J7" s="1"/>
    </row>
    <row r="8" spans="1:19" x14ac:dyDescent="0.3">
      <c r="A8" s="1" t="s">
        <v>6</v>
      </c>
      <c r="B8" s="1" t="s">
        <v>123</v>
      </c>
      <c r="C8" s="8" t="s">
        <v>76</v>
      </c>
      <c r="D8" s="8" t="s">
        <v>77</v>
      </c>
      <c r="E8" s="8" t="s">
        <v>78</v>
      </c>
      <c r="F8" s="8" t="s">
        <v>79</v>
      </c>
      <c r="G8" s="8" t="s">
        <v>80</v>
      </c>
      <c r="H8" s="8" t="s">
        <v>81</v>
      </c>
      <c r="I8" s="8" t="s">
        <v>82</v>
      </c>
      <c r="J8" s="8" t="s">
        <v>83</v>
      </c>
      <c r="K8" s="4"/>
      <c r="L8" s="4"/>
      <c r="M8" s="4"/>
      <c r="N8" s="4"/>
      <c r="O8" s="4"/>
      <c r="P8" s="4"/>
      <c r="Q8" s="4"/>
      <c r="R8" s="4"/>
    </row>
    <row r="9" spans="1:19" x14ac:dyDescent="0.3">
      <c r="A9" s="1" t="s">
        <v>7</v>
      </c>
      <c r="B9" s="8" t="s">
        <v>84</v>
      </c>
      <c r="C9" s="8">
        <v>480</v>
      </c>
      <c r="D9" s="8">
        <v>500</v>
      </c>
      <c r="E9" s="8">
        <v>520</v>
      </c>
      <c r="F9" s="8">
        <v>540</v>
      </c>
      <c r="G9" s="8">
        <v>560</v>
      </c>
      <c r="H9" s="8">
        <v>580</v>
      </c>
      <c r="I9" s="8">
        <v>600</v>
      </c>
      <c r="J9" s="8">
        <v>620</v>
      </c>
      <c r="K9" s="5"/>
      <c r="L9" s="6"/>
      <c r="M9" s="6"/>
      <c r="N9" s="6"/>
      <c r="O9" s="6"/>
      <c r="P9" s="6"/>
      <c r="Q9" s="6"/>
      <c r="R9" s="6"/>
      <c r="S9" s="6"/>
    </row>
    <row r="10" spans="1:19" x14ac:dyDescent="0.3">
      <c r="A10" s="1" t="s">
        <v>124</v>
      </c>
      <c r="B10" s="8" t="s">
        <v>85</v>
      </c>
      <c r="C10" s="8">
        <v>432.2</v>
      </c>
      <c r="D10" s="8">
        <v>453</v>
      </c>
      <c r="E10" s="8">
        <v>473</v>
      </c>
      <c r="F10" s="8">
        <v>493.5</v>
      </c>
      <c r="G10" s="8">
        <v>513.70000000000005</v>
      </c>
      <c r="H10" s="8">
        <v>534.1</v>
      </c>
      <c r="I10" s="8">
        <v>554.20000000000005</v>
      </c>
      <c r="J10" s="8">
        <v>574.70000000000005</v>
      </c>
      <c r="K10" s="5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" t="s">
        <v>14</v>
      </c>
      <c r="B11" s="8" t="s">
        <v>86</v>
      </c>
      <c r="C11" s="8">
        <v>77</v>
      </c>
      <c r="D11" s="8">
        <v>75</v>
      </c>
      <c r="E11" s="8">
        <v>75</v>
      </c>
      <c r="F11" s="8">
        <v>73</v>
      </c>
      <c r="G11" s="8">
        <v>73</v>
      </c>
      <c r="H11" s="8">
        <v>70</v>
      </c>
      <c r="I11" s="8">
        <v>70</v>
      </c>
      <c r="J11" s="8">
        <v>70</v>
      </c>
      <c r="K11" s="5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1" t="s">
        <v>12</v>
      </c>
      <c r="B12" s="8" t="s">
        <v>87</v>
      </c>
      <c r="C12" s="8">
        <v>435</v>
      </c>
      <c r="D12" s="8">
        <v>435</v>
      </c>
      <c r="E12" s="8">
        <v>435</v>
      </c>
      <c r="F12" s="8">
        <v>435</v>
      </c>
      <c r="G12" s="8">
        <v>435</v>
      </c>
      <c r="H12" s="8">
        <v>435</v>
      </c>
      <c r="I12" s="8">
        <v>435</v>
      </c>
      <c r="J12" s="8">
        <v>435</v>
      </c>
      <c r="K12" s="5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" t="s">
        <v>8</v>
      </c>
      <c r="B13" s="8" t="s">
        <v>88</v>
      </c>
      <c r="C13" s="8">
        <v>515.9</v>
      </c>
      <c r="D13" s="8">
        <v>519.9</v>
      </c>
      <c r="E13" s="8">
        <v>535.9</v>
      </c>
      <c r="F13" s="8">
        <v>551</v>
      </c>
      <c r="G13" s="8">
        <v>561.4</v>
      </c>
      <c r="H13" s="8">
        <v>580.79999999999995</v>
      </c>
      <c r="I13" s="8">
        <v>590.70000000000005</v>
      </c>
      <c r="J13" s="8">
        <v>600.5</v>
      </c>
      <c r="K13" s="5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" t="s">
        <v>114</v>
      </c>
      <c r="B14" s="8" t="s">
        <v>89</v>
      </c>
      <c r="C14" s="8">
        <v>497.8</v>
      </c>
      <c r="D14" s="8">
        <v>503.9</v>
      </c>
      <c r="E14" s="8">
        <v>520.29999999999995</v>
      </c>
      <c r="F14" s="8">
        <v>534.4</v>
      </c>
      <c r="G14" s="8">
        <v>546.29999999999995</v>
      </c>
      <c r="H14" s="8">
        <v>567.20000000000005</v>
      </c>
      <c r="I14" s="8">
        <v>577.1</v>
      </c>
      <c r="J14" s="8">
        <v>585.79999999999995</v>
      </c>
      <c r="K14" s="5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" t="s">
        <v>20</v>
      </c>
      <c r="B15" s="8" t="s">
        <v>90</v>
      </c>
      <c r="C15" s="8">
        <v>536.1</v>
      </c>
      <c r="D15" s="8">
        <v>537.9</v>
      </c>
      <c r="E15" s="8">
        <v>554</v>
      </c>
      <c r="F15" s="8">
        <v>568.1</v>
      </c>
      <c r="G15" s="8">
        <v>579.5</v>
      </c>
      <c r="H15" s="8">
        <v>587.9</v>
      </c>
      <c r="I15" s="8">
        <v>607</v>
      </c>
      <c r="J15" s="8">
        <v>630.70000000000005</v>
      </c>
      <c r="K15" s="5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1" t="s">
        <v>21</v>
      </c>
      <c r="B16" s="8" t="s">
        <v>91</v>
      </c>
      <c r="C16" s="8">
        <v>359.9</v>
      </c>
      <c r="D16" s="8">
        <v>363.5</v>
      </c>
      <c r="E16" s="8">
        <v>374</v>
      </c>
      <c r="F16" s="8">
        <v>376.2</v>
      </c>
      <c r="G16" s="8">
        <v>383.4</v>
      </c>
      <c r="H16" s="8">
        <v>395.2</v>
      </c>
      <c r="I16" s="8">
        <v>399.1</v>
      </c>
      <c r="J16" s="8">
        <v>401.4</v>
      </c>
      <c r="K16" s="5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1" t="s">
        <v>26</v>
      </c>
      <c r="B17" s="8" t="s">
        <v>92</v>
      </c>
      <c r="C17" s="8">
        <v>741</v>
      </c>
      <c r="D17" s="8">
        <v>764.1</v>
      </c>
      <c r="E17" s="8">
        <v>781.8</v>
      </c>
      <c r="F17" s="8">
        <v>799.4</v>
      </c>
      <c r="G17" s="8">
        <v>814.8</v>
      </c>
      <c r="H17" s="8">
        <v>831</v>
      </c>
      <c r="I17" s="8">
        <v>850</v>
      </c>
      <c r="J17" s="8">
        <v>871.7</v>
      </c>
      <c r="K17" s="5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1" t="s">
        <v>16</v>
      </c>
      <c r="B18" s="8" t="s">
        <v>93</v>
      </c>
      <c r="C18" s="8">
        <v>50</v>
      </c>
      <c r="D18" s="8">
        <v>50</v>
      </c>
      <c r="E18" s="8">
        <v>50</v>
      </c>
      <c r="F18" s="8">
        <v>50</v>
      </c>
      <c r="G18" s="8">
        <v>50</v>
      </c>
      <c r="H18" s="8">
        <v>50</v>
      </c>
      <c r="I18" s="8">
        <v>50</v>
      </c>
      <c r="J18" s="8">
        <v>50</v>
      </c>
      <c r="K18" s="5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1" t="s">
        <v>115</v>
      </c>
      <c r="B19" s="8" t="s">
        <v>94</v>
      </c>
      <c r="C19" s="8">
        <v>74.7</v>
      </c>
      <c r="D19" s="8">
        <v>75.3</v>
      </c>
      <c r="E19" s="8">
        <v>72</v>
      </c>
      <c r="F19" s="8">
        <v>68.7</v>
      </c>
      <c r="G19" s="8">
        <v>65.400000000000006</v>
      </c>
      <c r="H19" s="8">
        <v>62.1</v>
      </c>
      <c r="I19" s="8">
        <v>62.1</v>
      </c>
      <c r="J19" s="8">
        <v>62.1</v>
      </c>
      <c r="K19" s="5"/>
      <c r="L19" s="9"/>
      <c r="M19" s="9"/>
      <c r="N19" s="9"/>
      <c r="O19" s="9"/>
      <c r="P19" s="9"/>
      <c r="Q19" s="9"/>
      <c r="R19" s="9"/>
      <c r="S19" s="9"/>
    </row>
    <row r="20" spans="1:19" x14ac:dyDescent="0.3">
      <c r="A20" s="1" t="s">
        <v>15</v>
      </c>
      <c r="B20" s="8" t="s">
        <v>95</v>
      </c>
      <c r="C20" s="8">
        <v>398</v>
      </c>
      <c r="D20" s="8">
        <v>398</v>
      </c>
      <c r="E20" s="8">
        <v>398</v>
      </c>
      <c r="F20" s="8">
        <v>398</v>
      </c>
      <c r="G20" s="8">
        <v>398</v>
      </c>
      <c r="H20" s="8">
        <v>398</v>
      </c>
      <c r="I20" s="8">
        <v>398</v>
      </c>
      <c r="J20" s="8">
        <v>398</v>
      </c>
      <c r="K20" s="7"/>
      <c r="L20" s="9"/>
      <c r="M20" s="9"/>
      <c r="N20" s="9"/>
      <c r="O20" s="9"/>
      <c r="P20" s="9"/>
      <c r="Q20" s="9"/>
      <c r="R20" s="9"/>
      <c r="S20" s="9"/>
    </row>
    <row r="21" spans="1:19" x14ac:dyDescent="0.3">
      <c r="A21" s="1" t="s">
        <v>11</v>
      </c>
      <c r="B21" s="8" t="s">
        <v>96</v>
      </c>
      <c r="C21" s="8">
        <v>69.5</v>
      </c>
      <c r="D21" s="8">
        <v>70</v>
      </c>
      <c r="E21" s="8">
        <v>70.5</v>
      </c>
      <c r="F21" s="8">
        <v>71</v>
      </c>
      <c r="G21" s="8">
        <v>71.5</v>
      </c>
      <c r="H21" s="8">
        <v>72</v>
      </c>
      <c r="I21" s="8">
        <v>72</v>
      </c>
      <c r="J21" s="8">
        <v>72</v>
      </c>
      <c r="K21" s="5"/>
      <c r="L21" s="6"/>
      <c r="M21" s="6"/>
      <c r="N21" s="6"/>
      <c r="O21" s="6"/>
      <c r="P21" s="6"/>
      <c r="Q21" s="6"/>
      <c r="R21" s="6"/>
      <c r="S21" s="6"/>
    </row>
    <row r="22" spans="1:19" x14ac:dyDescent="0.3">
      <c r="A22" s="1" t="s">
        <v>9</v>
      </c>
      <c r="B22" s="8" t="s">
        <v>97</v>
      </c>
      <c r="C22" s="8">
        <v>100</v>
      </c>
      <c r="D22" s="8">
        <v>115</v>
      </c>
      <c r="E22" s="8">
        <v>130</v>
      </c>
      <c r="F22" s="8">
        <v>145</v>
      </c>
      <c r="G22" s="8">
        <v>155</v>
      </c>
      <c r="H22" s="8">
        <v>165</v>
      </c>
      <c r="I22" s="8">
        <v>185</v>
      </c>
      <c r="J22" s="8">
        <v>210</v>
      </c>
      <c r="K22" s="5"/>
      <c r="L22" s="6"/>
      <c r="M22" s="6"/>
      <c r="N22" s="6"/>
      <c r="O22" s="6"/>
      <c r="P22" s="6"/>
      <c r="Q22" s="6"/>
      <c r="R22" s="6"/>
      <c r="S22" s="6"/>
    </row>
    <row r="23" spans="1:19" x14ac:dyDescent="0.3">
      <c r="A23" s="1" t="s">
        <v>10</v>
      </c>
      <c r="B23" s="8" t="s">
        <v>98</v>
      </c>
      <c r="C23" s="8">
        <v>74</v>
      </c>
      <c r="D23" s="8">
        <v>74</v>
      </c>
      <c r="E23" s="8">
        <v>74</v>
      </c>
      <c r="F23" s="8">
        <v>73</v>
      </c>
      <c r="G23" s="8">
        <v>73</v>
      </c>
      <c r="H23" s="8">
        <v>72.5</v>
      </c>
      <c r="I23" s="8">
        <v>72.5</v>
      </c>
      <c r="J23" s="8">
        <v>72.5</v>
      </c>
      <c r="K23" s="5"/>
      <c r="L23" s="6"/>
      <c r="M23" s="6"/>
      <c r="N23" s="6"/>
      <c r="O23" s="6"/>
      <c r="P23" s="6"/>
      <c r="Q23" s="6"/>
      <c r="R23" s="6"/>
      <c r="S23" s="6"/>
    </row>
    <row r="24" spans="1:19" x14ac:dyDescent="0.3">
      <c r="A24" s="1" t="s">
        <v>13</v>
      </c>
      <c r="B24" s="8" t="s">
        <v>99</v>
      </c>
      <c r="C24" s="8">
        <v>1013</v>
      </c>
      <c r="D24" s="8">
        <v>1013.7</v>
      </c>
      <c r="E24" s="8">
        <v>1021.8</v>
      </c>
      <c r="F24" s="8">
        <v>1028.4000000000001</v>
      </c>
      <c r="G24" s="8">
        <v>1034.4000000000001</v>
      </c>
      <c r="H24" s="8">
        <v>1045.4000000000001</v>
      </c>
      <c r="I24" s="8">
        <v>1055.4000000000001</v>
      </c>
      <c r="J24" s="8">
        <v>1065.5</v>
      </c>
      <c r="K24" s="5"/>
      <c r="L24" s="6"/>
      <c r="M24" s="6"/>
      <c r="N24" s="6"/>
      <c r="O24" s="6"/>
      <c r="P24" s="6"/>
      <c r="Q24" s="6"/>
      <c r="R24" s="6"/>
      <c r="S24" s="6"/>
    </row>
    <row r="25" spans="1:19" x14ac:dyDescent="0.3">
      <c r="A25" s="1" t="s">
        <v>19</v>
      </c>
      <c r="B25" s="8" t="s">
        <v>100</v>
      </c>
      <c r="C25">
        <f>K25*10</f>
        <v>400</v>
      </c>
      <c r="D25">
        <f t="shared" ref="D25:J25" si="0">L25*10</f>
        <v>420</v>
      </c>
      <c r="E25">
        <f t="shared" si="0"/>
        <v>420</v>
      </c>
      <c r="F25">
        <f t="shared" si="0"/>
        <v>440</v>
      </c>
      <c r="G25">
        <f t="shared" si="0"/>
        <v>440</v>
      </c>
      <c r="H25">
        <f t="shared" si="0"/>
        <v>460</v>
      </c>
      <c r="I25">
        <f t="shared" si="0"/>
        <v>460</v>
      </c>
      <c r="J25">
        <f t="shared" si="0"/>
        <v>460</v>
      </c>
      <c r="K25" s="8">
        <v>40</v>
      </c>
      <c r="L25" s="8">
        <v>42</v>
      </c>
      <c r="M25" s="8">
        <v>42</v>
      </c>
      <c r="N25" s="8">
        <v>44</v>
      </c>
      <c r="O25" s="8">
        <v>44</v>
      </c>
      <c r="P25" s="8">
        <v>46</v>
      </c>
      <c r="Q25" s="8">
        <v>46</v>
      </c>
      <c r="R25" s="8">
        <v>46</v>
      </c>
      <c r="S25" s="6"/>
    </row>
    <row r="26" spans="1:19" x14ac:dyDescent="0.3">
      <c r="A26" s="1" t="s">
        <v>74</v>
      </c>
      <c r="B26" s="8" t="s">
        <v>101</v>
      </c>
      <c r="C26" s="8">
        <v>590</v>
      </c>
      <c r="D26" s="8">
        <v>590</v>
      </c>
      <c r="E26" s="8">
        <v>602</v>
      </c>
      <c r="F26" s="8">
        <v>604</v>
      </c>
      <c r="G26" s="8">
        <v>610</v>
      </c>
      <c r="H26" s="8">
        <v>620</v>
      </c>
      <c r="I26" s="8">
        <v>630</v>
      </c>
      <c r="J26" s="8">
        <v>640</v>
      </c>
      <c r="K26" s="5"/>
      <c r="L26" s="6"/>
      <c r="M26" s="6"/>
      <c r="N26" s="6"/>
      <c r="O26" s="6"/>
      <c r="P26" s="6"/>
      <c r="Q26" s="6"/>
      <c r="R26" s="6"/>
      <c r="S26" s="6"/>
    </row>
    <row r="27" spans="1:19" x14ac:dyDescent="0.3">
      <c r="A27" s="1" t="s">
        <v>117</v>
      </c>
      <c r="B27" s="8" t="s">
        <v>102</v>
      </c>
      <c r="C27" s="8">
        <v>142</v>
      </c>
      <c r="D27" s="8">
        <v>142</v>
      </c>
      <c r="E27" s="8">
        <v>142</v>
      </c>
      <c r="F27" s="8">
        <v>142</v>
      </c>
      <c r="G27" s="8">
        <v>142</v>
      </c>
      <c r="H27" s="8">
        <v>142</v>
      </c>
      <c r="I27" s="8">
        <v>142</v>
      </c>
      <c r="J27" s="8">
        <v>142</v>
      </c>
      <c r="K27" s="5"/>
      <c r="L27" s="6"/>
      <c r="M27" s="6"/>
      <c r="N27" s="6"/>
      <c r="O27" s="6"/>
      <c r="P27" s="6"/>
      <c r="Q27" s="6"/>
      <c r="R27" s="6"/>
      <c r="S27" s="6"/>
    </row>
    <row r="28" spans="1:19" x14ac:dyDescent="0.3">
      <c r="A28" s="1" t="s">
        <v>22</v>
      </c>
      <c r="B28" s="8" t="s">
        <v>121</v>
      </c>
      <c r="C28" s="8">
        <v>1580</v>
      </c>
      <c r="D28" s="8">
        <v>1600</v>
      </c>
      <c r="E28" s="8">
        <v>1640</v>
      </c>
      <c r="F28" s="8">
        <v>1690</v>
      </c>
      <c r="G28" s="8">
        <v>1730</v>
      </c>
      <c r="H28" s="8">
        <v>1770</v>
      </c>
      <c r="I28" s="8">
        <v>1820</v>
      </c>
      <c r="J28" s="8">
        <v>1860</v>
      </c>
      <c r="K28" s="5"/>
      <c r="L28" s="6"/>
      <c r="M28" s="6"/>
      <c r="N28" s="6"/>
      <c r="O28" s="6"/>
      <c r="P28" s="6"/>
      <c r="Q28" s="6"/>
      <c r="R28" s="6"/>
      <c r="S28" s="6"/>
    </row>
    <row r="29" spans="1:19" x14ac:dyDescent="0.3">
      <c r="A29" s="1" t="s">
        <v>116</v>
      </c>
      <c r="B29" s="8" t="s">
        <v>122</v>
      </c>
      <c r="C29" s="8">
        <v>465</v>
      </c>
      <c r="D29" s="8">
        <v>465</v>
      </c>
      <c r="E29" s="8">
        <v>465</v>
      </c>
      <c r="F29" s="8">
        <v>465</v>
      </c>
      <c r="G29" s="8">
        <v>465</v>
      </c>
      <c r="H29" s="8">
        <v>465</v>
      </c>
      <c r="I29" s="8">
        <v>465</v>
      </c>
      <c r="J29" s="8">
        <v>465</v>
      </c>
      <c r="K29" s="5"/>
      <c r="L29" s="6"/>
      <c r="M29" s="6"/>
      <c r="N29" s="6"/>
      <c r="O29" s="6"/>
      <c r="P29" s="6"/>
      <c r="Q29" s="6"/>
      <c r="R29" s="6"/>
      <c r="S29" s="6"/>
    </row>
    <row r="30" spans="1:19" x14ac:dyDescent="0.3">
      <c r="A30" s="1" t="s">
        <v>18</v>
      </c>
      <c r="B30" s="8" t="s">
        <v>112</v>
      </c>
      <c r="C30" s="8">
        <v>70</v>
      </c>
      <c r="D30" s="8">
        <v>80</v>
      </c>
      <c r="E30" s="8">
        <v>90</v>
      </c>
      <c r="F30" s="8">
        <v>100</v>
      </c>
      <c r="G30" s="8">
        <v>110</v>
      </c>
      <c r="H30" s="8">
        <v>110</v>
      </c>
      <c r="I30" s="8">
        <v>120</v>
      </c>
      <c r="J30" s="8">
        <v>120</v>
      </c>
      <c r="K30" s="5"/>
      <c r="L30" s="6"/>
      <c r="M30" s="6"/>
      <c r="N30" s="6"/>
      <c r="O30" s="6"/>
      <c r="P30" s="6"/>
      <c r="Q30" s="6"/>
      <c r="R30" s="6"/>
      <c r="S30" s="6"/>
    </row>
    <row r="31" spans="1:19" x14ac:dyDescent="0.3">
      <c r="A31" s="1" t="s">
        <v>17</v>
      </c>
      <c r="B31" s="8" t="s">
        <v>113</v>
      </c>
      <c r="C31" s="8">
        <v>165</v>
      </c>
      <c r="D31" s="8">
        <v>170</v>
      </c>
      <c r="E31" s="8">
        <v>170</v>
      </c>
      <c r="F31" s="8">
        <v>172.5</v>
      </c>
      <c r="G31" s="8">
        <v>172.5</v>
      </c>
      <c r="H31" s="8">
        <v>175</v>
      </c>
      <c r="I31" s="8">
        <v>175</v>
      </c>
      <c r="J31" s="8">
        <v>175</v>
      </c>
      <c r="K31" s="5"/>
      <c r="L31" s="6"/>
      <c r="M31" s="6"/>
      <c r="N31" s="6"/>
      <c r="O31" s="6"/>
      <c r="P31" s="6"/>
      <c r="Q31" s="6"/>
      <c r="R31" s="6"/>
      <c r="S31" s="6"/>
    </row>
    <row r="32" spans="1:19" x14ac:dyDescent="0.3">
      <c r="A32" s="1" t="s">
        <v>23</v>
      </c>
      <c r="C32" s="8">
        <v>700</v>
      </c>
      <c r="D32" s="8">
        <v>700</v>
      </c>
      <c r="E32" s="8">
        <v>700</v>
      </c>
      <c r="F32" s="8">
        <v>700</v>
      </c>
      <c r="G32" s="8">
        <v>700</v>
      </c>
      <c r="H32" s="8">
        <v>700</v>
      </c>
      <c r="I32" s="8">
        <v>700</v>
      </c>
      <c r="J32" s="8">
        <v>700</v>
      </c>
      <c r="K32" s="5"/>
      <c r="L32" s="6"/>
      <c r="M32" s="6"/>
      <c r="N32" s="6"/>
      <c r="O32" s="6"/>
      <c r="P32" s="6"/>
      <c r="Q32" s="6"/>
      <c r="R32" s="6"/>
      <c r="S32" s="6"/>
    </row>
    <row r="33" spans="1:11" x14ac:dyDescent="0.3">
      <c r="A33" s="1" t="s">
        <v>24</v>
      </c>
      <c r="B33" s="1" t="s">
        <v>24</v>
      </c>
      <c r="C33" s="8">
        <v>43</v>
      </c>
      <c r="D33" s="8">
        <v>43</v>
      </c>
      <c r="E33" s="8">
        <v>43</v>
      </c>
      <c r="F33" s="8">
        <v>43</v>
      </c>
      <c r="G33" s="8">
        <v>43</v>
      </c>
      <c r="H33" s="8">
        <v>43</v>
      </c>
      <c r="I33" s="8">
        <v>43</v>
      </c>
      <c r="J33" s="8">
        <v>43</v>
      </c>
    </row>
    <row r="34" spans="1:11" x14ac:dyDescent="0.3">
      <c r="A34" s="1" t="s">
        <v>25</v>
      </c>
      <c r="B34" s="1" t="s">
        <v>25</v>
      </c>
      <c r="C34" s="8">
        <v>50</v>
      </c>
      <c r="D34" s="8">
        <v>50</v>
      </c>
      <c r="E34" s="8">
        <v>50</v>
      </c>
      <c r="F34" s="8">
        <v>50</v>
      </c>
      <c r="G34" s="8">
        <v>50</v>
      </c>
      <c r="H34" s="8">
        <v>50</v>
      </c>
      <c r="I34" s="8">
        <v>50</v>
      </c>
      <c r="J34" s="8">
        <v>50</v>
      </c>
    </row>
    <row r="35" spans="1:11" x14ac:dyDescent="0.3">
      <c r="A35" s="1" t="s">
        <v>27</v>
      </c>
      <c r="B35" s="1"/>
      <c r="C35">
        <v>151</v>
      </c>
      <c r="D35">
        <v>157</v>
      </c>
      <c r="E35">
        <v>163</v>
      </c>
      <c r="F35">
        <v>170</v>
      </c>
      <c r="G35">
        <v>175</v>
      </c>
      <c r="H35">
        <v>180</v>
      </c>
      <c r="I35">
        <v>185</v>
      </c>
      <c r="J35" s="3">
        <v>188</v>
      </c>
    </row>
    <row r="36" spans="1:11" x14ac:dyDescent="0.3">
      <c r="A36" s="1" t="s">
        <v>28</v>
      </c>
      <c r="C36">
        <v>160</v>
      </c>
      <c r="D36">
        <v>168</v>
      </c>
      <c r="E36">
        <v>172</v>
      </c>
      <c r="F36">
        <v>180</v>
      </c>
      <c r="G36">
        <v>185</v>
      </c>
      <c r="H36">
        <v>188</v>
      </c>
      <c r="I36">
        <v>193</v>
      </c>
      <c r="J36" s="1">
        <v>198</v>
      </c>
    </row>
    <row r="37" spans="1:11" x14ac:dyDescent="0.3">
      <c r="A37" s="1"/>
      <c r="B37" s="1"/>
      <c r="C37" s="6" t="s">
        <v>104</v>
      </c>
      <c r="D37" s="6" t="s">
        <v>105</v>
      </c>
      <c r="E37" s="6" t="s">
        <v>106</v>
      </c>
      <c r="F37" s="6" t="s">
        <v>107</v>
      </c>
      <c r="G37" s="6" t="s">
        <v>108</v>
      </c>
      <c r="H37" s="6" t="s">
        <v>109</v>
      </c>
      <c r="I37" s="6" t="s">
        <v>110</v>
      </c>
      <c r="J37" s="6" t="s">
        <v>111</v>
      </c>
      <c r="K37" s="5" t="s">
        <v>103</v>
      </c>
    </row>
    <row r="38" spans="1:11" x14ac:dyDescent="0.3">
      <c r="A38" s="1" t="s">
        <v>29</v>
      </c>
      <c r="B38" s="1" t="s">
        <v>30</v>
      </c>
      <c r="C38" s="1"/>
      <c r="D38" s="1"/>
      <c r="E38" s="1"/>
      <c r="F38" s="1"/>
      <c r="G38" s="1"/>
      <c r="H38" s="1"/>
      <c r="I38" s="1"/>
      <c r="J38" s="1"/>
    </row>
    <row r="39" spans="1:11" x14ac:dyDescent="0.3">
      <c r="A39" s="1" t="s">
        <v>66</v>
      </c>
      <c r="B39" s="1" t="s">
        <v>67</v>
      </c>
    </row>
    <row r="40" spans="1:11" x14ac:dyDescent="0.3">
      <c r="A40" s="1" t="s">
        <v>68</v>
      </c>
      <c r="B40" s="1" t="s">
        <v>69</v>
      </c>
      <c r="C40" s="1"/>
      <c r="D40" s="1"/>
      <c r="E40" s="1"/>
      <c r="F40" s="1"/>
      <c r="G40" s="1"/>
      <c r="H40" s="1"/>
      <c r="I40" s="1"/>
      <c r="J40" s="1"/>
    </row>
    <row r="41" spans="1:11" x14ac:dyDescent="0.3">
      <c r="A41" s="1" t="s">
        <v>70</v>
      </c>
      <c r="B41" s="1" t="s">
        <v>71</v>
      </c>
      <c r="C41" s="3"/>
      <c r="D41" s="3"/>
      <c r="E41" s="3"/>
      <c r="F41" s="3"/>
      <c r="G41" s="3"/>
      <c r="H41" s="3"/>
      <c r="I41" s="3"/>
      <c r="J41" s="1"/>
    </row>
    <row r="42" spans="1:11" x14ac:dyDescent="0.3">
      <c r="A42" s="1" t="s">
        <v>31</v>
      </c>
      <c r="B42" s="1" t="s">
        <v>125</v>
      </c>
      <c r="C42" s="1"/>
      <c r="D42" s="1"/>
      <c r="E42" s="1"/>
      <c r="F42" s="1"/>
      <c r="G42" s="1"/>
      <c r="H42" s="1"/>
      <c r="I42" s="1"/>
      <c r="J42" s="1"/>
    </row>
    <row r="43" spans="1:11" x14ac:dyDescent="0.3">
      <c r="A43" s="1" t="s">
        <v>32</v>
      </c>
      <c r="B43" s="1" t="s">
        <v>72</v>
      </c>
      <c r="C43" s="1"/>
      <c r="D43" s="1"/>
      <c r="E43" s="1"/>
      <c r="F43" s="1"/>
      <c r="G43" s="1"/>
      <c r="H43" s="1"/>
      <c r="I43" s="1"/>
      <c r="J43" s="1"/>
    </row>
    <row r="44" spans="1:11" x14ac:dyDescent="0.3">
      <c r="A44" s="1" t="s">
        <v>33</v>
      </c>
      <c r="B44" s="1"/>
      <c r="C44" s="1"/>
      <c r="D44" s="1"/>
      <c r="E44" s="1"/>
      <c r="F44" s="1"/>
      <c r="G44" s="1"/>
      <c r="H44" s="1"/>
      <c r="I44" s="1"/>
      <c r="J44" s="1"/>
    </row>
    <row r="45" spans="1:11" x14ac:dyDescent="0.3">
      <c r="A45" s="1" t="s">
        <v>34</v>
      </c>
      <c r="B45" s="1">
        <v>50</v>
      </c>
      <c r="C45" s="1"/>
      <c r="D45" s="1"/>
      <c r="E45" s="1"/>
      <c r="F45" s="1"/>
      <c r="G45" s="1"/>
      <c r="H45" s="1"/>
      <c r="I45" s="1"/>
      <c r="J45" s="1"/>
    </row>
    <row r="46" spans="1:11" x14ac:dyDescent="0.3">
      <c r="A46" s="1" t="s">
        <v>35</v>
      </c>
      <c r="B46" s="1">
        <v>55</v>
      </c>
      <c r="C46" s="1"/>
      <c r="D46" s="1"/>
      <c r="E46" s="1"/>
      <c r="F46" s="1"/>
      <c r="G46" s="1"/>
      <c r="H46" s="1"/>
      <c r="I46" s="1"/>
      <c r="J46" s="1"/>
    </row>
    <row r="47" spans="1:11" x14ac:dyDescent="0.3">
      <c r="A47" s="1" t="s">
        <v>36</v>
      </c>
      <c r="B47" s="1"/>
      <c r="C47" s="1"/>
      <c r="D47" s="1"/>
      <c r="E47" s="1"/>
      <c r="F47" s="1"/>
      <c r="G47" s="1"/>
      <c r="H47" s="1"/>
      <c r="I47" s="1"/>
      <c r="J47" s="1"/>
    </row>
    <row r="48" spans="1:11" x14ac:dyDescent="0.3">
      <c r="A48" s="1" t="s">
        <v>37</v>
      </c>
      <c r="B48" s="1"/>
      <c r="C48" s="1"/>
      <c r="D48" s="1"/>
      <c r="E48" s="3"/>
      <c r="F48" s="3"/>
      <c r="G48" s="3"/>
      <c r="H48" s="3"/>
      <c r="I48" s="3"/>
      <c r="J48" s="1"/>
    </row>
    <row r="49" spans="1:10" x14ac:dyDescent="0.3">
      <c r="A49" s="1" t="s">
        <v>38</v>
      </c>
      <c r="B49" s="1"/>
      <c r="C49" s="3"/>
      <c r="D49" s="3"/>
      <c r="E49" s="1"/>
      <c r="F49" s="1"/>
      <c r="G49" s="1"/>
      <c r="H49" s="1"/>
      <c r="I49" s="1"/>
      <c r="J49" s="1"/>
    </row>
    <row r="50" spans="1:10" x14ac:dyDescent="0.3">
      <c r="A50" s="1" t="s">
        <v>39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40</v>
      </c>
      <c r="B51" s="1">
        <v>142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41</v>
      </c>
      <c r="B52" s="1">
        <v>100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131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132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133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134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135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136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42</v>
      </c>
      <c r="B59" s="1" t="s">
        <v>126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43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44</v>
      </c>
      <c r="B61" s="1">
        <v>27.2</v>
      </c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45</v>
      </c>
      <c r="B62" s="1" t="s">
        <v>72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46</v>
      </c>
      <c r="B63" s="1">
        <v>42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47</v>
      </c>
      <c r="B64" s="1">
        <v>48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48</v>
      </c>
      <c r="B65" s="1">
        <v>180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49</v>
      </c>
      <c r="B66" s="1">
        <v>160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50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51</v>
      </c>
      <c r="B68" s="1" t="s">
        <v>73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52</v>
      </c>
      <c r="B69" s="1" t="s">
        <v>73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53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54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55</v>
      </c>
      <c r="B72" s="1">
        <v>2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56</v>
      </c>
      <c r="B73" s="1">
        <v>1</v>
      </c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57</v>
      </c>
      <c r="B74" s="1">
        <v>1</v>
      </c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 t="s">
        <v>58</v>
      </c>
      <c r="B75" s="1">
        <v>3</v>
      </c>
      <c r="C75" s="1"/>
      <c r="D75" s="1"/>
      <c r="E75" s="1"/>
      <c r="F75" s="1"/>
      <c r="G75" s="1"/>
      <c r="H75" s="1"/>
      <c r="I75" s="1"/>
    </row>
    <row r="76" spans="1:10" x14ac:dyDescent="0.3">
      <c r="A76" s="1" t="s">
        <v>59</v>
      </c>
      <c r="B76" s="1" t="s">
        <v>72</v>
      </c>
      <c r="C76" s="1"/>
      <c r="D76" s="1"/>
      <c r="E76" s="1"/>
      <c r="F76" s="1"/>
      <c r="G76" s="1"/>
      <c r="H76" s="1"/>
      <c r="I76" s="1"/>
    </row>
    <row r="77" spans="1:10" x14ac:dyDescent="0.3">
      <c r="A77" s="1" t="s">
        <v>60</v>
      </c>
      <c r="B77" s="1" t="s">
        <v>72</v>
      </c>
      <c r="C77" s="1"/>
      <c r="D77" s="1"/>
      <c r="E77" s="1"/>
      <c r="F77" s="1"/>
      <c r="G77" s="1"/>
      <c r="H77" s="1"/>
      <c r="I77" s="1"/>
    </row>
    <row r="78" spans="1:10" x14ac:dyDescent="0.3">
      <c r="A78" s="1" t="s">
        <v>61</v>
      </c>
      <c r="B78" s="1" t="s">
        <v>72</v>
      </c>
      <c r="C78" s="1"/>
      <c r="D78" s="1"/>
      <c r="E78" s="1"/>
      <c r="F78" s="1"/>
      <c r="G78" s="1"/>
      <c r="H78" s="1"/>
      <c r="I78" s="1"/>
    </row>
    <row r="79" spans="1:10" x14ac:dyDescent="0.3">
      <c r="A79" s="1" t="s">
        <v>62</v>
      </c>
      <c r="B79" s="1">
        <v>1450</v>
      </c>
      <c r="C79" s="1"/>
      <c r="D79" s="1"/>
      <c r="E79" s="1"/>
      <c r="F79" s="1"/>
      <c r="G79" s="1"/>
      <c r="H79" s="1"/>
      <c r="I79" s="1"/>
    </row>
    <row r="80" spans="1:10" x14ac:dyDescent="0.3">
      <c r="A80" s="1" t="s">
        <v>63</v>
      </c>
      <c r="B80" s="1">
        <v>2850</v>
      </c>
      <c r="C80" s="1"/>
      <c r="D80" s="1"/>
      <c r="E80" s="1"/>
      <c r="F80" s="1"/>
      <c r="G80" s="1"/>
      <c r="H80" s="1"/>
      <c r="I80" s="1"/>
    </row>
    <row r="81" spans="1:9" x14ac:dyDescent="0.3">
      <c r="A81" s="1" t="s">
        <v>64</v>
      </c>
      <c r="B81" s="1" t="s">
        <v>72</v>
      </c>
      <c r="C81" s="1"/>
      <c r="D81" s="1"/>
      <c r="E81" s="1"/>
      <c r="F81" s="1"/>
      <c r="G81" s="1"/>
      <c r="H81" s="1"/>
      <c r="I81" s="1"/>
    </row>
    <row r="82" spans="1:9" x14ac:dyDescent="0.3">
      <c r="A82" s="1" t="s">
        <v>65</v>
      </c>
      <c r="B82" s="1" t="s">
        <v>118</v>
      </c>
      <c r="C82" s="1"/>
      <c r="D82" s="1"/>
      <c r="E82" s="1"/>
      <c r="F82" s="1"/>
      <c r="G82" s="1"/>
      <c r="H82" s="1"/>
      <c r="I82" s="1"/>
    </row>
    <row r="83" spans="1:9" x14ac:dyDescent="0.3">
      <c r="A83" t="s">
        <v>119</v>
      </c>
      <c r="B83" t="s">
        <v>120</v>
      </c>
    </row>
  </sheetData>
  <mergeCells count="8">
    <mergeCell ref="R19:R20"/>
    <mergeCell ref="S19:S20"/>
    <mergeCell ref="L19:L20"/>
    <mergeCell ref="M19:M20"/>
    <mergeCell ref="N19:N20"/>
    <mergeCell ref="O19:O20"/>
    <mergeCell ref="P19:P20"/>
    <mergeCell ref="Q19:Q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2025-11-07T14:44:25Z</dcterms:modified>
</cp:coreProperties>
</file>