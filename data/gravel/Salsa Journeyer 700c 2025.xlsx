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8"/>
  <workbookPr/>
  <mc:AlternateContent xmlns:mc="http://schemas.openxmlformats.org/markup-compatibility/2006">
    <mc:Choice Requires="x15">
      <x15ac:absPath xmlns:x15ac="http://schemas.microsoft.com/office/spreadsheetml/2010/11/ac" url="/Users/walker/Documents/Github/Bike Geometry Project/data/gravel incomplete/"/>
    </mc:Choice>
  </mc:AlternateContent>
  <xr:revisionPtr revIDLastSave="0" documentId="13_ncr:1_{B53F44BC-C44A-6643-9B0B-AFC5C77E3B84}" xr6:coauthVersionLast="47" xr6:coauthVersionMax="47" xr10:uidLastSave="{00000000-0000-0000-0000-000000000000}"/>
  <bookViews>
    <workbookView xWindow="12960" yWindow="500" windowWidth="21040" windowHeight="123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5" i="1" l="1"/>
</calcChain>
</file>

<file path=xl/sharedStrings.xml><?xml version="1.0" encoding="utf-8"?>
<sst xmlns="http://schemas.openxmlformats.org/spreadsheetml/2006/main" count="124" uniqueCount="112">
  <si>
    <t>brand</t>
  </si>
  <si>
    <t>Salsa</t>
  </si>
  <si>
    <t>model</t>
  </si>
  <si>
    <t>model_year</t>
  </si>
  <si>
    <t>input_date</t>
  </si>
  <si>
    <t>url</t>
  </si>
  <si>
    <t>https://www.salsacycles.com/collections/journeyer</t>
  </si>
  <si>
    <t>data_range</t>
  </si>
  <si>
    <t>a8:h32</t>
  </si>
  <si>
    <t>frame_size</t>
  </si>
  <si>
    <t>49cm</t>
  </si>
  <si>
    <t>51cm</t>
  </si>
  <si>
    <t>53cm</t>
  </si>
  <si>
    <t>55cm</t>
  </si>
  <si>
    <t>57cm</t>
  </si>
  <si>
    <t>60cm</t>
  </si>
  <si>
    <t>top_tube_effective_length</t>
  </si>
  <si>
    <t>A. Effective Top Tube</t>
  </si>
  <si>
    <t>standover</t>
  </si>
  <si>
    <t>B. Stand Over</t>
  </si>
  <si>
    <t>reach</t>
  </si>
  <si>
    <t>C. Reach</t>
  </si>
  <si>
    <t>stack</t>
  </si>
  <si>
    <t>D. Stack</t>
  </si>
  <si>
    <t>seat_tube_length</t>
  </si>
  <si>
    <t>E. Total Seat Tube Length</t>
  </si>
  <si>
    <t>head_tube_length</t>
  </si>
  <si>
    <t>F. Headtube Length</t>
  </si>
  <si>
    <t>head_tube_angle</t>
  </si>
  <si>
    <t>G. Headtube Angle</t>
  </si>
  <si>
    <t>seat_tube_angle</t>
  </si>
  <si>
    <t>H. Seat Tube Angle</t>
  </si>
  <si>
    <t>bottom_bracket_drop</t>
  </si>
  <si>
    <t>I. BB Drop</t>
  </si>
  <si>
    <t>chainstay_length</t>
  </si>
  <si>
    <t>K. Chainstay Length</t>
  </si>
  <si>
    <t>axle_crown</t>
  </si>
  <si>
    <t>L. Fork Length Axle to Crown</t>
  </si>
  <si>
    <t>fork_offset_rake</t>
  </si>
  <si>
    <t>M. Fork Offset</t>
  </si>
  <si>
    <t>wheelbase</t>
  </si>
  <si>
    <t>N. Wheelbase</t>
  </si>
  <si>
    <t>crank_length</t>
  </si>
  <si>
    <t>Crank Arm Length</t>
  </si>
  <si>
    <t>handlebar_width</t>
  </si>
  <si>
    <t>Handlebar Width</t>
  </si>
  <si>
    <t>stem_length</t>
  </si>
  <si>
    <t>frame_weight</t>
  </si>
  <si>
    <t>wheel_size</t>
  </si>
  <si>
    <t>tire_width_spec</t>
  </si>
  <si>
    <t>tire_width_max</t>
  </si>
  <si>
    <t>rider_min_spec</t>
  </si>
  <si>
    <t>rider_min</t>
  </si>
  <si>
    <t>rider_max_spec</t>
  </si>
  <si>
    <t>rider_max</t>
  </si>
  <si>
    <t>spec_list</t>
  </si>
  <si>
    <t>value</t>
  </si>
  <si>
    <t>material</t>
  </si>
  <si>
    <t>aluminum</t>
  </si>
  <si>
    <t>udh</t>
  </si>
  <si>
    <t>dropout</t>
  </si>
  <si>
    <t>tire_width_max_700c</t>
  </si>
  <si>
    <t>tire_width_max_650b</t>
  </si>
  <si>
    <t>suspension_corrected</t>
  </si>
  <si>
    <t>fork_suspension</t>
  </si>
  <si>
    <t>stem_suspension</t>
  </si>
  <si>
    <t>rear_suspension</t>
  </si>
  <si>
    <t>rear_axle</t>
  </si>
  <si>
    <t>front_axle</t>
  </si>
  <si>
    <t>bottom_bracket</t>
  </si>
  <si>
    <t>q_factor</t>
  </si>
  <si>
    <t>seatpost_diameter</t>
  </si>
  <si>
    <t>front_derailleur</t>
  </si>
  <si>
    <t>max_chainring_1x</t>
  </si>
  <si>
    <t>max_chainring_2x</t>
  </si>
  <si>
    <t>rotor_max_front</t>
  </si>
  <si>
    <t>rotor_max_rear</t>
  </si>
  <si>
    <t>iso_astm</t>
  </si>
  <si>
    <t>routing_shifter</t>
  </si>
  <si>
    <t>routing_dropper</t>
  </si>
  <si>
    <t>routing_dynamo</t>
  </si>
  <si>
    <t>internal_storage</t>
  </si>
  <si>
    <t>mounts_inner</t>
  </si>
  <si>
    <t>mounts_under</t>
  </si>
  <si>
    <t>mounts_top</t>
  </si>
  <si>
    <t>mounts_fork</t>
  </si>
  <si>
    <t>mounts_fender</t>
  </si>
  <si>
    <t>mounts_rack_front</t>
  </si>
  <si>
    <t>mounts_rack_rear</t>
  </si>
  <si>
    <t>frameset</t>
  </si>
  <si>
    <t>base_build</t>
  </si>
  <si>
    <t>custom_builds</t>
  </si>
  <si>
    <t>currency</t>
  </si>
  <si>
    <t>class</t>
  </si>
  <si>
    <t>gravel</t>
  </si>
  <si>
    <t>handlebar</t>
  </si>
  <si>
    <t>fork</t>
  </si>
  <si>
    <t>rigid</t>
  </si>
  <si>
    <t>Journeyer</t>
  </si>
  <si>
    <t>USD</t>
  </si>
  <si>
    <t>both</t>
  </si>
  <si>
    <t>yes</t>
  </si>
  <si>
    <t>Size</t>
  </si>
  <si>
    <t>Recommended Rider Height</t>
  </si>
  <si>
    <t>142.0 - 152.0</t>
  </si>
  <si>
    <t>150.0 - 160.0</t>
  </si>
  <si>
    <t>157.0 - 170.0</t>
  </si>
  <si>
    <t>165.0 - 178.0</t>
  </si>
  <si>
    <t>173.0 - 185.0</t>
  </si>
  <si>
    <t>183.0 - 196.0</t>
  </si>
  <si>
    <t>threaded 68</t>
  </si>
  <si>
    <t>internal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</si>
</sst>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4"/>
      <color rgb="FF000000"/>
      <name val="Futura"/>
    </font>
    <font>
      <sz val="14"/>
      <color rgb="FF000000"/>
      <name val="Futur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72"/>
  <sheetViews>
    <sheetView tabSelected="1" topLeftCell="A30" workbookViewId="0">
      <selection activeCell="B71" sqref="B71"/>
    </sheetView>
  </sheetViews>
  <sheetFormatPr baseColWidth="10" defaultRowHeight="20" x14ac:dyDescent="0.3"/>
  <cols>
    <col min="1" max="2" width="19.6640625" customWidth="1"/>
  </cols>
  <sheetData>
    <row r="1" spans="1:8" x14ac:dyDescent="0.3">
      <c r="A1" t="s">
        <v>0</v>
      </c>
      <c r="B1" t="s">
        <v>1</v>
      </c>
    </row>
    <row r="2" spans="1:8" x14ac:dyDescent="0.3">
      <c r="A2" t="s">
        <v>2</v>
      </c>
      <c r="B2" s="1" t="s">
        <v>98</v>
      </c>
    </row>
    <row r="3" spans="1:8" x14ac:dyDescent="0.3">
      <c r="A3" t="s">
        <v>3</v>
      </c>
      <c r="B3">
        <v>2025</v>
      </c>
    </row>
    <row r="4" spans="1:8" x14ac:dyDescent="0.3">
      <c r="A4" t="s">
        <v>4</v>
      </c>
      <c r="B4" s="2">
        <v>45932</v>
      </c>
    </row>
    <row r="5" spans="1:8" x14ac:dyDescent="0.3">
      <c r="A5" t="s">
        <v>5</v>
      </c>
      <c r="B5" t="s">
        <v>6</v>
      </c>
    </row>
    <row r="7" spans="1:8" x14ac:dyDescent="0.3">
      <c r="A7" t="s">
        <v>7</v>
      </c>
      <c r="B7" t="s">
        <v>8</v>
      </c>
    </row>
    <row r="8" spans="1:8" x14ac:dyDescent="0.3">
      <c r="A8" t="s">
        <v>9</v>
      </c>
      <c r="B8" t="s">
        <v>102</v>
      </c>
      <c r="C8" t="s">
        <v>10</v>
      </c>
      <c r="D8" t="s">
        <v>11</v>
      </c>
      <c r="E8" t="s">
        <v>12</v>
      </c>
      <c r="F8" t="s">
        <v>13</v>
      </c>
      <c r="G8" t="s">
        <v>14</v>
      </c>
      <c r="H8" t="s">
        <v>15</v>
      </c>
    </row>
    <row r="9" spans="1:8" x14ac:dyDescent="0.3">
      <c r="A9" t="s">
        <v>16</v>
      </c>
      <c r="B9" t="s">
        <v>17</v>
      </c>
      <c r="C9">
        <v>493</v>
      </c>
      <c r="D9">
        <v>510</v>
      </c>
      <c r="E9">
        <v>530</v>
      </c>
      <c r="F9">
        <v>550</v>
      </c>
      <c r="G9">
        <v>570</v>
      </c>
      <c r="H9">
        <v>600</v>
      </c>
    </row>
    <row r="10" spans="1:8" x14ac:dyDescent="0.3">
      <c r="A10" t="s">
        <v>18</v>
      </c>
      <c r="B10" t="s">
        <v>19</v>
      </c>
      <c r="C10">
        <v>613.5</v>
      </c>
      <c r="D10">
        <v>648.5</v>
      </c>
      <c r="E10">
        <v>684.5</v>
      </c>
      <c r="F10">
        <v>720.5</v>
      </c>
      <c r="G10">
        <v>756.5</v>
      </c>
      <c r="H10">
        <v>803.5</v>
      </c>
    </row>
    <row r="11" spans="1:8" x14ac:dyDescent="0.3">
      <c r="A11" t="s">
        <v>20</v>
      </c>
      <c r="B11" t="s">
        <v>21</v>
      </c>
      <c r="C11">
        <v>366</v>
      </c>
      <c r="D11">
        <v>368</v>
      </c>
      <c r="E11">
        <v>372</v>
      </c>
      <c r="F11">
        <v>376</v>
      </c>
      <c r="G11">
        <v>387</v>
      </c>
      <c r="H11">
        <v>408</v>
      </c>
    </row>
    <row r="12" spans="1:8" x14ac:dyDescent="0.3">
      <c r="A12" t="s">
        <v>22</v>
      </c>
      <c r="B12" t="s">
        <v>23</v>
      </c>
      <c r="C12">
        <v>510</v>
      </c>
      <c r="D12">
        <v>528</v>
      </c>
      <c r="E12">
        <v>552</v>
      </c>
      <c r="F12">
        <v>570</v>
      </c>
      <c r="G12">
        <v>598</v>
      </c>
      <c r="H12">
        <v>627</v>
      </c>
    </row>
    <row r="13" spans="1:8" x14ac:dyDescent="0.3">
      <c r="A13" t="s">
        <v>24</v>
      </c>
      <c r="B13" t="s">
        <v>25</v>
      </c>
      <c r="C13">
        <v>340</v>
      </c>
      <c r="D13">
        <v>380</v>
      </c>
      <c r="E13">
        <v>410</v>
      </c>
      <c r="F13">
        <v>450</v>
      </c>
      <c r="G13">
        <v>490</v>
      </c>
      <c r="H13">
        <v>520</v>
      </c>
    </row>
    <row r="14" spans="1:8" x14ac:dyDescent="0.3">
      <c r="A14" t="s">
        <v>26</v>
      </c>
      <c r="B14" t="s">
        <v>27</v>
      </c>
      <c r="C14">
        <v>90</v>
      </c>
      <c r="D14">
        <v>105</v>
      </c>
      <c r="E14">
        <v>130</v>
      </c>
      <c r="F14">
        <v>150</v>
      </c>
      <c r="G14">
        <v>180</v>
      </c>
      <c r="H14">
        <v>210</v>
      </c>
    </row>
    <row r="15" spans="1:8" x14ac:dyDescent="0.3">
      <c r="A15" t="s">
        <v>28</v>
      </c>
      <c r="B15" t="s">
        <v>29</v>
      </c>
      <c r="C15">
        <v>68.5</v>
      </c>
      <c r="D15">
        <v>69.5</v>
      </c>
      <c r="E15">
        <v>69.5</v>
      </c>
      <c r="F15">
        <v>69.5</v>
      </c>
      <c r="G15">
        <v>69.5</v>
      </c>
      <c r="H15">
        <v>69.5</v>
      </c>
    </row>
    <row r="16" spans="1:8" x14ac:dyDescent="0.3">
      <c r="A16" t="s">
        <v>30</v>
      </c>
      <c r="B16" t="s">
        <v>31</v>
      </c>
      <c r="C16">
        <v>76</v>
      </c>
      <c r="D16">
        <v>75</v>
      </c>
      <c r="E16">
        <v>74</v>
      </c>
      <c r="F16">
        <v>73</v>
      </c>
      <c r="G16">
        <v>73</v>
      </c>
      <c r="H16">
        <v>73</v>
      </c>
    </row>
    <row r="17" spans="1:8" x14ac:dyDescent="0.3">
      <c r="A17" t="s">
        <v>32</v>
      </c>
      <c r="B17" t="s">
        <v>33</v>
      </c>
      <c r="C17">
        <v>70</v>
      </c>
      <c r="D17">
        <v>70</v>
      </c>
      <c r="E17">
        <v>70</v>
      </c>
      <c r="F17">
        <v>70</v>
      </c>
      <c r="G17">
        <v>70</v>
      </c>
      <c r="H17">
        <v>70</v>
      </c>
    </row>
    <row r="18" spans="1:8" x14ac:dyDescent="0.3">
      <c r="A18" t="s">
        <v>34</v>
      </c>
      <c r="B18" t="s">
        <v>35</v>
      </c>
      <c r="C18">
        <v>440</v>
      </c>
      <c r="D18">
        <v>440</v>
      </c>
      <c r="E18">
        <v>440</v>
      </c>
      <c r="F18">
        <v>440</v>
      </c>
      <c r="G18">
        <v>440</v>
      </c>
      <c r="H18">
        <v>440</v>
      </c>
    </row>
    <row r="19" spans="1:8" x14ac:dyDescent="0.3">
      <c r="A19" t="s">
        <v>36</v>
      </c>
      <c r="B19" t="s">
        <v>37</v>
      </c>
      <c r="C19">
        <v>402</v>
      </c>
      <c r="D19">
        <v>402</v>
      </c>
      <c r="E19">
        <v>402</v>
      </c>
      <c r="F19">
        <v>402</v>
      </c>
      <c r="G19">
        <v>402</v>
      </c>
      <c r="H19">
        <v>402</v>
      </c>
    </row>
    <row r="20" spans="1:8" x14ac:dyDescent="0.3">
      <c r="A20" t="s">
        <v>38</v>
      </c>
      <c r="B20" t="s">
        <v>39</v>
      </c>
      <c r="C20">
        <v>50</v>
      </c>
      <c r="D20">
        <v>50</v>
      </c>
      <c r="E20">
        <v>50</v>
      </c>
      <c r="F20">
        <v>50</v>
      </c>
      <c r="G20">
        <v>50</v>
      </c>
      <c r="H20">
        <v>50</v>
      </c>
    </row>
    <row r="21" spans="1:8" x14ac:dyDescent="0.3">
      <c r="A21" t="s">
        <v>40</v>
      </c>
      <c r="B21" t="s">
        <v>41</v>
      </c>
      <c r="C21">
        <v>1027</v>
      </c>
      <c r="D21">
        <v>1028</v>
      </c>
      <c r="E21">
        <v>1040</v>
      </c>
      <c r="F21">
        <v>1050</v>
      </c>
      <c r="G21">
        <v>1072</v>
      </c>
      <c r="H21">
        <v>1104</v>
      </c>
    </row>
    <row r="22" spans="1:8" x14ac:dyDescent="0.3">
      <c r="A22" t="s">
        <v>42</v>
      </c>
      <c r="B22" t="s">
        <v>43</v>
      </c>
    </row>
    <row r="23" spans="1:8" x14ac:dyDescent="0.3">
      <c r="A23" t="s">
        <v>44</v>
      </c>
      <c r="B23" t="s">
        <v>45</v>
      </c>
    </row>
    <row r="24" spans="1:8" x14ac:dyDescent="0.3">
      <c r="A24" t="s">
        <v>46</v>
      </c>
    </row>
    <row r="25" spans="1:8" x14ac:dyDescent="0.3">
      <c r="A25" t="s">
        <v>47</v>
      </c>
      <c r="F25">
        <f>5/2.205*1000</f>
        <v>2267.5736961451248</v>
      </c>
    </row>
    <row r="26" spans="1:8" x14ac:dyDescent="0.3">
      <c r="A26" t="s">
        <v>48</v>
      </c>
      <c r="B26" t="s">
        <v>48</v>
      </c>
      <c r="C26">
        <v>700</v>
      </c>
      <c r="D26">
        <v>700</v>
      </c>
      <c r="E26">
        <v>700</v>
      </c>
      <c r="F26">
        <v>700</v>
      </c>
      <c r="G26">
        <v>700</v>
      </c>
      <c r="H26">
        <v>700</v>
      </c>
    </row>
    <row r="27" spans="1:8" x14ac:dyDescent="0.3">
      <c r="A27" t="s">
        <v>49</v>
      </c>
      <c r="B27" t="s">
        <v>49</v>
      </c>
      <c r="C27">
        <v>38</v>
      </c>
      <c r="D27">
        <v>45</v>
      </c>
      <c r="E27">
        <v>45</v>
      </c>
      <c r="F27">
        <v>45</v>
      </c>
      <c r="G27">
        <v>45</v>
      </c>
      <c r="H27">
        <v>45</v>
      </c>
    </row>
    <row r="28" spans="1:8" x14ac:dyDescent="0.3">
      <c r="A28" t="s">
        <v>50</v>
      </c>
      <c r="B28" t="s">
        <v>50</v>
      </c>
      <c r="C28">
        <v>50</v>
      </c>
      <c r="D28">
        <v>50</v>
      </c>
      <c r="E28">
        <v>50</v>
      </c>
      <c r="F28">
        <v>50</v>
      </c>
      <c r="G28">
        <v>50</v>
      </c>
      <c r="H28">
        <v>50</v>
      </c>
    </row>
    <row r="29" spans="1:8" x14ac:dyDescent="0.3">
      <c r="A29" t="s">
        <v>51</v>
      </c>
      <c r="B29" t="s">
        <v>52</v>
      </c>
      <c r="C29">
        <v>142</v>
      </c>
      <c r="D29">
        <v>150</v>
      </c>
      <c r="E29">
        <v>157</v>
      </c>
      <c r="F29">
        <v>165</v>
      </c>
      <c r="G29">
        <v>173</v>
      </c>
      <c r="H29">
        <v>183</v>
      </c>
    </row>
    <row r="30" spans="1:8" x14ac:dyDescent="0.3">
      <c r="A30" t="s">
        <v>53</v>
      </c>
      <c r="B30" t="s">
        <v>54</v>
      </c>
      <c r="C30">
        <v>152</v>
      </c>
      <c r="D30">
        <v>160</v>
      </c>
      <c r="E30">
        <v>170</v>
      </c>
      <c r="F30">
        <v>178</v>
      </c>
      <c r="G30">
        <v>185</v>
      </c>
      <c r="H30">
        <v>196</v>
      </c>
    </row>
    <row r="31" spans="1:8" x14ac:dyDescent="0.3">
      <c r="A31" t="s">
        <v>52</v>
      </c>
      <c r="B31" t="s">
        <v>52</v>
      </c>
      <c r="C31">
        <v>142</v>
      </c>
      <c r="D31">
        <v>150</v>
      </c>
      <c r="E31">
        <v>157</v>
      </c>
      <c r="F31">
        <v>165</v>
      </c>
      <c r="G31">
        <v>173</v>
      </c>
      <c r="H31">
        <v>183</v>
      </c>
    </row>
    <row r="32" spans="1:8" x14ac:dyDescent="0.3">
      <c r="A32" t="s">
        <v>54</v>
      </c>
      <c r="B32" t="s">
        <v>54</v>
      </c>
      <c r="C32">
        <v>152</v>
      </c>
      <c r="D32">
        <v>160</v>
      </c>
      <c r="E32">
        <v>170</v>
      </c>
      <c r="F32">
        <v>178</v>
      </c>
      <c r="G32">
        <v>185</v>
      </c>
      <c r="H32">
        <v>196</v>
      </c>
    </row>
    <row r="33" spans="1:9" x14ac:dyDescent="0.3">
      <c r="C33" t="s">
        <v>104</v>
      </c>
      <c r="D33" t="s">
        <v>105</v>
      </c>
      <c r="E33" t="s">
        <v>106</v>
      </c>
      <c r="F33" t="s">
        <v>107</v>
      </c>
      <c r="G33" t="s">
        <v>108</v>
      </c>
      <c r="H33" t="s">
        <v>109</v>
      </c>
      <c r="I33" t="s">
        <v>103</v>
      </c>
    </row>
    <row r="34" spans="1:9" x14ac:dyDescent="0.3">
      <c r="A34" t="s">
        <v>55</v>
      </c>
      <c r="B34" t="s">
        <v>56</v>
      </c>
    </row>
    <row r="35" spans="1:9" x14ac:dyDescent="0.3">
      <c r="A35" t="s">
        <v>93</v>
      </c>
      <c r="B35" t="s">
        <v>94</v>
      </c>
    </row>
    <row r="36" spans="1:9" x14ac:dyDescent="0.3">
      <c r="A36" t="s">
        <v>95</v>
      </c>
      <c r="B36" s="1" t="s">
        <v>100</v>
      </c>
    </row>
    <row r="37" spans="1:9" x14ac:dyDescent="0.3">
      <c r="A37" t="s">
        <v>96</v>
      </c>
      <c r="B37" t="s">
        <v>97</v>
      </c>
    </row>
    <row r="38" spans="1:9" x14ac:dyDescent="0.3">
      <c r="A38" t="s">
        <v>57</v>
      </c>
      <c r="B38" t="s">
        <v>58</v>
      </c>
    </row>
    <row r="39" spans="1:9" x14ac:dyDescent="0.3">
      <c r="A39" t="s">
        <v>59</v>
      </c>
      <c r="B39" s="1" t="s">
        <v>101</v>
      </c>
    </row>
    <row r="40" spans="1:9" x14ac:dyDescent="0.3">
      <c r="A40" t="s">
        <v>60</v>
      </c>
    </row>
    <row r="41" spans="1:9" x14ac:dyDescent="0.3">
      <c r="A41" t="s">
        <v>61</v>
      </c>
      <c r="B41">
        <v>50</v>
      </c>
    </row>
    <row r="42" spans="1:9" x14ac:dyDescent="0.3">
      <c r="A42" t="s">
        <v>62</v>
      </c>
      <c r="B42">
        <v>50</v>
      </c>
    </row>
    <row r="43" spans="1:9" x14ac:dyDescent="0.3">
      <c r="A43" t="s">
        <v>63</v>
      </c>
    </row>
    <row r="44" spans="1:9" x14ac:dyDescent="0.3">
      <c r="A44" t="s">
        <v>64</v>
      </c>
    </row>
    <row r="45" spans="1:9" x14ac:dyDescent="0.3">
      <c r="A45" t="s">
        <v>65</v>
      </c>
    </row>
    <row r="46" spans="1:9" x14ac:dyDescent="0.3">
      <c r="A46" t="s">
        <v>66</v>
      </c>
    </row>
    <row r="47" spans="1:9" x14ac:dyDescent="0.3">
      <c r="A47" t="s">
        <v>67</v>
      </c>
      <c r="B47">
        <v>142</v>
      </c>
    </row>
    <row r="48" spans="1:9" x14ac:dyDescent="0.3">
      <c r="A48" t="s">
        <v>68</v>
      </c>
      <c r="B48">
        <v>100</v>
      </c>
    </row>
    <row r="49" spans="1:2" x14ac:dyDescent="0.3">
      <c r="A49" t="s">
        <v>69</v>
      </c>
      <c r="B49" s="1" t="s">
        <v>110</v>
      </c>
    </row>
    <row r="50" spans="1:2" x14ac:dyDescent="0.3">
      <c r="A50" t="s">
        <v>70</v>
      </c>
    </row>
    <row r="51" spans="1:2" x14ac:dyDescent="0.3">
      <c r="A51" t="s">
        <v>71</v>
      </c>
      <c r="B51">
        <v>27.2</v>
      </c>
    </row>
    <row r="52" spans="1:2" x14ac:dyDescent="0.3">
      <c r="A52" t="s">
        <v>72</v>
      </c>
      <c r="B52" s="1" t="s">
        <v>101</v>
      </c>
    </row>
    <row r="53" spans="1:2" x14ac:dyDescent="0.3">
      <c r="A53" t="s">
        <v>73</v>
      </c>
      <c r="B53">
        <v>42</v>
      </c>
    </row>
    <row r="54" spans="1:2" x14ac:dyDescent="0.3">
      <c r="A54" t="s">
        <v>74</v>
      </c>
      <c r="B54">
        <v>48</v>
      </c>
    </row>
    <row r="55" spans="1:2" x14ac:dyDescent="0.3">
      <c r="A55" t="s">
        <v>75</v>
      </c>
    </row>
    <row r="56" spans="1:2" x14ac:dyDescent="0.3">
      <c r="A56" t="s">
        <v>76</v>
      </c>
    </row>
    <row r="57" spans="1:2" x14ac:dyDescent="0.3">
      <c r="A57" t="s">
        <v>77</v>
      </c>
    </row>
    <row r="58" spans="1:2" x14ac:dyDescent="0.3">
      <c r="A58" t="s">
        <v>78</v>
      </c>
      <c r="B58" s="1" t="s">
        <v>111</v>
      </c>
    </row>
    <row r="59" spans="1:2" x14ac:dyDescent="0.3">
      <c r="A59" t="s">
        <v>79</v>
      </c>
      <c r="B59" s="1" t="s">
        <v>111</v>
      </c>
    </row>
    <row r="60" spans="1:2" x14ac:dyDescent="0.3">
      <c r="A60" t="s">
        <v>80</v>
      </c>
    </row>
    <row r="61" spans="1:2" x14ac:dyDescent="0.3">
      <c r="A61" t="s">
        <v>81</v>
      </c>
    </row>
    <row r="62" spans="1:2" x14ac:dyDescent="0.3">
      <c r="A62" t="s">
        <v>82</v>
      </c>
      <c r="B62">
        <v>2</v>
      </c>
    </row>
    <row r="63" spans="1:2" x14ac:dyDescent="0.3">
      <c r="A63" t="s">
        <v>83</v>
      </c>
      <c r="B63">
        <v>1</v>
      </c>
    </row>
    <row r="64" spans="1:2" x14ac:dyDescent="0.3">
      <c r="A64" t="s">
        <v>84</v>
      </c>
      <c r="B64">
        <v>1</v>
      </c>
    </row>
    <row r="65" spans="1:2" x14ac:dyDescent="0.3">
      <c r="A65" t="s">
        <v>85</v>
      </c>
      <c r="B65">
        <v>3</v>
      </c>
    </row>
    <row r="66" spans="1:2" x14ac:dyDescent="0.3">
      <c r="A66" t="s">
        <v>86</v>
      </c>
      <c r="B66" s="1" t="s">
        <v>101</v>
      </c>
    </row>
    <row r="67" spans="1:2" x14ac:dyDescent="0.3">
      <c r="A67" t="s">
        <v>87</v>
      </c>
      <c r="B67" s="1" t="s">
        <v>101</v>
      </c>
    </row>
    <row r="68" spans="1:2" x14ac:dyDescent="0.3">
      <c r="A68" t="s">
        <v>88</v>
      </c>
      <c r="B68" s="1" t="s">
        <v>101</v>
      </c>
    </row>
    <row r="69" spans="1:2" x14ac:dyDescent="0.3">
      <c r="A69" t="s">
        <v>89</v>
      </c>
      <c r="B69">
        <v>799</v>
      </c>
    </row>
    <row r="70" spans="1:2" x14ac:dyDescent="0.3">
      <c r="A70" t="s">
        <v>90</v>
      </c>
      <c r="B70">
        <v>1299</v>
      </c>
    </row>
    <row r="71" spans="1:2" x14ac:dyDescent="0.3">
      <c r="A71" t="s">
        <v>91</v>
      </c>
    </row>
    <row r="72" spans="1:2" x14ac:dyDescent="0.3">
      <c r="A72" t="s">
        <v>92</v>
      </c>
      <c r="B72" s="1" t="s">
        <v>99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walker</dc:creator>
  <cp:lastModifiedBy>Jeffrey A Walker</cp:lastModifiedBy>
  <dcterms:created xsi:type="dcterms:W3CDTF">2025-07-26T17:59:07Z</dcterms:created>
  <dcterms:modified xsi:type="dcterms:W3CDTF">2025-10-02T12:50:39Z</dcterms:modified>
</cp:coreProperties>
</file>