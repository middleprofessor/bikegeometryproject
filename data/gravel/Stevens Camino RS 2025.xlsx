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75B7FCE-F5B8-2E42-9626-67491222E860}" xr6:coauthVersionLast="47" xr6:coauthVersionMax="47" xr10:uidLastSave="{00000000-0000-0000-0000-000000000000}"/>
  <bookViews>
    <workbookView xWindow="2440" yWindow="12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E36" i="1"/>
  <c r="F36" i="1"/>
  <c r="G36" i="1"/>
  <c r="H36" i="1"/>
  <c r="C36" i="1"/>
</calcChain>
</file>

<file path=xl/sharedStrings.xml><?xml version="1.0" encoding="utf-8"?>
<sst xmlns="http://schemas.openxmlformats.org/spreadsheetml/2006/main" count="150" uniqueCount="142">
  <si>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</si>
  <si>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</si>
  <si>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</si>
  <si>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</si>
  <si>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</si>
  <si>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</si>
  <si>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</si>
  <si>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</si>
  <si>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seat_tube_length</t>
  </si>
  <si>
    <t>head_tube_angle</t>
  </si>
  <si>
    <t>seat_tube_angle</t>
  </si>
  <si>
    <t>head_tube_length</t>
  </si>
  <si>
    <t>bottom_bracket_drop</t>
  </si>
  <si>
    <t>wheelbase</t>
  </si>
  <si>
    <t>fork_offset_rake</t>
  </si>
  <si>
    <t>axle_crown</t>
  </si>
  <si>
    <t>standover</t>
  </si>
  <si>
    <t>stack</t>
  </si>
  <si>
    <t>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</si>
  <si>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</si>
  <si>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</si>
  <si>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</si>
  <si>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</si>
  <si>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</si>
  <si>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</si>
  <si>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</si>
  <si>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</si>
  <si>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</si>
  <si>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</si>
  <si>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</si>
  <si>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</si>
  <si>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</si>
  <si>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</si>
  <si>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</si>
  <si>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</si>
  <si>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</si>
  <si>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</si>
  <si>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</si>
  <si>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</si>
  <si>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</si>
  <si>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</si>
  <si>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</si>
  <si>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</si>
  <si>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</si>
  <si>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</si>
  <si>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</si>
  <si>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</si>
  <si>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</si>
  <si>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</si>
  <si>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</si>
  <si>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</si>
  <si>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</si>
  <si>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</si>
  <si>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</si>
  <si>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</si>
  <si>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</si>
  <si>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</si>
  <si>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</si>
  <si>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</si>
  <si>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</si>
  <si>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</si>
  <si>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</si>
  <si>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</si>
  <si>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</si>
  <si>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</si>
  <si>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</si>
  <si>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</si>
  <si>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</si>
  <si>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</si>
  <si>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</si>
  <si>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</si>
  <si>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</si>
  <si>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</si>
  <si>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</si>
  <si>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</si>
  <si>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</si>
  <si>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</si>
  <si>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</si>
  <si>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</si>
  <si>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</si>
  <si>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</si>
  <si>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Stevens</t>
  </si>
  <si>
    <t>Measuring mode</t>
  </si>
  <si>
    <t>nominal</t>
  </si>
  <si>
    <t>bottom bracket to top of seattube</t>
  </si>
  <si>
    <t>bottom bracket to top of top tube</t>
  </si>
  <si>
    <t>center headtube to center seatpost/seattube</t>
  </si>
  <si>
    <t>top tube level distance front to rear</t>
  </si>
  <si>
    <t>standover height minus bottom bracket height</t>
  </si>
  <si>
    <t>ratio stack to reach</t>
  </si>
  <si>
    <t>Seatpost diameter</t>
  </si>
  <si>
    <t>Stem length</t>
  </si>
  <si>
    <t>center-center</t>
  </si>
  <si>
    <t>Handlebar diameter</t>
  </si>
  <si>
    <t>Assembled spacers</t>
  </si>
  <si>
    <t>Handlebar width</t>
  </si>
  <si>
    <t>Cranklength</t>
  </si>
  <si>
    <t>Stack/Reach (1:x)</t>
  </si>
  <si>
    <t>Stem angle (°)</t>
  </si>
  <si>
    <t>Seattube length A1</t>
  </si>
  <si>
    <t>Seattube length A2</t>
  </si>
  <si>
    <t>Seattube length A3</t>
  </si>
  <si>
    <t>Top tube length B</t>
  </si>
  <si>
    <t>Top tube horizontal C</t>
  </si>
  <si>
    <t>Headtube angle (°) D</t>
  </si>
  <si>
    <t>Seattube angle (°) E</t>
  </si>
  <si>
    <t>Wheelbase F</t>
  </si>
  <si>
    <t>Chainstay length G</t>
  </si>
  <si>
    <t>Headtube length H</t>
  </si>
  <si>
    <t>Fork rake L</t>
  </si>
  <si>
    <t>Slope M</t>
  </si>
  <si>
    <t>Top tube height O1</t>
  </si>
  <si>
    <t>Front wheel - bottom bracket Q</t>
  </si>
  <si>
    <t>Reach R</t>
  </si>
  <si>
    <t>seat_tube_length_effective</t>
  </si>
  <si>
    <t>seat_tube_cc</t>
  </si>
  <si>
    <t>top_tube_length_actual</t>
  </si>
  <si>
    <t>slope</t>
  </si>
  <si>
    <t>front_center</t>
  </si>
  <si>
    <t>stack_reach</t>
  </si>
  <si>
    <t>seatpost_d</t>
  </si>
  <si>
    <t>stem_angle</t>
  </si>
  <si>
    <t>handlebar_d</t>
  </si>
  <si>
    <t>spacers</t>
  </si>
  <si>
    <t>IS52/28.6</t>
  </si>
  <si>
    <t>IS52/40</t>
  </si>
  <si>
    <t>EUR</t>
  </si>
  <si>
    <t>Hamburg, Germany</t>
  </si>
  <si>
    <t>a8:h42</t>
  </si>
  <si>
    <t>https://www.stevensbikes.de/en/de/camino/</t>
  </si>
  <si>
    <t>tyred</t>
  </si>
  <si>
    <t>center bottom bracket to center headtube. horizontal</t>
  </si>
  <si>
    <t>center bottom bracket to center headtube. vertical</t>
  </si>
  <si>
    <t>Wheel radius front N1</t>
  </si>
  <si>
    <t>Wheel radius rear N2</t>
  </si>
  <si>
    <t>wheel_radius_n1</t>
  </si>
  <si>
    <t>wheel_radius_n2</t>
  </si>
  <si>
    <t>internal</t>
  </si>
  <si>
    <t>Camino RS</t>
  </si>
  <si>
    <t>https://stevensbikes.de/2026/img/slider_res/Camino%20RS%20Pro%20AXS_nightstone_56_MY26_even.jpg</t>
  </si>
  <si>
    <t>Frame height (cm)</t>
  </si>
  <si>
    <t xml:space="preserve">Stack 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</si>
</sst>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topLeftCell="A49" zoomScaleNormal="100" workbookViewId="0">
      <selection activeCell="A36" sqref="A36:XFD37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81</v>
      </c>
    </row>
    <row r="2" spans="1:9" x14ac:dyDescent="0.3">
      <c r="A2" t="s">
        <v>1</v>
      </c>
      <c r="B2" s="1" t="s">
        <v>138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45982</v>
      </c>
    </row>
    <row r="5" spans="1:9" x14ac:dyDescent="0.3">
      <c r="A5" t="s">
        <v>4</v>
      </c>
      <c r="B5" t="s">
        <v>129</v>
      </c>
    </row>
    <row r="6" spans="1:9" x14ac:dyDescent="0.3">
      <c r="B6" t="s">
        <v>139</v>
      </c>
    </row>
    <row r="7" spans="1:9" x14ac:dyDescent="0.3">
      <c r="A7" t="s">
        <v>5</v>
      </c>
      <c r="B7" s="1" t="s">
        <v>128</v>
      </c>
    </row>
    <row r="8" spans="1:9" x14ac:dyDescent="0.3">
      <c r="A8" t="s">
        <v>6</v>
      </c>
      <c r="B8" s="1" t="s">
        <v>140</v>
      </c>
      <c r="C8">
        <v>48</v>
      </c>
      <c r="D8">
        <v>51</v>
      </c>
      <c r="E8">
        <v>54</v>
      </c>
      <c r="F8">
        <v>56</v>
      </c>
      <c r="G8">
        <v>58</v>
      </c>
      <c r="H8">
        <v>61</v>
      </c>
      <c r="I8" t="s">
        <v>82</v>
      </c>
    </row>
    <row r="9" spans="1:9" x14ac:dyDescent="0.3">
      <c r="A9" s="1" t="s">
        <v>114</v>
      </c>
      <c r="B9" t="s">
        <v>99</v>
      </c>
      <c r="C9">
        <v>551</v>
      </c>
      <c r="D9">
        <v>572</v>
      </c>
      <c r="E9">
        <v>595</v>
      </c>
      <c r="F9">
        <v>616</v>
      </c>
      <c r="G9">
        <v>638</v>
      </c>
      <c r="H9">
        <v>660</v>
      </c>
      <c r="I9" t="s">
        <v>83</v>
      </c>
    </row>
    <row r="10" spans="1:9" x14ac:dyDescent="0.3">
      <c r="A10" t="s">
        <v>8</v>
      </c>
      <c r="B10" t="s">
        <v>100</v>
      </c>
      <c r="C10">
        <v>430</v>
      </c>
      <c r="D10">
        <v>460</v>
      </c>
      <c r="E10">
        <v>490</v>
      </c>
      <c r="F10">
        <v>520</v>
      </c>
      <c r="G10">
        <v>550</v>
      </c>
      <c r="H10">
        <v>580</v>
      </c>
      <c r="I10" t="s">
        <v>84</v>
      </c>
    </row>
    <row r="11" spans="1:9" x14ac:dyDescent="0.3">
      <c r="A11" s="1" t="s">
        <v>115</v>
      </c>
      <c r="B11" t="s">
        <v>101</v>
      </c>
      <c r="C11">
        <v>430</v>
      </c>
      <c r="D11">
        <v>460</v>
      </c>
      <c r="E11">
        <v>490</v>
      </c>
      <c r="F11">
        <v>520</v>
      </c>
      <c r="G11">
        <v>550</v>
      </c>
      <c r="H11">
        <v>580</v>
      </c>
      <c r="I11" t="s">
        <v>85</v>
      </c>
    </row>
    <row r="12" spans="1:9" x14ac:dyDescent="0.3">
      <c r="A12" s="1" t="s">
        <v>116</v>
      </c>
      <c r="B12" t="s">
        <v>102</v>
      </c>
      <c r="C12">
        <v>501</v>
      </c>
      <c r="D12">
        <v>520</v>
      </c>
      <c r="E12">
        <v>542</v>
      </c>
      <c r="F12">
        <v>564</v>
      </c>
      <c r="G12">
        <v>588</v>
      </c>
      <c r="H12">
        <v>611</v>
      </c>
    </row>
    <row r="13" spans="1:9" x14ac:dyDescent="0.3">
      <c r="A13" t="s">
        <v>7</v>
      </c>
      <c r="B13" t="s">
        <v>103</v>
      </c>
      <c r="C13">
        <v>515</v>
      </c>
      <c r="D13">
        <v>537</v>
      </c>
      <c r="E13">
        <v>559</v>
      </c>
      <c r="F13">
        <v>581</v>
      </c>
      <c r="G13">
        <v>603</v>
      </c>
      <c r="H13">
        <v>625</v>
      </c>
      <c r="I13" t="s">
        <v>86</v>
      </c>
    </row>
    <row r="14" spans="1:9" x14ac:dyDescent="0.3">
      <c r="A14" t="s">
        <v>9</v>
      </c>
      <c r="B14" t="s">
        <v>104</v>
      </c>
      <c r="C14">
        <v>70</v>
      </c>
      <c r="D14">
        <v>71</v>
      </c>
      <c r="E14">
        <v>71.5</v>
      </c>
      <c r="F14">
        <v>71.5</v>
      </c>
      <c r="G14">
        <v>72</v>
      </c>
      <c r="H14">
        <v>72</v>
      </c>
    </row>
    <row r="15" spans="1:9" x14ac:dyDescent="0.3">
      <c r="A15" t="s">
        <v>10</v>
      </c>
      <c r="B15" t="s">
        <v>105</v>
      </c>
      <c r="C15">
        <v>75.5</v>
      </c>
      <c r="D15">
        <v>74.5</v>
      </c>
      <c r="E15">
        <v>74</v>
      </c>
      <c r="F15">
        <v>73.5</v>
      </c>
      <c r="G15">
        <v>73.5</v>
      </c>
      <c r="H15">
        <v>73</v>
      </c>
    </row>
    <row r="16" spans="1:9" x14ac:dyDescent="0.3">
      <c r="A16" t="s">
        <v>13</v>
      </c>
      <c r="B16" t="s">
        <v>106</v>
      </c>
      <c r="C16">
        <v>1018</v>
      </c>
      <c r="D16">
        <v>1022</v>
      </c>
      <c r="E16">
        <v>1035</v>
      </c>
      <c r="F16">
        <v>1052</v>
      </c>
      <c r="G16">
        <v>1070</v>
      </c>
      <c r="H16">
        <v>1086</v>
      </c>
    </row>
    <row r="17" spans="1:9" x14ac:dyDescent="0.3">
      <c r="A17" t="s">
        <v>19</v>
      </c>
      <c r="B17" t="s">
        <v>107</v>
      </c>
      <c r="C17">
        <v>425</v>
      </c>
      <c r="D17">
        <v>425</v>
      </c>
      <c r="E17">
        <v>425</v>
      </c>
      <c r="F17">
        <v>425</v>
      </c>
      <c r="G17">
        <v>425</v>
      </c>
      <c r="H17">
        <v>425</v>
      </c>
    </row>
    <row r="18" spans="1:9" x14ac:dyDescent="0.3">
      <c r="A18" t="s">
        <v>11</v>
      </c>
      <c r="B18" t="s">
        <v>108</v>
      </c>
      <c r="C18">
        <v>110</v>
      </c>
      <c r="D18">
        <v>125</v>
      </c>
      <c r="E18">
        <v>145</v>
      </c>
      <c r="F18">
        <v>165</v>
      </c>
      <c r="G18">
        <v>185</v>
      </c>
      <c r="H18">
        <v>205</v>
      </c>
    </row>
    <row r="19" spans="1:9" x14ac:dyDescent="0.3">
      <c r="A19" t="s">
        <v>14</v>
      </c>
      <c r="B19" t="s">
        <v>109</v>
      </c>
      <c r="C19">
        <v>55</v>
      </c>
      <c r="D19">
        <v>55</v>
      </c>
      <c r="E19">
        <v>55</v>
      </c>
      <c r="F19">
        <v>55</v>
      </c>
      <c r="G19">
        <v>55</v>
      </c>
      <c r="H19">
        <v>55</v>
      </c>
    </row>
    <row r="20" spans="1:9" x14ac:dyDescent="0.3">
      <c r="A20" s="1" t="s">
        <v>117</v>
      </c>
      <c r="B20" t="s">
        <v>110</v>
      </c>
      <c r="C20">
        <v>110</v>
      </c>
      <c r="D20">
        <v>96</v>
      </c>
      <c r="E20">
        <v>89</v>
      </c>
      <c r="F20">
        <v>80</v>
      </c>
      <c r="G20">
        <v>72</v>
      </c>
      <c r="H20">
        <v>64</v>
      </c>
      <c r="I20" t="s">
        <v>87</v>
      </c>
    </row>
    <row r="21" spans="1:9" x14ac:dyDescent="0.3">
      <c r="A21" s="1" t="s">
        <v>135</v>
      </c>
      <c r="B21" t="s">
        <v>133</v>
      </c>
      <c r="C21">
        <v>354</v>
      </c>
      <c r="D21">
        <v>354</v>
      </c>
      <c r="E21">
        <v>354</v>
      </c>
      <c r="F21">
        <v>354</v>
      </c>
      <c r="G21">
        <v>354</v>
      </c>
      <c r="H21">
        <v>354</v>
      </c>
      <c r="I21" t="s">
        <v>130</v>
      </c>
    </row>
    <row r="22" spans="1:9" x14ac:dyDescent="0.3">
      <c r="A22" s="1" t="s">
        <v>136</v>
      </c>
      <c r="B22" t="s">
        <v>134</v>
      </c>
      <c r="C22">
        <v>354</v>
      </c>
      <c r="D22">
        <v>354</v>
      </c>
      <c r="E22">
        <v>354</v>
      </c>
      <c r="F22">
        <v>354</v>
      </c>
      <c r="G22">
        <v>354</v>
      </c>
      <c r="H22">
        <v>354</v>
      </c>
      <c r="I22" t="s">
        <v>130</v>
      </c>
    </row>
    <row r="23" spans="1:9" x14ac:dyDescent="0.3">
      <c r="A23" t="s">
        <v>16</v>
      </c>
      <c r="B23" t="s">
        <v>111</v>
      </c>
      <c r="C23">
        <v>467</v>
      </c>
      <c r="D23">
        <v>493</v>
      </c>
      <c r="E23">
        <v>518</v>
      </c>
      <c r="F23">
        <v>543</v>
      </c>
      <c r="G23">
        <v>568</v>
      </c>
      <c r="H23">
        <v>592</v>
      </c>
      <c r="I23" t="s">
        <v>88</v>
      </c>
    </row>
    <row r="24" spans="1:9" x14ac:dyDescent="0.3">
      <c r="A24" s="1" t="s">
        <v>118</v>
      </c>
      <c r="B24" t="s">
        <v>112</v>
      </c>
      <c r="C24">
        <v>603</v>
      </c>
      <c r="D24">
        <v>607</v>
      </c>
      <c r="E24">
        <v>620</v>
      </c>
      <c r="F24">
        <v>637</v>
      </c>
      <c r="G24">
        <v>654</v>
      </c>
      <c r="H24">
        <v>670</v>
      </c>
    </row>
    <row r="25" spans="1:9" x14ac:dyDescent="0.3">
      <c r="A25" t="s">
        <v>18</v>
      </c>
      <c r="B25" t="s">
        <v>113</v>
      </c>
      <c r="C25">
        <v>377</v>
      </c>
      <c r="D25">
        <v>384</v>
      </c>
      <c r="E25">
        <v>395</v>
      </c>
      <c r="F25">
        <v>406</v>
      </c>
      <c r="G25">
        <v>422</v>
      </c>
      <c r="H25">
        <v>432</v>
      </c>
      <c r="I25" t="s">
        <v>131</v>
      </c>
    </row>
    <row r="26" spans="1:9" x14ac:dyDescent="0.3">
      <c r="A26" t="s">
        <v>17</v>
      </c>
      <c r="B26" t="s">
        <v>141</v>
      </c>
      <c r="C26">
        <v>533</v>
      </c>
      <c r="D26">
        <v>551</v>
      </c>
      <c r="E26">
        <v>572</v>
      </c>
      <c r="F26">
        <v>591</v>
      </c>
      <c r="G26">
        <v>612</v>
      </c>
      <c r="H26">
        <v>631</v>
      </c>
      <c r="I26" t="s">
        <v>132</v>
      </c>
    </row>
    <row r="27" spans="1:9" x14ac:dyDescent="0.3">
      <c r="A27" s="1" t="s">
        <v>119</v>
      </c>
      <c r="B27" t="s">
        <v>97</v>
      </c>
      <c r="C27">
        <v>1.41</v>
      </c>
      <c r="D27">
        <v>1.43</v>
      </c>
      <c r="E27">
        <v>1.45</v>
      </c>
      <c r="F27">
        <v>1.46</v>
      </c>
      <c r="G27">
        <v>1.45</v>
      </c>
      <c r="H27">
        <v>1.46</v>
      </c>
      <c r="I27" t="s">
        <v>89</v>
      </c>
    </row>
    <row r="28" spans="1:9" x14ac:dyDescent="0.3">
      <c r="A28" s="1" t="s">
        <v>120</v>
      </c>
      <c r="B28" t="s">
        <v>90</v>
      </c>
      <c r="C28">
        <v>27.2</v>
      </c>
      <c r="D28">
        <v>27.2</v>
      </c>
      <c r="E28">
        <v>27.2</v>
      </c>
      <c r="F28">
        <v>27.2</v>
      </c>
      <c r="G28">
        <v>27.2</v>
      </c>
      <c r="H28">
        <v>27.2</v>
      </c>
    </row>
    <row r="29" spans="1:9" x14ac:dyDescent="0.3">
      <c r="A29" t="s">
        <v>22</v>
      </c>
      <c r="B29" t="s">
        <v>91</v>
      </c>
      <c r="C29">
        <v>60</v>
      </c>
      <c r="D29">
        <v>70</v>
      </c>
      <c r="E29">
        <v>70</v>
      </c>
      <c r="F29">
        <v>80</v>
      </c>
      <c r="G29">
        <v>90</v>
      </c>
      <c r="H29">
        <v>100</v>
      </c>
      <c r="I29" t="s">
        <v>92</v>
      </c>
    </row>
    <row r="30" spans="1:9" x14ac:dyDescent="0.3">
      <c r="A30" s="1" t="s">
        <v>121</v>
      </c>
      <c r="B30" t="s">
        <v>98</v>
      </c>
      <c r="C30">
        <v>-8</v>
      </c>
      <c r="D30">
        <v>-8</v>
      </c>
      <c r="E30">
        <v>-8</v>
      </c>
      <c r="F30">
        <v>-8</v>
      </c>
      <c r="G30">
        <v>-8</v>
      </c>
      <c r="H30">
        <v>-8</v>
      </c>
    </row>
    <row r="31" spans="1:9" x14ac:dyDescent="0.3">
      <c r="A31" s="1" t="s">
        <v>122</v>
      </c>
      <c r="B31" t="s">
        <v>93</v>
      </c>
      <c r="C31">
        <v>31.8</v>
      </c>
      <c r="D31">
        <v>31.8</v>
      </c>
      <c r="E31">
        <v>31.8</v>
      </c>
      <c r="F31">
        <v>31.8</v>
      </c>
      <c r="G31">
        <v>31.8</v>
      </c>
      <c r="H31">
        <v>31.8</v>
      </c>
    </row>
    <row r="32" spans="1:9" x14ac:dyDescent="0.3">
      <c r="A32" s="1" t="s">
        <v>123</v>
      </c>
      <c r="B32" t="s">
        <v>94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</row>
    <row r="33" spans="1:8" x14ac:dyDescent="0.3">
      <c r="A33" t="s">
        <v>21</v>
      </c>
      <c r="B33" t="s">
        <v>95</v>
      </c>
      <c r="C33">
        <v>400</v>
      </c>
      <c r="D33">
        <v>400</v>
      </c>
      <c r="E33">
        <v>420</v>
      </c>
      <c r="F33">
        <v>420</v>
      </c>
      <c r="G33">
        <v>440</v>
      </c>
      <c r="H33">
        <v>440</v>
      </c>
    </row>
    <row r="34" spans="1:8" x14ac:dyDescent="0.3">
      <c r="A34" t="s">
        <v>20</v>
      </c>
      <c r="B34" t="s">
        <v>96</v>
      </c>
      <c r="C34">
        <v>170</v>
      </c>
      <c r="D34">
        <v>170</v>
      </c>
      <c r="E34">
        <v>172.5</v>
      </c>
      <c r="F34">
        <v>172.5</v>
      </c>
      <c r="G34">
        <v>175</v>
      </c>
      <c r="H34">
        <v>175</v>
      </c>
    </row>
    <row r="35" spans="1:8" x14ac:dyDescent="0.3">
      <c r="A35" t="s">
        <v>15</v>
      </c>
    </row>
    <row r="36" spans="1:8" x14ac:dyDescent="0.3">
      <c r="A36" t="s">
        <v>12</v>
      </c>
      <c r="C36">
        <f>SQRT(C17^2 - ((C16^2 - C24^2+C17^2)/(2*C16))^2)</f>
        <v>70.417446724793692</v>
      </c>
      <c r="D36">
        <f t="shared" ref="D36:H36" si="0">SQRT(D17^2 - ((D16^2 - D24^2+D17^2)/(2*D16))^2)</f>
        <v>70.513490722015177</v>
      </c>
      <c r="E36">
        <f t="shared" si="0"/>
        <v>70.819608366726797</v>
      </c>
      <c r="F36">
        <f t="shared" si="0"/>
        <v>71.206548615592681</v>
      </c>
      <c r="G36">
        <f t="shared" si="0"/>
        <v>67.924783454279051</v>
      </c>
      <c r="H36">
        <f t="shared" si="0"/>
        <v>68.245857066422388</v>
      </c>
    </row>
    <row r="37" spans="1:8" x14ac:dyDescent="0.3">
      <c r="A37" t="s">
        <v>23</v>
      </c>
    </row>
    <row r="38" spans="1:8" x14ac:dyDescent="0.3">
      <c r="A38" t="s">
        <v>24</v>
      </c>
      <c r="C38">
        <v>700</v>
      </c>
      <c r="D38">
        <v>700</v>
      </c>
      <c r="E38">
        <v>700</v>
      </c>
      <c r="F38">
        <v>700</v>
      </c>
      <c r="G38">
        <v>700</v>
      </c>
      <c r="H38">
        <v>700</v>
      </c>
    </row>
    <row r="39" spans="1:8" x14ac:dyDescent="0.3">
      <c r="A39" t="s">
        <v>25</v>
      </c>
      <c r="C39">
        <v>40</v>
      </c>
      <c r="D39">
        <v>40</v>
      </c>
      <c r="E39">
        <v>40</v>
      </c>
      <c r="F39">
        <v>40</v>
      </c>
      <c r="G39">
        <v>40</v>
      </c>
      <c r="H39">
        <v>40</v>
      </c>
    </row>
    <row r="40" spans="1:8" x14ac:dyDescent="0.3">
      <c r="A40" t="s">
        <v>26</v>
      </c>
      <c r="C40">
        <v>45</v>
      </c>
      <c r="D40">
        <v>45</v>
      </c>
      <c r="E40">
        <v>45</v>
      </c>
      <c r="F40">
        <v>45</v>
      </c>
      <c r="G40">
        <v>45</v>
      </c>
      <c r="H40">
        <v>45</v>
      </c>
    </row>
    <row r="41" spans="1:8" x14ac:dyDescent="0.3">
      <c r="A41" t="s">
        <v>27</v>
      </c>
      <c r="B41" t="s">
        <v>27</v>
      </c>
    </row>
    <row r="42" spans="1:8" x14ac:dyDescent="0.3">
      <c r="A42" t="s">
        <v>28</v>
      </c>
      <c r="B42" t="s">
        <v>28</v>
      </c>
    </row>
    <row r="44" spans="1:8" x14ac:dyDescent="0.3">
      <c r="A44" t="s">
        <v>29</v>
      </c>
      <c r="B44" t="s">
        <v>30</v>
      </c>
    </row>
    <row r="45" spans="1:8" x14ac:dyDescent="0.3">
      <c r="A45" t="s">
        <v>67</v>
      </c>
      <c r="B45" t="s">
        <v>68</v>
      </c>
    </row>
    <row r="46" spans="1:8" x14ac:dyDescent="0.3">
      <c r="A46" t="s">
        <v>69</v>
      </c>
      <c r="B46" t="s">
        <v>70</v>
      </c>
    </row>
    <row r="47" spans="1:8" x14ac:dyDescent="0.3">
      <c r="A47" t="s">
        <v>71</v>
      </c>
      <c r="B47" t="s">
        <v>72</v>
      </c>
    </row>
    <row r="48" spans="1:8" x14ac:dyDescent="0.3">
      <c r="A48" t="s">
        <v>31</v>
      </c>
      <c r="B48" s="1" t="s">
        <v>32</v>
      </c>
    </row>
    <row r="49" spans="1:2" x14ac:dyDescent="0.3">
      <c r="A49" t="s">
        <v>33</v>
      </c>
      <c r="B49" s="1" t="s">
        <v>73</v>
      </c>
    </row>
    <row r="50" spans="1:2" x14ac:dyDescent="0.3">
      <c r="A50" t="s">
        <v>34</v>
      </c>
    </row>
    <row r="51" spans="1:2" x14ac:dyDescent="0.3">
      <c r="A51" t="s">
        <v>35</v>
      </c>
      <c r="B51">
        <v>45</v>
      </c>
    </row>
    <row r="52" spans="1:2" x14ac:dyDescent="0.3">
      <c r="A52" t="s">
        <v>36</v>
      </c>
    </row>
    <row r="53" spans="1:2" x14ac:dyDescent="0.3">
      <c r="A53" t="s">
        <v>37</v>
      </c>
    </row>
    <row r="54" spans="1:2" x14ac:dyDescent="0.3">
      <c r="A54" t="s">
        <v>38</v>
      </c>
    </row>
    <row r="55" spans="1:2" x14ac:dyDescent="0.3">
      <c r="A55" t="s">
        <v>39</v>
      </c>
    </row>
    <row r="56" spans="1:2" x14ac:dyDescent="0.3">
      <c r="A56" t="s">
        <v>40</v>
      </c>
    </row>
    <row r="57" spans="1:2" x14ac:dyDescent="0.3">
      <c r="A57" t="s">
        <v>41</v>
      </c>
    </row>
    <row r="58" spans="1:2" x14ac:dyDescent="0.3">
      <c r="A58" t="s">
        <v>42</v>
      </c>
    </row>
    <row r="59" spans="1:2" x14ac:dyDescent="0.3">
      <c r="A59" t="s">
        <v>75</v>
      </c>
    </row>
    <row r="60" spans="1:2" x14ac:dyDescent="0.3">
      <c r="A60" t="s">
        <v>76</v>
      </c>
      <c r="B60" s="1" t="s">
        <v>124</v>
      </c>
    </row>
    <row r="61" spans="1:2" x14ac:dyDescent="0.3">
      <c r="A61" t="s">
        <v>77</v>
      </c>
      <c r="B61" s="1" t="s">
        <v>125</v>
      </c>
    </row>
    <row r="62" spans="1:2" x14ac:dyDescent="0.3">
      <c r="A62" t="s">
        <v>78</v>
      </c>
    </row>
    <row r="63" spans="1:2" x14ac:dyDescent="0.3">
      <c r="A63" t="s">
        <v>79</v>
      </c>
    </row>
    <row r="64" spans="1:2" x14ac:dyDescent="0.3">
      <c r="A64" t="s">
        <v>80</v>
      </c>
      <c r="B64" s="1" t="s">
        <v>32</v>
      </c>
    </row>
    <row r="65" spans="1:2" x14ac:dyDescent="0.3">
      <c r="A65" t="s">
        <v>43</v>
      </c>
      <c r="B65" s="1"/>
    </row>
    <row r="66" spans="1:2" x14ac:dyDescent="0.3">
      <c r="A66" t="s">
        <v>44</v>
      </c>
    </row>
    <row r="67" spans="1:2" x14ac:dyDescent="0.3">
      <c r="A67" t="s">
        <v>45</v>
      </c>
      <c r="B67">
        <v>27.2</v>
      </c>
    </row>
    <row r="68" spans="1:2" x14ac:dyDescent="0.3">
      <c r="A68" t="s">
        <v>46</v>
      </c>
      <c r="B68" s="1" t="s">
        <v>73</v>
      </c>
    </row>
    <row r="69" spans="1:2" x14ac:dyDescent="0.3">
      <c r="A69" t="s">
        <v>47</v>
      </c>
    </row>
    <row r="70" spans="1:2" x14ac:dyDescent="0.3">
      <c r="A70" t="s">
        <v>48</v>
      </c>
    </row>
    <row r="71" spans="1:2" x14ac:dyDescent="0.3">
      <c r="A71" t="s">
        <v>49</v>
      </c>
    </row>
    <row r="72" spans="1:2" x14ac:dyDescent="0.3">
      <c r="A72" t="s">
        <v>50</v>
      </c>
    </row>
    <row r="73" spans="1:2" x14ac:dyDescent="0.3">
      <c r="A73" t="s">
        <v>51</v>
      </c>
    </row>
    <row r="74" spans="1:2" x14ac:dyDescent="0.3">
      <c r="A74" t="s">
        <v>52</v>
      </c>
      <c r="B74" s="1" t="s">
        <v>137</v>
      </c>
    </row>
    <row r="75" spans="1:2" x14ac:dyDescent="0.3">
      <c r="A75" t="s">
        <v>53</v>
      </c>
      <c r="B75" s="1"/>
    </row>
    <row r="76" spans="1:2" x14ac:dyDescent="0.3">
      <c r="A76" t="s">
        <v>54</v>
      </c>
      <c r="B76" s="1"/>
    </row>
    <row r="77" spans="1:2" x14ac:dyDescent="0.3">
      <c r="A77" t="s">
        <v>55</v>
      </c>
      <c r="B77" s="1"/>
    </row>
    <row r="78" spans="1:2" x14ac:dyDescent="0.3">
      <c r="A78" t="s">
        <v>56</v>
      </c>
      <c r="B78">
        <v>2</v>
      </c>
    </row>
    <row r="79" spans="1:2" x14ac:dyDescent="0.3">
      <c r="A79" t="s">
        <v>57</v>
      </c>
      <c r="B79">
        <v>1</v>
      </c>
    </row>
    <row r="80" spans="1:2" x14ac:dyDescent="0.3">
      <c r="A80" t="s">
        <v>58</v>
      </c>
      <c r="B80" s="1">
        <v>1</v>
      </c>
    </row>
    <row r="81" spans="1:2" x14ac:dyDescent="0.3">
      <c r="A81" t="s">
        <v>59</v>
      </c>
      <c r="B81" s="1">
        <v>3</v>
      </c>
    </row>
    <row r="82" spans="1:2" x14ac:dyDescent="0.3">
      <c r="A82" t="s">
        <v>60</v>
      </c>
      <c r="B82" s="1" t="s">
        <v>73</v>
      </c>
    </row>
    <row r="83" spans="1:2" x14ac:dyDescent="0.3">
      <c r="A83" t="s">
        <v>61</v>
      </c>
      <c r="B83" s="1" t="s">
        <v>73</v>
      </c>
    </row>
    <row r="84" spans="1:2" x14ac:dyDescent="0.3">
      <c r="A84" t="s">
        <v>62</v>
      </c>
      <c r="B84" s="1" t="s">
        <v>73</v>
      </c>
    </row>
    <row r="85" spans="1:2" x14ac:dyDescent="0.3">
      <c r="A85" t="s">
        <v>63</v>
      </c>
      <c r="B85">
        <v>2499</v>
      </c>
    </row>
    <row r="86" spans="1:2" x14ac:dyDescent="0.3">
      <c r="A86" t="s">
        <v>64</v>
      </c>
      <c r="B86">
        <v>3299</v>
      </c>
    </row>
    <row r="87" spans="1:2" x14ac:dyDescent="0.3">
      <c r="A87" t="s">
        <v>65</v>
      </c>
      <c r="B87" s="1"/>
    </row>
    <row r="88" spans="1:2" x14ac:dyDescent="0.3">
      <c r="A88" t="s">
        <v>66</v>
      </c>
      <c r="B88" s="1" t="s">
        <v>126</v>
      </c>
    </row>
    <row r="89" spans="1:2" x14ac:dyDescent="0.3">
      <c r="A89" t="s">
        <v>74</v>
      </c>
      <c r="B89" s="3" t="s">
        <v>127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2025-11-22T00:41:58Z</dcterms:modified>
</cp:coreProperties>
</file>