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4941BFA-FBFA-784E-930C-4AE325ABA1E1}" xr6:coauthVersionLast="47" xr6:coauthVersionMax="47" xr10:uidLastSave="{00000000-0000-0000-0000-000000000000}"/>
  <bookViews>
    <workbookView xWindow="3960" yWindow="4100" windowWidth="2484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E16" i="1"/>
  <c r="F16" i="1"/>
  <c r="G16" i="1"/>
  <c r="H16" i="1"/>
  <c r="C16" i="1"/>
  <c r="L26" i="1"/>
  <c r="M26" i="1"/>
  <c r="N26" i="1"/>
  <c r="K26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7" i="1"/>
  <c r="E17" i="1"/>
  <c r="F17" i="1"/>
  <c r="G17" i="1"/>
  <c r="H17" i="1"/>
  <c r="D18" i="1"/>
  <c r="E18" i="1"/>
  <c r="F18" i="1"/>
  <c r="G18" i="1"/>
  <c r="H18" i="1"/>
  <c r="C13" i="1"/>
  <c r="C12" i="1"/>
  <c r="C10" i="1"/>
  <c r="C11" i="1"/>
  <c r="C14" i="1"/>
  <c r="C15" i="1"/>
  <c r="C17" i="1"/>
  <c r="C18" i="1"/>
  <c r="C9" i="1"/>
</calcChain>
</file>

<file path=xl/sharedStrings.xml><?xml version="1.0" encoding="utf-8"?>
<sst xmlns="http://schemas.openxmlformats.org/spreadsheetml/2006/main" count="122" uniqueCount="107">
  <si>
    <t>brand</t>
  </si>
  <si>
    <t>model</t>
  </si>
  <si>
    <t>model_year</t>
  </si>
  <si>
    <t>input_date</t>
  </si>
  <si>
    <t>url</t>
  </si>
  <si>
    <t>data_range</t>
  </si>
  <si>
    <t>frame_size</t>
  </si>
  <si>
    <t>stack</t>
  </si>
  <si>
    <t>reach</t>
  </si>
  <si>
    <t>seat_tube_length</t>
  </si>
  <si>
    <t>top_tube_effective_length</t>
  </si>
  <si>
    <t>head_tube_angle</t>
  </si>
  <si>
    <t>seat_tube_angle</t>
  </si>
  <si>
    <t>head_tube_length</t>
  </si>
  <si>
    <t>bottom_bracket_drop</t>
  </si>
  <si>
    <t>chainstay_length</t>
  </si>
  <si>
    <t>wheelbase</t>
  </si>
  <si>
    <t>fork_offset_rake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</si>
  <si>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</si>
  <si>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</si>
  <si>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</si>
  <si>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</si>
  <si>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</si>
  <si>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</si>
  <si>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</si>
  <si>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</si>
  <si>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</si>
  <si>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</si>
  <si>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</si>
  <si>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</si>
  <si>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</si>
  <si>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</si>
  <si>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</si>
  <si>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</si>
  <si>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</si>
  <si>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</si>
  <si>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</si>
  <si>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</si>
  <si>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</si>
  <si>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</si>
  <si>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</si>
  <si>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</si>
  <si>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</si>
  <si>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</si>
  <si>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</si>
  <si>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</si>
  <si>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</si>
  <si>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</si>
  <si>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</si>
  <si>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</si>
  <si>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</si>
  <si>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</si>
  <si>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</si>
  <si>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</si>
  <si>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</si>
  <si>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</si>
  <si>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</si>
  <si>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</si>
  <si>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</si>
  <si>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</si>
  <si>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</si>
  <si>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</si>
  <si>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</si>
  <si>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</si>
  <si>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</si>
  <si>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</si>
  <si>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</si>
  <si>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</si>
  <si>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</si>
  <si>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USD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</si>
  <si>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</si>
  <si>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</si>
  <si>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</si>
  <si>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</si>
  <si>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</si>
  <si>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</si>
  <si>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</si>
  <si>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steel</t>
  </si>
  <si>
    <t>frame size</t>
  </si>
  <si>
    <t>Condor</t>
  </si>
  <si>
    <t>gravel</t>
  </si>
  <si>
    <t>drop bar</t>
  </si>
  <si>
    <t>rigid</t>
  </si>
  <si>
    <t>Seat tube (centre to centre) [A] (cm)</t>
  </si>
  <si>
    <t>Seat tube (centre to top) [B] (cm)</t>
  </si>
  <si>
    <t>Seat tube angle [D] (cm)</t>
  </si>
  <si>
    <t>Head tube angle [E] (cm)</t>
  </si>
  <si>
    <t>Head tube length [F] (cm)</t>
  </si>
  <si>
    <t>Chainstay length [G] (cm)</t>
  </si>
  <si>
    <t>Bottom bracket drop (mm)</t>
  </si>
  <si>
    <t>seat_tube_cc</t>
  </si>
  <si>
    <t>yes</t>
  </si>
  <si>
    <t>threaded</t>
  </si>
  <si>
    <t>https://www.condorcycles.com/en-us/products/condor-bivio-plus-frameset?variant=54864692347264</t>
  </si>
  <si>
    <t>external</t>
  </si>
  <si>
    <t>https://cdn.shopify.com/s/files/1/0858/4882/t/103/assets/790ef1f0b105--Bivioplus-copper-010-2e4c7d.jpg?v=1756485507</t>
  </si>
  <si>
    <t>Top tube (effective horizontal) [C] (cm)</t>
  </si>
  <si>
    <t>Stack</t>
  </si>
  <si>
    <t>Reach</t>
  </si>
  <si>
    <t xml:space="preserve">Head Tube </t>
  </si>
  <si>
    <t>Wheelbase</t>
  </si>
  <si>
    <t>AC</t>
  </si>
  <si>
    <t>Offset</t>
  </si>
  <si>
    <t>median</t>
  </si>
  <si>
    <t>a8:h31</t>
  </si>
  <si>
    <t>Bivio+</t>
  </si>
  <si>
    <t>London,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</si>
</sst>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rgb="FF262626"/>
      <name val="Arial"/>
      <family val="2"/>
    </font>
    <font>
      <sz val="16"/>
      <color rgb="FF262626"/>
      <name val="Arial"/>
      <family val="2"/>
    </font>
    <font>
      <i/>
      <sz val="14"/>
      <color rgb="FF000000"/>
      <name val="Futur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topLeftCell="A66" zoomScale="93" workbookViewId="0">
      <selection activeCell="B78" sqref="B78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2" t="s">
        <v>79</v>
      </c>
    </row>
    <row r="2" spans="1:16" x14ac:dyDescent="0.3">
      <c r="A2" t="s">
        <v>1</v>
      </c>
      <c r="B2" s="2" t="s">
        <v>105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1">
        <v>45970</v>
      </c>
    </row>
    <row r="5" spans="1:16" x14ac:dyDescent="0.3">
      <c r="A5" t="s">
        <v>4</v>
      </c>
      <c r="B5" t="s">
        <v>93</v>
      </c>
    </row>
    <row r="6" spans="1:16" x14ac:dyDescent="0.3">
      <c r="B6" t="s">
        <v>95</v>
      </c>
    </row>
    <row r="7" spans="1:16" ht="22" x14ac:dyDescent="0.3">
      <c r="A7" t="s">
        <v>5</v>
      </c>
      <c r="B7" s="2" t="s">
        <v>104</v>
      </c>
      <c r="J7" s="2"/>
      <c r="N7" s="4"/>
    </row>
    <row r="8" spans="1:16" ht="22" x14ac:dyDescent="0.3">
      <c r="A8" t="s">
        <v>6</v>
      </c>
      <c r="B8" s="2" t="s">
        <v>78</v>
      </c>
      <c r="C8">
        <v>46</v>
      </c>
      <c r="D8">
        <v>49</v>
      </c>
      <c r="E8">
        <v>52</v>
      </c>
      <c r="F8">
        <v>55</v>
      </c>
      <c r="G8">
        <v>58</v>
      </c>
      <c r="H8">
        <v>61</v>
      </c>
      <c r="K8">
        <v>46</v>
      </c>
      <c r="L8">
        <v>49</v>
      </c>
      <c r="M8">
        <v>52</v>
      </c>
      <c r="N8" s="4">
        <v>55</v>
      </c>
      <c r="O8">
        <v>58</v>
      </c>
      <c r="P8">
        <v>61</v>
      </c>
    </row>
    <row r="9" spans="1:16" ht="22" x14ac:dyDescent="0.3">
      <c r="A9" s="2" t="s">
        <v>90</v>
      </c>
      <c r="B9" t="s">
        <v>83</v>
      </c>
      <c r="C9" s="2">
        <f>K9*10</f>
        <v>410</v>
      </c>
      <c r="D9" s="2">
        <f t="shared" ref="D9:H11" si="0">L9*10</f>
        <v>440</v>
      </c>
      <c r="E9" s="2">
        <f t="shared" si="0"/>
        <v>470</v>
      </c>
      <c r="F9" s="2">
        <f t="shared" si="0"/>
        <v>500</v>
      </c>
      <c r="G9" s="2">
        <f t="shared" si="0"/>
        <v>530</v>
      </c>
      <c r="H9" s="2">
        <f t="shared" si="0"/>
        <v>560</v>
      </c>
      <c r="J9" t="s">
        <v>83</v>
      </c>
      <c r="K9">
        <v>41</v>
      </c>
      <c r="L9">
        <v>44</v>
      </c>
      <c r="M9">
        <v>47</v>
      </c>
      <c r="N9" s="4">
        <v>50</v>
      </c>
      <c r="O9">
        <v>53</v>
      </c>
      <c r="P9">
        <v>56</v>
      </c>
    </row>
    <row r="10" spans="1:16" ht="22" x14ac:dyDescent="0.3">
      <c r="A10" t="s">
        <v>9</v>
      </c>
      <c r="B10" s="4" t="s">
        <v>84</v>
      </c>
      <c r="C10" s="2">
        <f t="shared" ref="C10:C18" si="1">K10*10</f>
        <v>460</v>
      </c>
      <c r="D10" s="2">
        <f t="shared" si="0"/>
        <v>490</v>
      </c>
      <c r="E10" s="2">
        <f t="shared" si="0"/>
        <v>520</v>
      </c>
      <c r="F10" s="2">
        <f t="shared" si="0"/>
        <v>550</v>
      </c>
      <c r="G10" s="2">
        <f t="shared" si="0"/>
        <v>580</v>
      </c>
      <c r="H10" s="2">
        <f t="shared" si="0"/>
        <v>610</v>
      </c>
      <c r="J10" t="s">
        <v>84</v>
      </c>
      <c r="K10">
        <v>46</v>
      </c>
      <c r="L10">
        <v>49</v>
      </c>
      <c r="M10">
        <v>52</v>
      </c>
      <c r="N10" s="4">
        <v>55</v>
      </c>
      <c r="O10">
        <v>58</v>
      </c>
      <c r="P10">
        <v>61</v>
      </c>
    </row>
    <row r="11" spans="1:16" x14ac:dyDescent="0.3">
      <c r="A11" t="s">
        <v>10</v>
      </c>
      <c r="B11" t="s">
        <v>96</v>
      </c>
      <c r="C11" s="2">
        <f t="shared" si="1"/>
        <v>513</v>
      </c>
      <c r="D11" s="2">
        <f t="shared" si="0"/>
        <v>518</v>
      </c>
      <c r="E11" s="2">
        <f t="shared" si="0"/>
        <v>537</v>
      </c>
      <c r="F11" s="2">
        <f t="shared" si="0"/>
        <v>555</v>
      </c>
      <c r="G11" s="2">
        <f t="shared" si="0"/>
        <v>570</v>
      </c>
      <c r="H11" s="2">
        <f t="shared" si="0"/>
        <v>580</v>
      </c>
      <c r="J11" t="s">
        <v>96</v>
      </c>
      <c r="K11">
        <v>51.3</v>
      </c>
      <c r="L11">
        <v>51.8</v>
      </c>
      <c r="M11">
        <v>53.7</v>
      </c>
      <c r="N11">
        <v>55.5</v>
      </c>
      <c r="O11">
        <v>57</v>
      </c>
      <c r="P11">
        <v>58</v>
      </c>
    </row>
    <row r="12" spans="1:16" x14ac:dyDescent="0.3">
      <c r="A12" t="s">
        <v>12</v>
      </c>
      <c r="B12" t="s">
        <v>85</v>
      </c>
      <c r="C12" s="2">
        <f>K12</f>
        <v>74</v>
      </c>
      <c r="D12" s="2">
        <f t="shared" ref="D12:H13" si="2">L12</f>
        <v>73.5</v>
      </c>
      <c r="E12" s="2">
        <f t="shared" si="2"/>
        <v>73</v>
      </c>
      <c r="F12" s="2">
        <f t="shared" si="2"/>
        <v>73</v>
      </c>
      <c r="G12" s="2">
        <f t="shared" si="2"/>
        <v>73</v>
      </c>
      <c r="H12" s="2">
        <f t="shared" si="2"/>
        <v>72.5</v>
      </c>
      <c r="J12" t="s">
        <v>85</v>
      </c>
      <c r="K12">
        <v>74</v>
      </c>
      <c r="L12">
        <v>73.5</v>
      </c>
      <c r="M12">
        <v>73</v>
      </c>
      <c r="N12">
        <v>73</v>
      </c>
      <c r="O12">
        <v>73</v>
      </c>
      <c r="P12">
        <v>72.5</v>
      </c>
    </row>
    <row r="13" spans="1:16" ht="22" x14ac:dyDescent="0.3">
      <c r="A13" t="s">
        <v>11</v>
      </c>
      <c r="B13" t="s">
        <v>86</v>
      </c>
      <c r="C13" s="2">
        <f>K13</f>
        <v>71</v>
      </c>
      <c r="D13" s="2">
        <f t="shared" si="2"/>
        <v>71</v>
      </c>
      <c r="E13" s="2">
        <f t="shared" si="2"/>
        <v>71.5</v>
      </c>
      <c r="F13" s="2">
        <f t="shared" si="2"/>
        <v>71.5</v>
      </c>
      <c r="G13" s="2">
        <f t="shared" si="2"/>
        <v>71.5</v>
      </c>
      <c r="H13" s="2">
        <f t="shared" si="2"/>
        <v>71.5</v>
      </c>
      <c r="J13" t="s">
        <v>86</v>
      </c>
      <c r="K13">
        <v>71</v>
      </c>
      <c r="L13">
        <v>71</v>
      </c>
      <c r="M13" s="3">
        <v>71.5</v>
      </c>
      <c r="N13">
        <v>71.5</v>
      </c>
      <c r="O13">
        <v>71.5</v>
      </c>
      <c r="P13">
        <v>71.5</v>
      </c>
    </row>
    <row r="14" spans="1:16" x14ac:dyDescent="0.3">
      <c r="A14" t="s">
        <v>13</v>
      </c>
      <c r="B14" t="s">
        <v>87</v>
      </c>
      <c r="C14" s="2">
        <f t="shared" si="1"/>
        <v>100</v>
      </c>
      <c r="D14" s="2">
        <f t="shared" ref="D14:D18" si="3">L14*10</f>
        <v>105</v>
      </c>
      <c r="E14" s="2">
        <f t="shared" ref="E14:E18" si="4">M14*10</f>
        <v>125</v>
      </c>
      <c r="F14" s="2">
        <f t="shared" ref="F14:F18" si="5">N14*10</f>
        <v>155</v>
      </c>
      <c r="G14" s="2">
        <f t="shared" ref="G14:G18" si="6">O14*10</f>
        <v>185</v>
      </c>
      <c r="H14" s="2">
        <f t="shared" ref="H14:H18" si="7">P14*10</f>
        <v>215</v>
      </c>
      <c r="J14" t="s">
        <v>87</v>
      </c>
      <c r="K14">
        <v>10</v>
      </c>
      <c r="L14">
        <v>10.5</v>
      </c>
      <c r="M14">
        <v>12.5</v>
      </c>
      <c r="N14">
        <v>15.5</v>
      </c>
      <c r="O14">
        <v>18.5</v>
      </c>
      <c r="P14">
        <v>21.5</v>
      </c>
    </row>
    <row r="15" spans="1:16" x14ac:dyDescent="0.3">
      <c r="A15" t="s">
        <v>15</v>
      </c>
      <c r="B15" t="s">
        <v>88</v>
      </c>
      <c r="C15" s="2">
        <f t="shared" si="1"/>
        <v>445</v>
      </c>
      <c r="D15" s="2">
        <f t="shared" si="3"/>
        <v>445</v>
      </c>
      <c r="E15" s="2">
        <f t="shared" si="4"/>
        <v>445</v>
      </c>
      <c r="F15" s="2">
        <f t="shared" si="5"/>
        <v>445</v>
      </c>
      <c r="G15" s="2">
        <f t="shared" si="6"/>
        <v>445</v>
      </c>
      <c r="H15" s="2">
        <f t="shared" si="7"/>
        <v>450</v>
      </c>
      <c r="J15" s="2" t="s">
        <v>88</v>
      </c>
      <c r="K15">
        <v>44.5</v>
      </c>
      <c r="L15">
        <v>44.5</v>
      </c>
      <c r="M15">
        <v>44.5</v>
      </c>
      <c r="N15">
        <v>44.5</v>
      </c>
      <c r="O15">
        <v>44.5</v>
      </c>
      <c r="P15">
        <v>45</v>
      </c>
    </row>
    <row r="16" spans="1:16" x14ac:dyDescent="0.3">
      <c r="A16" t="s">
        <v>14</v>
      </c>
      <c r="B16" t="s">
        <v>89</v>
      </c>
      <c r="C16" s="2">
        <f>K16</f>
        <v>70</v>
      </c>
      <c r="D16" s="2">
        <f t="shared" ref="D16:H16" si="8">L16</f>
        <v>70</v>
      </c>
      <c r="E16" s="2">
        <f t="shared" si="8"/>
        <v>70</v>
      </c>
      <c r="F16" s="2">
        <f t="shared" si="8"/>
        <v>70</v>
      </c>
      <c r="G16" s="2">
        <f t="shared" si="8"/>
        <v>70</v>
      </c>
      <c r="H16" s="2">
        <f t="shared" si="8"/>
        <v>70</v>
      </c>
      <c r="J16" t="s">
        <v>89</v>
      </c>
      <c r="K16">
        <v>70</v>
      </c>
      <c r="L16">
        <v>70</v>
      </c>
      <c r="M16">
        <v>70</v>
      </c>
      <c r="N16">
        <v>70</v>
      </c>
      <c r="O16">
        <v>70</v>
      </c>
      <c r="P16">
        <v>70</v>
      </c>
    </row>
    <row r="17" spans="1:16" x14ac:dyDescent="0.3">
      <c r="A17" t="s">
        <v>7</v>
      </c>
      <c r="B17" t="s">
        <v>97</v>
      </c>
      <c r="C17" s="2">
        <f t="shared" si="1"/>
        <v>534</v>
      </c>
      <c r="D17" s="2">
        <f t="shared" si="3"/>
        <v>536</v>
      </c>
      <c r="E17" s="2">
        <f t="shared" si="4"/>
        <v>556</v>
      </c>
      <c r="F17" s="2">
        <f t="shared" si="5"/>
        <v>588</v>
      </c>
      <c r="G17" s="2">
        <f t="shared" si="6"/>
        <v>615</v>
      </c>
      <c r="H17" s="2">
        <f t="shared" si="7"/>
        <v>642</v>
      </c>
      <c r="J17" t="s">
        <v>97</v>
      </c>
      <c r="K17">
        <v>53.4</v>
      </c>
      <c r="L17">
        <v>53.6</v>
      </c>
      <c r="M17">
        <v>55.6</v>
      </c>
      <c r="N17">
        <v>58.8</v>
      </c>
      <c r="O17">
        <v>61.5</v>
      </c>
      <c r="P17">
        <v>64.2</v>
      </c>
    </row>
    <row r="18" spans="1:16" ht="22" x14ac:dyDescent="0.3">
      <c r="A18" t="s">
        <v>8</v>
      </c>
      <c r="B18" t="s">
        <v>98</v>
      </c>
      <c r="C18" s="2">
        <f t="shared" si="1"/>
        <v>360</v>
      </c>
      <c r="D18" s="2">
        <f t="shared" si="3"/>
        <v>359</v>
      </c>
      <c r="E18" s="2">
        <f t="shared" si="4"/>
        <v>367</v>
      </c>
      <c r="F18" s="2">
        <f t="shared" si="5"/>
        <v>375</v>
      </c>
      <c r="G18" s="2">
        <f t="shared" si="6"/>
        <v>382</v>
      </c>
      <c r="H18" s="2">
        <f t="shared" si="7"/>
        <v>378</v>
      </c>
      <c r="J18" t="s">
        <v>98</v>
      </c>
      <c r="K18">
        <v>36</v>
      </c>
      <c r="L18">
        <v>35.9</v>
      </c>
      <c r="M18">
        <v>36.700000000000003</v>
      </c>
      <c r="N18">
        <v>37.5</v>
      </c>
      <c r="O18">
        <v>38.200000000000003</v>
      </c>
      <c r="P18" s="3">
        <v>37.799999999999997</v>
      </c>
    </row>
    <row r="19" spans="1:16" ht="22" x14ac:dyDescent="0.3">
      <c r="A19" t="s">
        <v>18</v>
      </c>
      <c r="C19" s="2">
        <v>405</v>
      </c>
      <c r="D19" s="2">
        <v>405</v>
      </c>
      <c r="E19" s="2">
        <v>405</v>
      </c>
      <c r="F19" s="2">
        <v>405</v>
      </c>
      <c r="G19" s="2">
        <v>405</v>
      </c>
      <c r="H19" s="2">
        <v>405</v>
      </c>
      <c r="J19" s="4"/>
      <c r="K19" s="4"/>
      <c r="L19" s="4"/>
      <c r="M19" s="4"/>
    </row>
    <row r="20" spans="1:16" x14ac:dyDescent="0.3">
      <c r="A20" t="s">
        <v>17</v>
      </c>
      <c r="C20" s="2">
        <v>62</v>
      </c>
      <c r="D20" s="2">
        <v>62</v>
      </c>
      <c r="E20" s="2">
        <v>62</v>
      </c>
      <c r="F20" s="2">
        <v>62</v>
      </c>
      <c r="G20" s="2">
        <v>62</v>
      </c>
      <c r="H20" s="2">
        <v>62</v>
      </c>
      <c r="K20" s="2" t="s">
        <v>99</v>
      </c>
      <c r="L20" s="2" t="s">
        <v>100</v>
      </c>
      <c r="M20" s="2" t="s">
        <v>101</v>
      </c>
      <c r="N20" s="2" t="s">
        <v>102</v>
      </c>
    </row>
    <row r="21" spans="1:16" x14ac:dyDescent="0.3">
      <c r="A21" t="s">
        <v>16</v>
      </c>
      <c r="K21" s="2">
        <v>154.029</v>
      </c>
      <c r="L21" s="2">
        <v>1022.002</v>
      </c>
      <c r="M21" s="2">
        <v>396.67</v>
      </c>
      <c r="N21" s="2">
        <v>62.642000000000003</v>
      </c>
    </row>
    <row r="22" spans="1:16" x14ac:dyDescent="0.3">
      <c r="A22" t="s">
        <v>19</v>
      </c>
      <c r="K22" s="2">
        <v>153.86500000000001</v>
      </c>
      <c r="L22" s="2">
        <v>1045.693</v>
      </c>
      <c r="M22" s="2">
        <v>405.93</v>
      </c>
      <c r="N22" s="2">
        <v>68.569999999999993</v>
      </c>
    </row>
    <row r="23" spans="1:16" x14ac:dyDescent="0.3">
      <c r="A23" t="s">
        <v>21</v>
      </c>
      <c r="K23" s="2">
        <v>155.399</v>
      </c>
      <c r="L23" s="2">
        <v>1040.912</v>
      </c>
      <c r="M23" s="2">
        <v>403.04700000000003</v>
      </c>
      <c r="N23" s="2">
        <v>58.12</v>
      </c>
    </row>
    <row r="24" spans="1:16" x14ac:dyDescent="0.3">
      <c r="A24" t="s">
        <v>22</v>
      </c>
      <c r="K24" s="2">
        <v>155.39099999999999</v>
      </c>
      <c r="L24" s="2">
        <v>1050.549</v>
      </c>
      <c r="M24" s="2">
        <v>408.22300000000001</v>
      </c>
      <c r="N24" s="2">
        <v>61.847000000000001</v>
      </c>
    </row>
    <row r="25" spans="1:16" x14ac:dyDescent="0.3">
      <c r="A25" t="s">
        <v>20</v>
      </c>
      <c r="K25" s="2">
        <v>156.20500000000001</v>
      </c>
      <c r="L25" s="2">
        <v>1049.431</v>
      </c>
      <c r="M25" s="2">
        <v>405.56099999999998</v>
      </c>
      <c r="N25" s="2">
        <v>64.322999999999993</v>
      </c>
    </row>
    <row r="26" spans="1:16" x14ac:dyDescent="0.3">
      <c r="A26" t="s">
        <v>23</v>
      </c>
      <c r="F26">
        <v>2082</v>
      </c>
      <c r="J26" s="2" t="s">
        <v>103</v>
      </c>
      <c r="K26">
        <f>MEDIAN(K21:K25)</f>
        <v>155.39099999999999</v>
      </c>
      <c r="L26">
        <f t="shared" ref="L26:N26" si="9">MEDIAN(L21:L25)</f>
        <v>1045.693</v>
      </c>
      <c r="M26">
        <f t="shared" si="9"/>
        <v>405.56099999999998</v>
      </c>
      <c r="N26">
        <f t="shared" si="9"/>
        <v>62.642000000000003</v>
      </c>
    </row>
    <row r="27" spans="1:16" x14ac:dyDescent="0.3">
      <c r="A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16" x14ac:dyDescent="0.3">
      <c r="A28" t="s">
        <v>25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16" x14ac:dyDescent="0.3">
      <c r="A29" t="s">
        <v>26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16" x14ac:dyDescent="0.3">
      <c r="A30" t="s">
        <v>27</v>
      </c>
      <c r="C30" s="5">
        <v>150</v>
      </c>
      <c r="D30" s="5">
        <v>160</v>
      </c>
      <c r="E30" s="5">
        <v>168</v>
      </c>
      <c r="F30" s="5">
        <v>175</v>
      </c>
      <c r="G30" s="5">
        <v>183</v>
      </c>
      <c r="H30" s="5">
        <v>190</v>
      </c>
    </row>
    <row r="31" spans="1:16" x14ac:dyDescent="0.3">
      <c r="A31" t="s">
        <v>28</v>
      </c>
      <c r="C31" s="5">
        <v>160</v>
      </c>
      <c r="D31" s="5">
        <v>168</v>
      </c>
      <c r="E31" s="5">
        <v>175</v>
      </c>
      <c r="F31" s="5">
        <v>183</v>
      </c>
      <c r="G31" s="5">
        <v>190</v>
      </c>
      <c r="H31" s="5">
        <v>198</v>
      </c>
    </row>
    <row r="33" spans="1:16" x14ac:dyDescent="0.3">
      <c r="A33" t="s">
        <v>29</v>
      </c>
      <c r="B33" t="s">
        <v>30</v>
      </c>
    </row>
    <row r="34" spans="1:16" ht="22" x14ac:dyDescent="0.3">
      <c r="A34" t="s">
        <v>66</v>
      </c>
      <c r="B34" s="2" t="s">
        <v>80</v>
      </c>
      <c r="I34" s="3"/>
      <c r="K34" s="7"/>
      <c r="L34" s="7"/>
      <c r="M34" s="7"/>
      <c r="N34" s="7"/>
      <c r="O34" s="7"/>
      <c r="P34" s="7"/>
    </row>
    <row r="35" spans="1:16" ht="22" x14ac:dyDescent="0.3">
      <c r="A35" t="s">
        <v>67</v>
      </c>
      <c r="B35" s="2" t="s">
        <v>81</v>
      </c>
      <c r="I35" s="3"/>
      <c r="J35" s="8"/>
      <c r="K35" s="8"/>
      <c r="L35" s="8"/>
      <c r="M35" s="8"/>
      <c r="N35" s="8"/>
      <c r="O35" s="8"/>
      <c r="P35" s="8"/>
    </row>
    <row r="36" spans="1:16" ht="22" x14ac:dyDescent="0.3">
      <c r="A36" t="s">
        <v>68</v>
      </c>
      <c r="B36" s="2" t="s">
        <v>82</v>
      </c>
      <c r="I36" s="3"/>
      <c r="J36" s="8"/>
      <c r="K36" s="8"/>
      <c r="L36" s="8"/>
      <c r="M36" s="8"/>
      <c r="N36" s="8"/>
      <c r="O36" s="8"/>
      <c r="P36" s="8"/>
    </row>
    <row r="37" spans="1:16" ht="22" x14ac:dyDescent="0.3">
      <c r="A37" t="s">
        <v>31</v>
      </c>
      <c r="B37" s="2" t="s">
        <v>77</v>
      </c>
      <c r="I37" s="3"/>
      <c r="J37" s="8"/>
      <c r="K37" s="8"/>
      <c r="L37" s="8"/>
      <c r="M37" s="8"/>
      <c r="N37" s="8"/>
      <c r="O37" s="8"/>
      <c r="P37" s="8"/>
    </row>
    <row r="38" spans="1:16" ht="22" x14ac:dyDescent="0.3">
      <c r="A38" t="s">
        <v>32</v>
      </c>
      <c r="I38" s="3"/>
      <c r="J38" s="8"/>
      <c r="K38" s="8"/>
      <c r="L38" s="8"/>
      <c r="M38" s="8"/>
      <c r="N38" s="8"/>
      <c r="O38" s="8"/>
      <c r="P38" s="8"/>
    </row>
    <row r="39" spans="1:16" x14ac:dyDescent="0.3">
      <c r="A39" t="s">
        <v>33</v>
      </c>
      <c r="J39" s="8"/>
      <c r="K39" s="8"/>
      <c r="L39" s="8"/>
      <c r="M39" s="8"/>
      <c r="N39" s="8"/>
      <c r="O39" s="8"/>
      <c r="P39" s="8"/>
    </row>
    <row r="40" spans="1:16" x14ac:dyDescent="0.3">
      <c r="A40" t="s">
        <v>34</v>
      </c>
      <c r="B40">
        <v>50</v>
      </c>
      <c r="J40" s="8"/>
      <c r="K40" s="8"/>
      <c r="L40" s="8"/>
      <c r="M40" s="8"/>
      <c r="N40" s="8"/>
      <c r="O40" s="8"/>
      <c r="P40" s="8"/>
    </row>
    <row r="41" spans="1:16" x14ac:dyDescent="0.3">
      <c r="A41" t="s">
        <v>35</v>
      </c>
      <c r="B41">
        <v>55</v>
      </c>
      <c r="J41" s="8"/>
      <c r="K41" s="8"/>
      <c r="L41" s="8"/>
      <c r="M41" s="8"/>
      <c r="N41" s="8"/>
      <c r="O41" s="8"/>
      <c r="P41" s="8"/>
    </row>
    <row r="42" spans="1:16" x14ac:dyDescent="0.3">
      <c r="A42" t="s">
        <v>36</v>
      </c>
      <c r="J42" s="8"/>
      <c r="K42" s="8"/>
      <c r="L42" s="8"/>
      <c r="M42" s="8"/>
      <c r="N42" s="8"/>
      <c r="O42" s="8"/>
      <c r="P42" s="8"/>
    </row>
    <row r="43" spans="1:16" x14ac:dyDescent="0.3">
      <c r="A43" t="s">
        <v>37</v>
      </c>
      <c r="J43" s="8"/>
      <c r="K43" s="8"/>
      <c r="L43" s="8"/>
      <c r="M43" s="8"/>
      <c r="N43" s="8"/>
      <c r="O43" s="8"/>
      <c r="P43" s="8"/>
    </row>
    <row r="44" spans="1:16" x14ac:dyDescent="0.3">
      <c r="A44" t="s">
        <v>38</v>
      </c>
      <c r="J44" s="8"/>
      <c r="K44" s="8"/>
      <c r="L44" s="8"/>
      <c r="M44" s="8"/>
      <c r="N44" s="8"/>
      <c r="O44" s="8"/>
      <c r="P44" s="8"/>
    </row>
    <row r="45" spans="1:16" x14ac:dyDescent="0.3">
      <c r="A45" t="s">
        <v>39</v>
      </c>
    </row>
    <row r="46" spans="1:16" x14ac:dyDescent="0.3">
      <c r="A46" t="s">
        <v>40</v>
      </c>
      <c r="B46">
        <v>142</v>
      </c>
    </row>
    <row r="47" spans="1:16" x14ac:dyDescent="0.3">
      <c r="A47" t="s">
        <v>41</v>
      </c>
      <c r="B47">
        <v>100</v>
      </c>
      <c r="J47" s="8"/>
      <c r="K47" s="8"/>
      <c r="L47" s="8"/>
      <c r="M47" s="8"/>
      <c r="N47" s="8"/>
      <c r="O47" s="8"/>
      <c r="P47" s="8"/>
    </row>
    <row r="48" spans="1:16" x14ac:dyDescent="0.3">
      <c r="A48" t="s">
        <v>71</v>
      </c>
      <c r="B48" s="2">
        <v>1.125</v>
      </c>
      <c r="J48" s="8"/>
      <c r="K48" s="8"/>
      <c r="L48" s="8"/>
      <c r="M48" s="8"/>
      <c r="N48" s="8"/>
      <c r="O48" s="8"/>
      <c r="P48" s="8"/>
    </row>
    <row r="49" spans="1:2" x14ac:dyDescent="0.3">
      <c r="A49" t="s">
        <v>72</v>
      </c>
      <c r="B49" s="2"/>
    </row>
    <row r="50" spans="1:2" x14ac:dyDescent="0.3">
      <c r="A50" t="s">
        <v>73</v>
      </c>
      <c r="B50" s="2"/>
    </row>
    <row r="51" spans="1:2" x14ac:dyDescent="0.3">
      <c r="A51" t="s">
        <v>74</v>
      </c>
    </row>
    <row r="52" spans="1:2" x14ac:dyDescent="0.3">
      <c r="A52" t="s">
        <v>75</v>
      </c>
      <c r="B52" s="2">
        <v>1.125</v>
      </c>
    </row>
    <row r="53" spans="1:2" x14ac:dyDescent="0.3">
      <c r="A53" t="s">
        <v>76</v>
      </c>
      <c r="B53" s="2" t="s">
        <v>77</v>
      </c>
    </row>
    <row r="54" spans="1:2" x14ac:dyDescent="0.3">
      <c r="A54" t="s">
        <v>42</v>
      </c>
      <c r="B54" s="2" t="s">
        <v>92</v>
      </c>
    </row>
    <row r="55" spans="1:2" x14ac:dyDescent="0.3">
      <c r="A55" t="s">
        <v>43</v>
      </c>
    </row>
    <row r="56" spans="1:2" x14ac:dyDescent="0.3">
      <c r="A56" t="s">
        <v>44</v>
      </c>
      <c r="B56">
        <v>27.2</v>
      </c>
    </row>
    <row r="57" spans="1:2" x14ac:dyDescent="0.3">
      <c r="A57" t="s">
        <v>45</v>
      </c>
      <c r="B57" s="2" t="s">
        <v>91</v>
      </c>
    </row>
    <row r="58" spans="1:2" x14ac:dyDescent="0.3">
      <c r="A58" t="s">
        <v>46</v>
      </c>
      <c r="B58">
        <v>46</v>
      </c>
    </row>
    <row r="59" spans="1:2" x14ac:dyDescent="0.3">
      <c r="A59" t="s">
        <v>47</v>
      </c>
      <c r="B59">
        <v>50</v>
      </c>
    </row>
    <row r="60" spans="1:2" x14ac:dyDescent="0.3">
      <c r="A60" t="s">
        <v>48</v>
      </c>
      <c r="B60">
        <v>160</v>
      </c>
    </row>
    <row r="61" spans="1:2" x14ac:dyDescent="0.3">
      <c r="A61" t="s">
        <v>49</v>
      </c>
      <c r="B61">
        <v>160</v>
      </c>
    </row>
    <row r="62" spans="1:2" x14ac:dyDescent="0.3">
      <c r="A62" t="s">
        <v>50</v>
      </c>
    </row>
    <row r="63" spans="1:2" x14ac:dyDescent="0.3">
      <c r="A63" t="s">
        <v>51</v>
      </c>
      <c r="B63" s="2" t="s">
        <v>94</v>
      </c>
    </row>
    <row r="64" spans="1:2" x14ac:dyDescent="0.3">
      <c r="A64" t="s">
        <v>52</v>
      </c>
      <c r="B64" s="2"/>
    </row>
    <row r="65" spans="1:2" x14ac:dyDescent="0.3">
      <c r="A65" t="s">
        <v>53</v>
      </c>
      <c r="B65" s="2" t="s">
        <v>91</v>
      </c>
    </row>
    <row r="66" spans="1:2" x14ac:dyDescent="0.3">
      <c r="A66" t="s">
        <v>54</v>
      </c>
    </row>
    <row r="67" spans="1:2" x14ac:dyDescent="0.3">
      <c r="A67" t="s">
        <v>55</v>
      </c>
      <c r="B67">
        <v>2</v>
      </c>
    </row>
    <row r="68" spans="1:2" x14ac:dyDescent="0.3">
      <c r="A68" t="s">
        <v>56</v>
      </c>
      <c r="B68">
        <v>1</v>
      </c>
    </row>
    <row r="69" spans="1:2" x14ac:dyDescent="0.3">
      <c r="A69" t="s">
        <v>57</v>
      </c>
      <c r="B69">
        <v>1</v>
      </c>
    </row>
    <row r="70" spans="1:2" x14ac:dyDescent="0.3">
      <c r="A70" t="s">
        <v>58</v>
      </c>
      <c r="B70">
        <v>3</v>
      </c>
    </row>
    <row r="71" spans="1:2" x14ac:dyDescent="0.3">
      <c r="A71" t="s">
        <v>59</v>
      </c>
      <c r="B71" s="2" t="s">
        <v>91</v>
      </c>
    </row>
    <row r="72" spans="1:2" x14ac:dyDescent="0.3">
      <c r="A72" t="s">
        <v>60</v>
      </c>
      <c r="B72" s="2" t="s">
        <v>91</v>
      </c>
    </row>
    <row r="73" spans="1:2" x14ac:dyDescent="0.3">
      <c r="A73" t="s">
        <v>61</v>
      </c>
      <c r="B73" s="2" t="s">
        <v>91</v>
      </c>
    </row>
    <row r="74" spans="1:2" x14ac:dyDescent="0.3">
      <c r="A74" t="s">
        <v>62</v>
      </c>
      <c r="B74">
        <v>2050</v>
      </c>
    </row>
    <row r="75" spans="1:2" x14ac:dyDescent="0.3">
      <c r="A75" t="s">
        <v>63</v>
      </c>
      <c r="B75" s="6">
        <v>3800</v>
      </c>
    </row>
    <row r="76" spans="1:2" x14ac:dyDescent="0.3">
      <c r="A76" t="s">
        <v>64</v>
      </c>
    </row>
    <row r="77" spans="1:2" x14ac:dyDescent="0.3">
      <c r="A77" t="s">
        <v>65</v>
      </c>
      <c r="B77" s="2" t="s">
        <v>69</v>
      </c>
    </row>
    <row r="78" spans="1:2" x14ac:dyDescent="0.3">
      <c r="A78" t="s">
        <v>70</v>
      </c>
      <c r="B78" s="2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2025-11-10T11:11:16Z</dcterms:modified>
</cp:coreProperties>
</file>