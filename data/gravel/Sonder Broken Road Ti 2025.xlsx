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8B3776D-4135-2947-8E1D-4FD53F113589}" xr6:coauthVersionLast="47" xr6:coauthVersionMax="47" xr10:uidLastSave="{00000000-0000-0000-0000-000000000000}"/>
  <bookViews>
    <workbookView xWindow="3900" yWindow="196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D15" i="1"/>
  <c r="E15" i="1"/>
  <c r="F15" i="1"/>
  <c r="C15" i="1"/>
  <c r="D30" i="1"/>
  <c r="E30" i="1"/>
  <c r="F30" i="1"/>
  <c r="D31" i="1"/>
  <c r="E31" i="1"/>
  <c r="F31" i="1"/>
  <c r="C31" i="1"/>
  <c r="C30" i="1"/>
  <c r="B42" i="1"/>
</calcChain>
</file>

<file path=xl/sharedStrings.xml><?xml version="1.0" encoding="utf-8"?>
<sst xmlns="http://schemas.openxmlformats.org/spreadsheetml/2006/main" count="128" uniqueCount="117">
  <si>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</si>
  <si>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</si>
  <si>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</si>
  <si>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</si>
  <si>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</si>
  <si>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</si>
  <si>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</si>
  <si>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</si>
  <si>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</si>
  <si>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</si>
  <si>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</si>
  <si>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</si>
  <si>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</si>
  <si>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</si>
  <si>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</si>
  <si>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</si>
  <si>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</si>
  <si>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</si>
  <si>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</si>
  <si>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</si>
  <si>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</si>
  <si>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</si>
  <si>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</si>
  <si>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</si>
  <si>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</si>
  <si>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</si>
  <si>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</si>
  <si>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</si>
  <si>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</si>
  <si>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</si>
  <si>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</si>
  <si>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</si>
  <si>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</si>
  <si>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</si>
  <si>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</si>
  <si>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</si>
  <si>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</si>
  <si>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</si>
  <si>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</si>
  <si>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</si>
  <si>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</si>
  <si>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</si>
  <si>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</si>
  <si>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</si>
  <si>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</si>
  <si>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</si>
  <si>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</si>
  <si>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</si>
  <si>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</si>
  <si>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</si>
  <si>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</si>
  <si>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</si>
  <si>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</si>
  <si>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</si>
  <si>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</si>
  <si>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</si>
  <si>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</si>
  <si>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</si>
  <si>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</si>
  <si>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</si>
  <si>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</si>
  <si>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</si>
  <si>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</si>
  <si>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</si>
  <si>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</si>
  <si>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</si>
  <si>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</si>
  <si>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</si>
  <si>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</si>
  <si>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</si>
  <si>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</si>
  <si>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</si>
  <si>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</si>
  <si>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</si>
  <si>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</si>
  <si>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Small</t>
  </si>
  <si>
    <t>Medium</t>
  </si>
  <si>
    <t>Large</t>
  </si>
  <si>
    <t>X-Large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</si>
  <si>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</si>
  <si>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</si>
  <si>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</si>
  <si>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</si>
  <si>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</si>
  <si>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</si>
  <si>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</si>
  <si>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</si>
  <si>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</si>
  <si>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</si>
  <si>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</si>
  <si>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</si>
  <si>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</si>
  <si>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</si>
  <si>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</si>
  <si>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https://us.alpkit.com/collections/sonder-broken-road</t>
  </si>
  <si>
    <t>flat bar</t>
  </si>
  <si>
    <t>internal</t>
  </si>
  <si>
    <t>no</t>
  </si>
  <si>
    <t>ETT - Effective top tube</t>
  </si>
  <si>
    <t>440 - 460 (adjustable)</t>
  </si>
  <si>
    <t>44-51</t>
  </si>
  <si>
    <t>SO - Standover</t>
  </si>
  <si>
    <t>Broken Road Ti</t>
  </si>
  <si>
    <t>top_tube_length</t>
  </si>
  <si>
    <t>a8:f33</t>
  </si>
  <si>
    <t>Reba RL is 44</t>
  </si>
  <si>
    <t>suspension</t>
  </si>
  <si>
    <t>https://us.alpkit.com/cdn/shop/files/broken-road-nx_9a4e950d-41cf-4cf3-9a13-77cefce2ef7b.jpg?v=1717522013&amp;width=768</t>
  </si>
  <si>
    <t>USD</t>
  </si>
  <si>
    <t>location</t>
  </si>
  <si>
    <t>Sheffield, South Yorkshire,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</si>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</sst>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0"/>
  <sheetViews>
    <sheetView tabSelected="1" topLeftCell="A55" workbookViewId="0">
      <selection activeCell="A73" sqref="A73:B74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90</v>
      </c>
    </row>
    <row r="2" spans="1:21" x14ac:dyDescent="0.3">
      <c r="A2" s="1" t="s">
        <v>1</v>
      </c>
      <c r="B2" s="1" t="s">
        <v>102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94</v>
      </c>
    </row>
    <row r="6" spans="1:21" x14ac:dyDescent="0.3">
      <c r="B6" s="1" t="s">
        <v>107</v>
      </c>
    </row>
    <row r="7" spans="1:21" x14ac:dyDescent="0.3">
      <c r="A7" s="1" t="s">
        <v>5</v>
      </c>
      <c r="B7" s="1" t="s">
        <v>104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93</v>
      </c>
      <c r="C8" s="11" t="s">
        <v>75</v>
      </c>
      <c r="D8" s="11" t="s">
        <v>76</v>
      </c>
      <c r="E8" s="11" t="s">
        <v>77</v>
      </c>
      <c r="F8" s="11" t="s">
        <v>78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79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98</v>
      </c>
      <c r="C10" s="12">
        <v>589</v>
      </c>
      <c r="D10" s="12">
        <v>613</v>
      </c>
      <c r="E10" s="12">
        <v>642</v>
      </c>
      <c r="F10" s="12">
        <v>672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103</v>
      </c>
      <c r="B11" s="12" t="s">
        <v>80</v>
      </c>
      <c r="C11" s="12">
        <v>556</v>
      </c>
      <c r="D11" s="12">
        <v>579</v>
      </c>
      <c r="E11" s="12">
        <v>608</v>
      </c>
      <c r="F11" s="12">
        <v>637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10</v>
      </c>
      <c r="B12" s="12" t="s">
        <v>81</v>
      </c>
      <c r="C12" s="12">
        <v>105</v>
      </c>
      <c r="D12" s="12">
        <v>120</v>
      </c>
      <c r="E12" s="12">
        <v>135</v>
      </c>
      <c r="F12" s="12">
        <v>150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11</v>
      </c>
      <c r="B13" s="12" t="s">
        <v>82</v>
      </c>
      <c r="C13" s="12">
        <v>67</v>
      </c>
      <c r="D13" s="12">
        <v>67</v>
      </c>
      <c r="E13" s="12">
        <v>67</v>
      </c>
      <c r="F13" s="12">
        <v>67</v>
      </c>
      <c r="G13" s="6"/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83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84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99</v>
      </c>
      <c r="H15" s="1" t="s">
        <v>99</v>
      </c>
      <c r="I15" s="1" t="s">
        <v>99</v>
      </c>
      <c r="J15" s="1" t="s">
        <v>99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85</v>
      </c>
      <c r="C16" s="12">
        <v>60</v>
      </c>
      <c r="D16" s="12">
        <v>60</v>
      </c>
      <c r="E16" s="12">
        <v>60</v>
      </c>
      <c r="F16" s="12">
        <v>60</v>
      </c>
      <c r="G16" s="6" t="s">
        <v>105</v>
      </c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86</v>
      </c>
      <c r="C17" s="1">
        <f>VALUE(LEFT(G17,2))</f>
        <v>44</v>
      </c>
      <c r="D17" s="1">
        <f t="shared" ref="D17:F17" si="1">VALUE(LEFT(H17,2))</f>
        <v>44</v>
      </c>
      <c r="E17" s="1">
        <f t="shared" si="1"/>
        <v>44</v>
      </c>
      <c r="F17" s="1">
        <f t="shared" si="1"/>
        <v>44</v>
      </c>
      <c r="G17" s="12" t="s">
        <v>100</v>
      </c>
      <c r="H17" s="12" t="s">
        <v>100</v>
      </c>
      <c r="I17" s="12" t="s">
        <v>100</v>
      </c>
      <c r="J17" s="12" t="s">
        <v>100</v>
      </c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87</v>
      </c>
      <c r="C18" s="12">
        <v>1117</v>
      </c>
      <c r="D18" s="12">
        <v>1142</v>
      </c>
      <c r="E18" s="12">
        <v>1173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101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88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89</v>
      </c>
      <c r="C21" s="12">
        <v>585</v>
      </c>
      <c r="D21" s="12">
        <v>599</v>
      </c>
      <c r="E21" s="12">
        <v>613</v>
      </c>
      <c r="F21" s="12">
        <v>626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12</v>
      </c>
      <c r="B22" s="12"/>
      <c r="C22" s="12"/>
      <c r="D22" s="12"/>
      <c r="E22" s="12"/>
      <c r="F22" s="12"/>
      <c r="G22" s="7"/>
      <c r="H22" s="12"/>
      <c r="I22" s="12"/>
      <c r="J22" s="12"/>
      <c r="K22" s="12"/>
      <c r="L22" s="12"/>
      <c r="M22" s="12"/>
      <c r="N22" s="4"/>
      <c r="O22" s="4"/>
      <c r="P22" s="4"/>
      <c r="Q22" s="4"/>
      <c r="R22" s="4"/>
      <c r="S22" s="4"/>
    </row>
    <row r="23" spans="1:20" ht="22" x14ac:dyDescent="0.3">
      <c r="A23" s="1" t="s">
        <v>73</v>
      </c>
      <c r="B23" s="6"/>
      <c r="C23" s="7"/>
      <c r="D23" s="7"/>
      <c r="E23" s="7"/>
      <c r="F23" s="7"/>
      <c r="G23" s="7"/>
      <c r="N23" s="4"/>
      <c r="O23" s="4"/>
      <c r="P23" s="4"/>
      <c r="Q23" s="4"/>
      <c r="R23" s="4"/>
      <c r="S23" s="4"/>
    </row>
    <row r="24" spans="1:20" ht="22" x14ac:dyDescent="0.3">
      <c r="A24" s="1" t="s">
        <v>74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20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21</v>
      </c>
      <c r="F26" s="5"/>
      <c r="G26" s="7"/>
      <c r="H26" s="7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22</v>
      </c>
      <c r="G27" s="7"/>
      <c r="H27" s="6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23</v>
      </c>
      <c r="C28" s="1">
        <v>2050</v>
      </c>
      <c r="D28" s="1">
        <v>2160</v>
      </c>
      <c r="E28" s="1">
        <v>2230</v>
      </c>
      <c r="F28" s="5">
        <v>2300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ht="22" x14ac:dyDescent="0.3">
      <c r="A30" s="1" t="s">
        <v>25</v>
      </c>
      <c r="B30" s="1" t="s">
        <v>25</v>
      </c>
      <c r="C30" s="1">
        <f>2.4*25.4</f>
        <v>60.959999999999994</v>
      </c>
      <c r="D30" s="1">
        <f t="shared" ref="D30:F30" si="2">2.4*25.4</f>
        <v>60.959999999999994</v>
      </c>
      <c r="E30" s="1">
        <f t="shared" si="2"/>
        <v>60.959999999999994</v>
      </c>
      <c r="F30" s="1">
        <f t="shared" si="2"/>
        <v>60.959999999999994</v>
      </c>
      <c r="G30" s="7"/>
      <c r="H30" s="7"/>
      <c r="I30" s="7"/>
      <c r="J30" s="7"/>
      <c r="K30" s="7"/>
      <c r="L30" s="7"/>
      <c r="M30" s="3"/>
      <c r="N30" s="4"/>
      <c r="O30" s="4"/>
      <c r="P30" s="4"/>
      <c r="Q30" s="4"/>
      <c r="R30" s="4"/>
      <c r="S30" s="4"/>
      <c r="T30" s="4"/>
    </row>
    <row r="31" spans="1:20" x14ac:dyDescent="0.3">
      <c r="A31" s="1" t="s">
        <v>26</v>
      </c>
      <c r="B31" s="1" t="s">
        <v>26</v>
      </c>
      <c r="C31" s="1">
        <f>2.6*24.5</f>
        <v>63.7</v>
      </c>
      <c r="D31" s="1">
        <f t="shared" ref="D31:F31" si="3">2.6*24.5</f>
        <v>63.7</v>
      </c>
      <c r="E31" s="1">
        <f t="shared" si="3"/>
        <v>63.7</v>
      </c>
      <c r="F31" s="1">
        <f t="shared" si="3"/>
        <v>63.7</v>
      </c>
    </row>
    <row r="32" spans="1:20" x14ac:dyDescent="0.3">
      <c r="A32" s="1" t="s">
        <v>27</v>
      </c>
      <c r="B32" s="1" t="s">
        <v>28</v>
      </c>
      <c r="C32" s="1">
        <v>158</v>
      </c>
      <c r="D32" s="1">
        <v>170</v>
      </c>
      <c r="E32" s="1">
        <v>175</v>
      </c>
      <c r="F32" s="1">
        <v>187</v>
      </c>
    </row>
    <row r="33" spans="1:7" ht="22" x14ac:dyDescent="0.3">
      <c r="A33" s="1" t="s">
        <v>29</v>
      </c>
      <c r="B33" s="1" t="s">
        <v>30</v>
      </c>
      <c r="C33" s="1">
        <v>173</v>
      </c>
      <c r="D33" s="1">
        <v>177</v>
      </c>
      <c r="E33" s="1">
        <v>187</v>
      </c>
      <c r="F33" s="9">
        <v>200</v>
      </c>
    </row>
    <row r="34" spans="1:7" ht="22" x14ac:dyDescent="0.3">
      <c r="C34" s="9"/>
      <c r="D34" s="9"/>
      <c r="E34" s="9"/>
      <c r="G34" s="8"/>
    </row>
    <row r="35" spans="1:7" x14ac:dyDescent="0.3">
      <c r="A35" s="1" t="s">
        <v>31</v>
      </c>
      <c r="B35" s="1" t="s">
        <v>32</v>
      </c>
    </row>
    <row r="36" spans="1:7" x14ac:dyDescent="0.3">
      <c r="A36" s="1" t="s">
        <v>68</v>
      </c>
      <c r="B36" s="1" t="s">
        <v>69</v>
      </c>
    </row>
    <row r="37" spans="1:7" x14ac:dyDescent="0.3">
      <c r="A37" s="1" t="s">
        <v>70</v>
      </c>
      <c r="B37" s="1" t="s">
        <v>95</v>
      </c>
    </row>
    <row r="38" spans="1:7" x14ac:dyDescent="0.3">
      <c r="A38" s="1" t="s">
        <v>71</v>
      </c>
      <c r="B38" s="1" t="s">
        <v>106</v>
      </c>
    </row>
    <row r="39" spans="1:7" x14ac:dyDescent="0.3">
      <c r="A39" s="1" t="s">
        <v>33</v>
      </c>
      <c r="B39" s="1" t="s">
        <v>92</v>
      </c>
    </row>
    <row r="40" spans="1:7" x14ac:dyDescent="0.3">
      <c r="A40" s="1" t="s">
        <v>34</v>
      </c>
    </row>
    <row r="41" spans="1:7" x14ac:dyDescent="0.3">
      <c r="A41" s="1" t="s">
        <v>35</v>
      </c>
      <c r="B41" s="1">
        <v>20</v>
      </c>
    </row>
    <row r="42" spans="1:7" x14ac:dyDescent="0.3">
      <c r="A42" s="1" t="s">
        <v>36</v>
      </c>
      <c r="B42" s="1">
        <f>2.6*24.5</f>
        <v>63.7</v>
      </c>
    </row>
    <row r="43" spans="1:7" x14ac:dyDescent="0.3">
      <c r="A43" s="1" t="s">
        <v>37</v>
      </c>
      <c r="B43" s="1">
        <v>3</v>
      </c>
    </row>
    <row r="44" spans="1:7" x14ac:dyDescent="0.3">
      <c r="A44" s="1" t="s">
        <v>38</v>
      </c>
      <c r="B44" s="1">
        <v>100</v>
      </c>
    </row>
    <row r="45" spans="1:7" x14ac:dyDescent="0.3">
      <c r="A45" s="1" t="s">
        <v>39</v>
      </c>
      <c r="B45" s="1">
        <v>100</v>
      </c>
    </row>
    <row r="46" spans="1:7" x14ac:dyDescent="0.3">
      <c r="A46" s="1" t="s">
        <v>40</v>
      </c>
    </row>
    <row r="47" spans="1:7" x14ac:dyDescent="0.3">
      <c r="A47" s="1" t="s">
        <v>41</v>
      </c>
    </row>
    <row r="48" spans="1:7" x14ac:dyDescent="0.3">
      <c r="A48" s="1" t="s">
        <v>42</v>
      </c>
      <c r="B48" s="1">
        <v>148</v>
      </c>
    </row>
    <row r="49" spans="1:2" x14ac:dyDescent="0.3">
      <c r="A49" s="1" t="s">
        <v>43</v>
      </c>
      <c r="B49" s="1">
        <v>110</v>
      </c>
    </row>
    <row r="50" spans="1:2" x14ac:dyDescent="0.3">
      <c r="A50" s="1" t="s">
        <v>111</v>
      </c>
    </row>
    <row r="51" spans="1:2" x14ac:dyDescent="0.3">
      <c r="A51" s="1" t="s">
        <v>112</v>
      </c>
    </row>
    <row r="52" spans="1:2" x14ac:dyDescent="0.3">
      <c r="A52" s="1" t="s">
        <v>113</v>
      </c>
    </row>
    <row r="53" spans="1:2" x14ac:dyDescent="0.3">
      <c r="A53" s="1" t="s">
        <v>114</v>
      </c>
    </row>
    <row r="54" spans="1:2" x14ac:dyDescent="0.3">
      <c r="A54" s="1" t="s">
        <v>115</v>
      </c>
    </row>
    <row r="55" spans="1:2" x14ac:dyDescent="0.3">
      <c r="A55" s="1" t="s">
        <v>116</v>
      </c>
    </row>
    <row r="56" spans="1:2" x14ac:dyDescent="0.3">
      <c r="A56" s="1" t="s">
        <v>44</v>
      </c>
      <c r="B56" s="1" t="s">
        <v>91</v>
      </c>
    </row>
    <row r="57" spans="1:2" x14ac:dyDescent="0.3">
      <c r="A57" s="1" t="s">
        <v>45</v>
      </c>
    </row>
    <row r="58" spans="1:2" x14ac:dyDescent="0.3">
      <c r="A58" s="1" t="s">
        <v>46</v>
      </c>
      <c r="B58" s="1">
        <v>31.6</v>
      </c>
    </row>
    <row r="59" spans="1:2" x14ac:dyDescent="0.3">
      <c r="A59" s="1" t="s">
        <v>47</v>
      </c>
      <c r="B59" s="1" t="s">
        <v>97</v>
      </c>
    </row>
    <row r="60" spans="1:2" x14ac:dyDescent="0.3">
      <c r="A60" s="1" t="s">
        <v>48</v>
      </c>
      <c r="B60" s="1">
        <v>36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</row>
    <row r="64" spans="1:2" x14ac:dyDescent="0.3">
      <c r="A64" s="1" t="s">
        <v>52</v>
      </c>
    </row>
    <row r="65" spans="1:2" x14ac:dyDescent="0.3">
      <c r="A65" s="1" t="s">
        <v>53</v>
      </c>
      <c r="B65" s="1" t="s">
        <v>96</v>
      </c>
    </row>
    <row r="66" spans="1:2" x14ac:dyDescent="0.3">
      <c r="A66" s="1" t="s">
        <v>54</v>
      </c>
      <c r="B66" s="1" t="s">
        <v>96</v>
      </c>
    </row>
    <row r="67" spans="1:2" x14ac:dyDescent="0.3">
      <c r="A67" s="1" t="s">
        <v>55</v>
      </c>
    </row>
    <row r="68" spans="1:2" x14ac:dyDescent="0.3">
      <c r="A68" s="1" t="s">
        <v>56</v>
      </c>
    </row>
    <row r="69" spans="1:2" x14ac:dyDescent="0.3">
      <c r="A69" s="1" t="s">
        <v>57</v>
      </c>
    </row>
    <row r="70" spans="1:2" x14ac:dyDescent="0.3">
      <c r="A70" s="1" t="s">
        <v>58</v>
      </c>
      <c r="B70" s="1">
        <v>2</v>
      </c>
    </row>
    <row r="71" spans="1:2" x14ac:dyDescent="0.3">
      <c r="A71" s="1" t="s">
        <v>59</v>
      </c>
      <c r="B71" s="1">
        <v>1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</row>
    <row r="75" spans="1:2" x14ac:dyDescent="0.3">
      <c r="A75" s="1" t="s">
        <v>63</v>
      </c>
      <c r="B75" s="1" t="s">
        <v>72</v>
      </c>
    </row>
    <row r="76" spans="1:2" x14ac:dyDescent="0.3">
      <c r="A76" s="1" t="s">
        <v>64</v>
      </c>
      <c r="B76" s="1">
        <v>2349</v>
      </c>
    </row>
    <row r="77" spans="1:2" x14ac:dyDescent="0.3">
      <c r="A77" s="1" t="s">
        <v>65</v>
      </c>
      <c r="B77" s="1">
        <v>3049</v>
      </c>
    </row>
    <row r="78" spans="1:2" x14ac:dyDescent="0.3">
      <c r="A78" s="1" t="s">
        <v>66</v>
      </c>
      <c r="B78" s="1" t="s">
        <v>72</v>
      </c>
    </row>
    <row r="79" spans="1:2" x14ac:dyDescent="0.3">
      <c r="A79" s="1" t="s">
        <v>67</v>
      </c>
      <c r="B79" s="1" t="s">
        <v>108</v>
      </c>
    </row>
    <row r="80" spans="1:2" x14ac:dyDescent="0.3">
      <c r="A80" s="1" t="s">
        <v>109</v>
      </c>
      <c r="B80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2025-11-07T14:48:01Z</dcterms:modified>
</cp:coreProperties>
</file>