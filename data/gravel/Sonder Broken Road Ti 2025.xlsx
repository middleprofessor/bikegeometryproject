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6AC2B6C-058B-D04D-86AA-267694A210F4}" xr6:coauthVersionLast="47" xr6:coauthVersionMax="47" xr10:uidLastSave="{00000000-0000-0000-0000-000000000000}"/>
  <bookViews>
    <workbookView xWindow="3900" yWindow="1960" windowWidth="2490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C17" i="1"/>
  <c r="D15" i="1"/>
  <c r="E15" i="1"/>
  <c r="F15" i="1"/>
  <c r="C15" i="1"/>
  <c r="D30" i="1"/>
  <c r="E30" i="1"/>
  <c r="F30" i="1"/>
  <c r="D31" i="1"/>
  <c r="E31" i="1"/>
  <c r="F31" i="1"/>
  <c r="C31" i="1"/>
  <c r="C30" i="1"/>
  <c r="B42" i="1"/>
</calcChain>
</file>

<file path=xl/sharedStrings.xml><?xml version="1.0" encoding="utf-8"?>
<sst xmlns="http://schemas.openxmlformats.org/spreadsheetml/2006/main" count="119" uniqueCount="108">
  <si>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</si>
  <si>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</si>
  <si>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</si>
  <si>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</si>
  <si>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</si>
  <si>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</si>
  <si>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</si>
  <si>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</si>
  <si>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</si>
  <si>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</si>
  <si>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</si>
  <si>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</si>
  <si>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</si>
  <si>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</si>
  <si>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</si>
  <si>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</si>
  <si>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</si>
  <si>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</si>
  <si>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</si>
  <si>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</si>
  <si>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</si>
  <si>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</si>
  <si>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</si>
  <si>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</si>
  <si>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</si>
  <si>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</si>
  <si>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</si>
  <si>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</si>
  <si>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</si>
  <si>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</si>
  <si>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</si>
  <si>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</si>
  <si>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</si>
  <si>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</si>
  <si>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</si>
  <si>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</si>
  <si>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</si>
  <si>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</si>
  <si>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</si>
  <si>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</si>
  <si>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</si>
  <si>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</si>
  <si>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</si>
  <si>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</si>
  <si>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</si>
  <si>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</si>
  <si>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</si>
  <si>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</si>
  <si>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</si>
  <si>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</si>
  <si>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</si>
  <si>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</si>
  <si>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</si>
  <si>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</si>
  <si>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</si>
  <si>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</si>
  <si>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</si>
  <si>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</si>
  <si>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</si>
  <si>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</si>
  <si>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</si>
  <si>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</si>
  <si>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</si>
  <si>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</si>
  <si>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</si>
  <si>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</si>
  <si>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</si>
  <si>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</si>
  <si>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</si>
  <si>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</si>
  <si>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</si>
  <si>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</si>
  <si>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yes</t>
  </si>
  <si>
    <t>front_center</t>
  </si>
  <si>
    <t>trail</t>
  </si>
  <si>
    <t>Small</t>
  </si>
  <si>
    <t>Medium</t>
  </si>
  <si>
    <t>Large</t>
  </si>
  <si>
    <t>X-Large</t>
  </si>
  <si>
    <t>ST - Seat tube</t>
  </si>
  <si>
    <t>TT - Top tube</t>
  </si>
  <si>
    <t>HT - Head tube</t>
  </si>
  <si>
    <t>HA - Head angle</t>
  </si>
  <si>
    <t>SA - Seat angle</t>
  </si>
  <si>
    <t>CS - Chainstay</t>
  </si>
  <si>
    <t>BB - BB drop</t>
  </si>
  <si>
    <t>FO - Fork offset</t>
  </si>
  <si>
    <t>WB - Wheelbase</t>
  </si>
  <si>
    <t>RE - Reach</t>
  </si>
  <si>
    <t>SK - Stack</t>
  </si>
  <si>
    <t>Sonder</t>
  </si>
  <si>
    <t>threaded</t>
  </si>
  <si>
    <t>titanium</t>
  </si>
  <si>
    <t>Size</t>
  </si>
  <si>
    <t>https://us.alpkit.com/collections/sonder-broken-road</t>
  </si>
  <si>
    <t>flat bar</t>
  </si>
  <si>
    <t>internal</t>
  </si>
  <si>
    <t>no</t>
  </si>
  <si>
    <t>ETT - Effective top tube</t>
  </si>
  <si>
    <t>440 - 460 (adjustable)</t>
  </si>
  <si>
    <t>44-51</t>
  </si>
  <si>
    <t>SO - Standover</t>
  </si>
  <si>
    <t>Broken Road Ti</t>
  </si>
  <si>
    <t>top_tube_length</t>
  </si>
  <si>
    <t>a8:f33</t>
  </si>
  <si>
    <t>Reba RL is 44</t>
  </si>
  <si>
    <t>suspension</t>
  </si>
  <si>
    <t>https://us.alpkit.com/cdn/shop/files/broken-road-nx_9a4e950d-41cf-4cf3-9a13-77cefce2ef7b.jpg?v=1717522013&amp;width=768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</si>
</sst>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6"/>
      <color rgb="FF585858"/>
      <name val="Helvetica"/>
      <family val="2"/>
    </font>
    <font>
      <sz val="16"/>
      <color rgb="FF585858"/>
      <name val="Arial"/>
      <family val="2"/>
    </font>
    <font>
      <sz val="14"/>
      <color theme="1"/>
      <name val="Futura Medium"/>
    </font>
    <font>
      <b/>
      <sz val="16"/>
      <color theme="1"/>
      <name val="Helvetica"/>
      <family val="2"/>
    </font>
    <font>
      <sz val="1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5" width="10.77734375" style="1"/>
    <col min="6" max="6" width="11.44140625" style="1" bestFit="1" customWidth="1"/>
    <col min="7" max="16384" width="10.77734375" style="1"/>
  </cols>
  <sheetData>
    <row r="1" spans="1:21" x14ac:dyDescent="0.3">
      <c r="A1" s="1" t="s">
        <v>0</v>
      </c>
      <c r="B1" s="1" t="s">
        <v>90</v>
      </c>
    </row>
    <row r="2" spans="1:21" x14ac:dyDescent="0.3">
      <c r="A2" s="1" t="s">
        <v>1</v>
      </c>
      <c r="B2" s="1" t="s">
        <v>102</v>
      </c>
    </row>
    <row r="3" spans="1:21" x14ac:dyDescent="0.3">
      <c r="A3" s="1" t="s">
        <v>2</v>
      </c>
      <c r="B3" s="1">
        <v>2025</v>
      </c>
    </row>
    <row r="4" spans="1:21" x14ac:dyDescent="0.3">
      <c r="A4" s="1" t="s">
        <v>3</v>
      </c>
      <c r="B4" s="2">
        <v>45921</v>
      </c>
    </row>
    <row r="5" spans="1:21" x14ac:dyDescent="0.3">
      <c r="A5" s="1" t="s">
        <v>4</v>
      </c>
      <c r="B5" s="1" t="s">
        <v>94</v>
      </c>
    </row>
    <row r="6" spans="1:21" x14ac:dyDescent="0.3">
      <c r="B6" s="1" t="s">
        <v>107</v>
      </c>
    </row>
    <row r="7" spans="1:21" x14ac:dyDescent="0.3">
      <c r="A7" s="1" t="s">
        <v>5</v>
      </c>
      <c r="B7" s="1" t="s">
        <v>104</v>
      </c>
      <c r="C7" s="10"/>
      <c r="D7" s="10"/>
      <c r="E7" s="10"/>
      <c r="F7" s="10"/>
    </row>
    <row r="8" spans="1:21" ht="22" x14ac:dyDescent="0.3">
      <c r="A8" s="1" t="s">
        <v>6</v>
      </c>
      <c r="B8" s="1" t="s">
        <v>93</v>
      </c>
      <c r="C8" s="11" t="s">
        <v>75</v>
      </c>
      <c r="D8" s="11" t="s">
        <v>76</v>
      </c>
      <c r="E8" s="11" t="s">
        <v>77</v>
      </c>
      <c r="F8" s="11" t="s">
        <v>78</v>
      </c>
      <c r="G8" s="6"/>
      <c r="H8" s="11"/>
      <c r="I8" s="11"/>
      <c r="J8" s="11"/>
      <c r="K8" s="11"/>
      <c r="L8" s="11"/>
      <c r="M8" s="11"/>
      <c r="N8" s="3"/>
      <c r="O8" s="3"/>
      <c r="P8" s="3"/>
      <c r="Q8" s="3"/>
      <c r="R8" s="3"/>
      <c r="S8" s="3"/>
      <c r="T8" s="3"/>
      <c r="U8" s="3"/>
    </row>
    <row r="9" spans="1:21" ht="22" x14ac:dyDescent="0.3">
      <c r="A9" s="1" t="s">
        <v>9</v>
      </c>
      <c r="B9" s="12" t="s">
        <v>79</v>
      </c>
      <c r="C9" s="12">
        <v>410</v>
      </c>
      <c r="D9" s="12">
        <v>440</v>
      </c>
      <c r="E9" s="12">
        <v>465</v>
      </c>
      <c r="F9" s="12">
        <v>495</v>
      </c>
      <c r="G9" s="7"/>
      <c r="H9" s="12"/>
      <c r="I9" s="12"/>
      <c r="J9" s="12"/>
      <c r="K9" s="12"/>
      <c r="L9" s="12"/>
      <c r="M9" s="12"/>
      <c r="N9" s="4"/>
      <c r="O9" s="4"/>
      <c r="P9" s="4"/>
      <c r="Q9" s="4"/>
      <c r="R9" s="4"/>
      <c r="S9" s="4"/>
    </row>
    <row r="10" spans="1:21" ht="22" x14ac:dyDescent="0.3">
      <c r="A10" s="1" t="s">
        <v>7</v>
      </c>
      <c r="B10" s="12" t="s">
        <v>98</v>
      </c>
      <c r="C10" s="12">
        <v>589</v>
      </c>
      <c r="D10" s="12">
        <v>613</v>
      </c>
      <c r="E10" s="12">
        <v>642</v>
      </c>
      <c r="F10" s="12">
        <v>672</v>
      </c>
      <c r="G10" s="7"/>
      <c r="H10" s="12"/>
      <c r="I10" s="12"/>
      <c r="J10" s="12"/>
      <c r="K10" s="12"/>
      <c r="L10" s="12"/>
      <c r="M10" s="12"/>
      <c r="N10" s="4"/>
      <c r="O10" s="4"/>
      <c r="P10" s="4"/>
      <c r="Q10" s="4"/>
      <c r="R10" s="4"/>
      <c r="S10" s="4"/>
    </row>
    <row r="11" spans="1:21" ht="22" x14ac:dyDescent="0.3">
      <c r="A11" s="1" t="s">
        <v>103</v>
      </c>
      <c r="B11" s="12" t="s">
        <v>80</v>
      </c>
      <c r="C11" s="12">
        <v>556</v>
      </c>
      <c r="D11" s="12">
        <v>579</v>
      </c>
      <c r="E11" s="12">
        <v>608</v>
      </c>
      <c r="F11" s="12">
        <v>637</v>
      </c>
      <c r="G11" s="7"/>
      <c r="H11" s="12"/>
      <c r="I11" s="12"/>
      <c r="J11" s="12"/>
      <c r="K11" s="12"/>
      <c r="L11" s="12"/>
      <c r="M11" s="12"/>
      <c r="N11" s="4"/>
      <c r="O11" s="4"/>
      <c r="P11" s="4"/>
      <c r="Q11" s="4"/>
      <c r="R11" s="4"/>
      <c r="S11" s="4"/>
    </row>
    <row r="12" spans="1:21" ht="22" x14ac:dyDescent="0.3">
      <c r="A12" s="1" t="s">
        <v>10</v>
      </c>
      <c r="B12" s="12" t="s">
        <v>81</v>
      </c>
      <c r="C12" s="12">
        <v>105</v>
      </c>
      <c r="D12" s="12">
        <v>120</v>
      </c>
      <c r="E12" s="12">
        <v>135</v>
      </c>
      <c r="F12" s="12">
        <v>150</v>
      </c>
      <c r="G12" s="7"/>
      <c r="H12" s="12"/>
      <c r="I12" s="12"/>
      <c r="J12" s="12"/>
      <c r="K12" s="12"/>
      <c r="L12" s="12"/>
      <c r="M12" s="12"/>
      <c r="N12" s="4"/>
      <c r="O12" s="4"/>
      <c r="P12" s="4"/>
      <c r="Q12" s="4"/>
      <c r="R12" s="4"/>
      <c r="S12" s="4"/>
    </row>
    <row r="13" spans="1:21" ht="22" x14ac:dyDescent="0.3">
      <c r="A13" s="1" t="s">
        <v>11</v>
      </c>
      <c r="B13" s="12" t="s">
        <v>82</v>
      </c>
      <c r="C13" s="12">
        <v>67</v>
      </c>
      <c r="D13" s="12">
        <v>67</v>
      </c>
      <c r="E13" s="12">
        <v>67</v>
      </c>
      <c r="F13" s="12">
        <v>67</v>
      </c>
      <c r="G13" s="6"/>
      <c r="H13" s="12"/>
      <c r="I13" s="12"/>
      <c r="J13" s="12"/>
      <c r="K13" s="12"/>
      <c r="L13" s="12"/>
      <c r="M13" s="12"/>
      <c r="N13" s="4"/>
      <c r="O13" s="4"/>
      <c r="P13" s="4"/>
      <c r="Q13" s="4"/>
      <c r="R13" s="4"/>
      <c r="S13" s="4"/>
    </row>
    <row r="14" spans="1:21" ht="22" x14ac:dyDescent="0.3">
      <c r="A14" s="1" t="s">
        <v>8</v>
      </c>
      <c r="B14" s="12" t="s">
        <v>83</v>
      </c>
      <c r="C14" s="12">
        <v>73</v>
      </c>
      <c r="D14" s="12">
        <v>73</v>
      </c>
      <c r="E14" s="12">
        <v>73</v>
      </c>
      <c r="F14" s="12">
        <v>73</v>
      </c>
      <c r="G14" s="7"/>
      <c r="H14" s="12"/>
      <c r="I14" s="12"/>
      <c r="J14" s="12"/>
      <c r="K14" s="12"/>
      <c r="L14" s="12"/>
      <c r="M14" s="12"/>
      <c r="N14" s="4"/>
      <c r="O14" s="4"/>
      <c r="P14" s="4"/>
      <c r="Q14" s="4"/>
      <c r="R14" s="4"/>
      <c r="S14" s="4"/>
    </row>
    <row r="15" spans="1:21" ht="22" x14ac:dyDescent="0.3">
      <c r="A15" s="1" t="s">
        <v>14</v>
      </c>
      <c r="B15" s="12" t="s">
        <v>84</v>
      </c>
      <c r="C15" s="1">
        <f>VALUE(LEFT(G15,3))</f>
        <v>440</v>
      </c>
      <c r="D15" s="1">
        <f t="shared" ref="D15:F15" si="0">VALUE(LEFT(H15,3))</f>
        <v>440</v>
      </c>
      <c r="E15" s="1">
        <f t="shared" si="0"/>
        <v>440</v>
      </c>
      <c r="F15" s="1">
        <f t="shared" si="0"/>
        <v>440</v>
      </c>
      <c r="G15" s="1" t="s">
        <v>99</v>
      </c>
      <c r="H15" s="1" t="s">
        <v>99</v>
      </c>
      <c r="I15" s="1" t="s">
        <v>99</v>
      </c>
      <c r="J15" s="1" t="s">
        <v>99</v>
      </c>
      <c r="K15" s="12"/>
      <c r="L15" s="12"/>
      <c r="M15" s="12"/>
      <c r="N15" s="4"/>
      <c r="O15" s="4"/>
      <c r="P15" s="4"/>
      <c r="Q15" s="4"/>
      <c r="R15" s="4"/>
      <c r="S15" s="4"/>
    </row>
    <row r="16" spans="1:21" ht="22" x14ac:dyDescent="0.3">
      <c r="A16" s="1" t="s">
        <v>15</v>
      </c>
      <c r="B16" s="12" t="s">
        <v>85</v>
      </c>
      <c r="C16" s="12">
        <v>60</v>
      </c>
      <c r="D16" s="12">
        <v>60</v>
      </c>
      <c r="E16" s="12">
        <v>60</v>
      </c>
      <c r="F16" s="12">
        <v>60</v>
      </c>
      <c r="G16" s="6" t="s">
        <v>105</v>
      </c>
      <c r="H16" s="12"/>
      <c r="I16" s="12"/>
      <c r="J16" s="12"/>
      <c r="K16" s="12"/>
      <c r="L16" s="12"/>
      <c r="M16" s="12"/>
      <c r="N16" s="4"/>
      <c r="O16" s="4"/>
      <c r="P16" s="4"/>
      <c r="Q16" s="4"/>
      <c r="R16" s="4"/>
      <c r="S16" s="4"/>
    </row>
    <row r="17" spans="1:20" ht="22" x14ac:dyDescent="0.3">
      <c r="A17" s="1" t="s">
        <v>13</v>
      </c>
      <c r="B17" s="12" t="s">
        <v>86</v>
      </c>
      <c r="C17" s="1">
        <f>VALUE(LEFT(G17,2))</f>
        <v>44</v>
      </c>
      <c r="D17" s="1">
        <f t="shared" ref="D17:F17" si="1">VALUE(LEFT(H17,2))</f>
        <v>44</v>
      </c>
      <c r="E17" s="1">
        <f t="shared" si="1"/>
        <v>44</v>
      </c>
      <c r="F17" s="1">
        <f t="shared" si="1"/>
        <v>44</v>
      </c>
      <c r="G17" s="12" t="s">
        <v>100</v>
      </c>
      <c r="H17" s="12" t="s">
        <v>100</v>
      </c>
      <c r="I17" s="12" t="s">
        <v>100</v>
      </c>
      <c r="J17" s="12" t="s">
        <v>100</v>
      </c>
      <c r="K17" s="12"/>
      <c r="L17" s="12"/>
      <c r="M17" s="12"/>
      <c r="N17" s="4"/>
      <c r="O17" s="4"/>
      <c r="P17" s="4"/>
      <c r="Q17" s="4"/>
      <c r="R17" s="4"/>
      <c r="S17" s="4"/>
      <c r="T17" s="4"/>
    </row>
    <row r="18" spans="1:20" ht="22" x14ac:dyDescent="0.3">
      <c r="A18" s="1" t="s">
        <v>19</v>
      </c>
      <c r="B18" s="12" t="s">
        <v>87</v>
      </c>
      <c r="C18" s="12">
        <v>1117</v>
      </c>
      <c r="D18" s="12">
        <v>1142</v>
      </c>
      <c r="E18" s="12">
        <v>1173</v>
      </c>
      <c r="F18" s="12">
        <v>1204</v>
      </c>
      <c r="K18" s="12"/>
      <c r="L18" s="12"/>
      <c r="M18" s="12"/>
      <c r="N18" s="4"/>
      <c r="O18" s="4"/>
      <c r="P18" s="4"/>
      <c r="Q18" s="4"/>
      <c r="R18" s="4"/>
      <c r="S18" s="4"/>
      <c r="T18" s="4"/>
    </row>
    <row r="19" spans="1:20" ht="22" x14ac:dyDescent="0.3">
      <c r="A19" s="1" t="s">
        <v>18</v>
      </c>
      <c r="B19" s="12" t="s">
        <v>101</v>
      </c>
      <c r="C19" s="12">
        <v>735</v>
      </c>
      <c r="D19" s="12">
        <v>767</v>
      </c>
      <c r="E19" s="12">
        <v>782</v>
      </c>
      <c r="F19" s="12">
        <v>808</v>
      </c>
      <c r="G19" s="7"/>
      <c r="H19" s="12"/>
      <c r="I19" s="12"/>
      <c r="J19" s="12"/>
      <c r="K19" s="12"/>
      <c r="L19" s="12"/>
      <c r="M19" s="12"/>
      <c r="N19" s="4"/>
      <c r="O19" s="4"/>
      <c r="P19" s="4"/>
      <c r="Q19" s="4"/>
      <c r="R19" s="4"/>
      <c r="S19" s="4"/>
    </row>
    <row r="20" spans="1:20" ht="22" x14ac:dyDescent="0.3">
      <c r="A20" s="1" t="s">
        <v>17</v>
      </c>
      <c r="B20" s="12" t="s">
        <v>88</v>
      </c>
      <c r="C20" s="12">
        <v>410</v>
      </c>
      <c r="D20" s="12">
        <v>430</v>
      </c>
      <c r="E20" s="12">
        <v>455</v>
      </c>
      <c r="F20" s="12">
        <v>480</v>
      </c>
      <c r="G20" s="7"/>
      <c r="H20" s="12"/>
      <c r="I20" s="12"/>
      <c r="J20" s="12"/>
      <c r="K20" s="12"/>
      <c r="L20" s="12"/>
      <c r="M20" s="12"/>
      <c r="N20" s="4"/>
      <c r="O20" s="4"/>
      <c r="P20" s="4"/>
      <c r="Q20" s="4"/>
      <c r="R20" s="4"/>
      <c r="S20" s="4"/>
    </row>
    <row r="21" spans="1:20" ht="22" x14ac:dyDescent="0.3">
      <c r="A21" s="1" t="s">
        <v>16</v>
      </c>
      <c r="B21" s="12" t="s">
        <v>89</v>
      </c>
      <c r="C21" s="12">
        <v>585</v>
      </c>
      <c r="D21" s="12">
        <v>599</v>
      </c>
      <c r="E21" s="12">
        <v>613</v>
      </c>
      <c r="F21" s="12">
        <v>626</v>
      </c>
      <c r="G21" s="7"/>
      <c r="H21" s="12"/>
      <c r="I21" s="12"/>
      <c r="J21" s="12"/>
      <c r="K21" s="12"/>
      <c r="L21" s="12"/>
      <c r="M21" s="12"/>
      <c r="N21" s="4"/>
      <c r="O21" s="4"/>
      <c r="P21" s="4"/>
      <c r="Q21" s="4"/>
      <c r="R21" s="4"/>
      <c r="S21" s="4"/>
    </row>
    <row r="22" spans="1:20" ht="22" x14ac:dyDescent="0.3">
      <c r="A22" s="1" t="s">
        <v>12</v>
      </c>
      <c r="B22" s="12"/>
      <c r="C22" s="12"/>
      <c r="D22" s="12"/>
      <c r="E22" s="12"/>
      <c r="F22" s="12"/>
      <c r="G22" s="7"/>
      <c r="H22" s="12"/>
      <c r="I22" s="12"/>
      <c r="J22" s="12"/>
      <c r="K22" s="12"/>
      <c r="L22" s="12"/>
      <c r="M22" s="12"/>
      <c r="N22" s="4"/>
      <c r="O22" s="4"/>
      <c r="P22" s="4"/>
      <c r="Q22" s="4"/>
      <c r="R22" s="4"/>
      <c r="S22" s="4"/>
    </row>
    <row r="23" spans="1:20" ht="22" x14ac:dyDescent="0.3">
      <c r="A23" s="1" t="s">
        <v>73</v>
      </c>
      <c r="B23" s="6"/>
      <c r="C23" s="7"/>
      <c r="D23" s="7"/>
      <c r="E23" s="7"/>
      <c r="F23" s="7"/>
      <c r="G23" s="7"/>
      <c r="N23" s="4"/>
      <c r="O23" s="4"/>
      <c r="P23" s="4"/>
      <c r="Q23" s="4"/>
      <c r="R23" s="4"/>
      <c r="S23" s="4"/>
    </row>
    <row r="24" spans="1:20" ht="22" x14ac:dyDescent="0.3">
      <c r="A24" s="1" t="s">
        <v>74</v>
      </c>
      <c r="F24" s="5"/>
      <c r="G24" s="7"/>
      <c r="H24" s="7"/>
      <c r="I24" s="7"/>
      <c r="J24" s="7"/>
      <c r="K24" s="7"/>
      <c r="L24" s="7"/>
      <c r="M24" s="3"/>
      <c r="N24" s="4"/>
      <c r="O24" s="4"/>
      <c r="P24" s="4"/>
      <c r="Q24" s="4"/>
      <c r="R24" s="4"/>
      <c r="S24" s="4"/>
      <c r="T24" s="4"/>
    </row>
    <row r="25" spans="1:20" ht="22" x14ac:dyDescent="0.3">
      <c r="A25" s="1" t="s">
        <v>20</v>
      </c>
      <c r="F25" s="5"/>
      <c r="G25" s="7"/>
      <c r="H25" s="7"/>
      <c r="I25" s="7"/>
      <c r="J25" s="7"/>
      <c r="K25" s="7"/>
      <c r="L25" s="7"/>
      <c r="M25" s="3"/>
      <c r="N25" s="4"/>
      <c r="O25" s="4"/>
      <c r="P25" s="4"/>
      <c r="Q25" s="4"/>
      <c r="R25" s="4"/>
      <c r="S25" s="4"/>
      <c r="T25" s="4"/>
    </row>
    <row r="26" spans="1:20" ht="22" x14ac:dyDescent="0.3">
      <c r="A26" s="1" t="s">
        <v>21</v>
      </c>
      <c r="F26" s="5"/>
      <c r="G26" s="7"/>
      <c r="H26" s="7"/>
      <c r="I26" s="7"/>
      <c r="J26" s="7"/>
      <c r="K26" s="7"/>
      <c r="L26" s="7"/>
      <c r="M26" s="3"/>
      <c r="N26" s="4"/>
      <c r="O26" s="4"/>
      <c r="P26" s="4"/>
      <c r="Q26" s="4"/>
      <c r="R26" s="4"/>
      <c r="S26" s="4"/>
      <c r="T26" s="4"/>
    </row>
    <row r="27" spans="1:20" ht="22" x14ac:dyDescent="0.3">
      <c r="A27" s="1" t="s">
        <v>22</v>
      </c>
      <c r="G27" s="7"/>
      <c r="H27" s="6"/>
      <c r="I27" s="7"/>
      <c r="J27" s="7"/>
      <c r="K27" s="7"/>
      <c r="L27" s="7"/>
      <c r="M27" s="3"/>
      <c r="N27" s="4"/>
      <c r="O27" s="4"/>
      <c r="P27" s="4"/>
      <c r="Q27" s="4"/>
      <c r="R27" s="4"/>
      <c r="S27" s="4"/>
      <c r="T27" s="4"/>
    </row>
    <row r="28" spans="1:20" ht="22" x14ac:dyDescent="0.3">
      <c r="A28" s="1" t="s">
        <v>23</v>
      </c>
      <c r="C28" s="1">
        <v>2050</v>
      </c>
      <c r="D28" s="1">
        <v>2160</v>
      </c>
      <c r="E28" s="1">
        <v>2230</v>
      </c>
      <c r="F28" s="5">
        <v>2300</v>
      </c>
      <c r="G28" s="7"/>
      <c r="H28" s="7"/>
      <c r="I28" s="7"/>
      <c r="J28" s="7"/>
      <c r="K28" s="7"/>
      <c r="L28" s="7"/>
      <c r="M28" s="3"/>
      <c r="N28" s="4"/>
      <c r="O28" s="4"/>
      <c r="P28" s="4"/>
      <c r="Q28" s="4"/>
      <c r="R28" s="4"/>
      <c r="S28" s="4"/>
      <c r="T28" s="4"/>
    </row>
    <row r="29" spans="1:20" ht="22" x14ac:dyDescent="0.3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7"/>
      <c r="H29" s="7"/>
      <c r="I29" s="7"/>
      <c r="J29" s="7"/>
      <c r="K29" s="7"/>
      <c r="L29" s="7"/>
      <c r="M29" s="3"/>
      <c r="N29" s="4"/>
      <c r="O29" s="4"/>
      <c r="P29" s="4"/>
      <c r="Q29" s="4"/>
      <c r="R29" s="4"/>
      <c r="S29" s="4"/>
      <c r="T29" s="4"/>
    </row>
    <row r="30" spans="1:20" ht="22" x14ac:dyDescent="0.3">
      <c r="A30" s="1" t="s">
        <v>25</v>
      </c>
      <c r="B30" s="1" t="s">
        <v>25</v>
      </c>
      <c r="C30" s="1">
        <f>2.4*25.4</f>
        <v>60.959999999999994</v>
      </c>
      <c r="D30" s="1">
        <f t="shared" ref="D30:F30" si="2">2.4*25.4</f>
        <v>60.959999999999994</v>
      </c>
      <c r="E30" s="1">
        <f t="shared" si="2"/>
        <v>60.959999999999994</v>
      </c>
      <c r="F30" s="1">
        <f t="shared" si="2"/>
        <v>60.959999999999994</v>
      </c>
      <c r="G30" s="7"/>
      <c r="H30" s="7"/>
      <c r="I30" s="7"/>
      <c r="J30" s="7"/>
      <c r="K30" s="7"/>
      <c r="L30" s="7"/>
      <c r="M30" s="3"/>
      <c r="N30" s="4"/>
      <c r="O30" s="4"/>
      <c r="P30" s="4"/>
      <c r="Q30" s="4"/>
      <c r="R30" s="4"/>
      <c r="S30" s="4"/>
      <c r="T30" s="4"/>
    </row>
    <row r="31" spans="1:20" x14ac:dyDescent="0.3">
      <c r="A31" s="1" t="s">
        <v>26</v>
      </c>
      <c r="B31" s="1" t="s">
        <v>26</v>
      </c>
      <c r="C31" s="1">
        <f>2.6*24.5</f>
        <v>63.7</v>
      </c>
      <c r="D31" s="1">
        <f t="shared" ref="D31:F31" si="3">2.6*24.5</f>
        <v>63.7</v>
      </c>
      <c r="E31" s="1">
        <f t="shared" si="3"/>
        <v>63.7</v>
      </c>
      <c r="F31" s="1">
        <f t="shared" si="3"/>
        <v>63.7</v>
      </c>
    </row>
    <row r="32" spans="1:20" x14ac:dyDescent="0.3">
      <c r="A32" s="1" t="s">
        <v>27</v>
      </c>
      <c r="B32" s="1" t="s">
        <v>28</v>
      </c>
      <c r="C32" s="1">
        <v>158</v>
      </c>
      <c r="D32" s="1">
        <v>170</v>
      </c>
      <c r="E32" s="1">
        <v>175</v>
      </c>
      <c r="F32" s="1">
        <v>187</v>
      </c>
    </row>
    <row r="33" spans="1:7" ht="22" x14ac:dyDescent="0.3">
      <c r="A33" s="1" t="s">
        <v>29</v>
      </c>
      <c r="B33" s="1" t="s">
        <v>30</v>
      </c>
      <c r="C33" s="1">
        <v>173</v>
      </c>
      <c r="D33" s="1">
        <v>177</v>
      </c>
      <c r="E33" s="1">
        <v>187</v>
      </c>
      <c r="F33" s="9">
        <v>200</v>
      </c>
    </row>
    <row r="34" spans="1:7" ht="22" x14ac:dyDescent="0.3">
      <c r="C34" s="9"/>
      <c r="D34" s="9"/>
      <c r="E34" s="9"/>
      <c r="G34" s="8"/>
    </row>
    <row r="35" spans="1:7" x14ac:dyDescent="0.3">
      <c r="A35" s="1" t="s">
        <v>31</v>
      </c>
      <c r="B35" s="1" t="s">
        <v>32</v>
      </c>
    </row>
    <row r="36" spans="1:7" x14ac:dyDescent="0.3">
      <c r="A36" s="1" t="s">
        <v>68</v>
      </c>
      <c r="B36" s="1" t="s">
        <v>69</v>
      </c>
    </row>
    <row r="37" spans="1:7" x14ac:dyDescent="0.3">
      <c r="A37" s="1" t="s">
        <v>70</v>
      </c>
      <c r="B37" s="1" t="s">
        <v>95</v>
      </c>
    </row>
    <row r="38" spans="1:7" x14ac:dyDescent="0.3">
      <c r="A38" s="1" t="s">
        <v>71</v>
      </c>
      <c r="B38" s="1" t="s">
        <v>106</v>
      </c>
    </row>
    <row r="39" spans="1:7" x14ac:dyDescent="0.3">
      <c r="A39" s="1" t="s">
        <v>33</v>
      </c>
      <c r="B39" s="1" t="s">
        <v>92</v>
      </c>
    </row>
    <row r="40" spans="1:7" x14ac:dyDescent="0.3">
      <c r="A40" s="1" t="s">
        <v>34</v>
      </c>
    </row>
    <row r="41" spans="1:7" x14ac:dyDescent="0.3">
      <c r="A41" s="1" t="s">
        <v>35</v>
      </c>
      <c r="B41" s="1">
        <v>20</v>
      </c>
    </row>
    <row r="42" spans="1:7" x14ac:dyDescent="0.3">
      <c r="A42" s="1" t="s">
        <v>36</v>
      </c>
      <c r="B42" s="1">
        <f>2.6*24.5</f>
        <v>63.7</v>
      </c>
    </row>
    <row r="43" spans="1:7" x14ac:dyDescent="0.3">
      <c r="A43" s="1" t="s">
        <v>37</v>
      </c>
      <c r="B43" s="1">
        <v>3</v>
      </c>
    </row>
    <row r="44" spans="1:7" x14ac:dyDescent="0.3">
      <c r="A44" s="1" t="s">
        <v>38</v>
      </c>
      <c r="B44" s="1">
        <v>100</v>
      </c>
    </row>
    <row r="45" spans="1:7" x14ac:dyDescent="0.3">
      <c r="A45" s="1" t="s">
        <v>39</v>
      </c>
      <c r="B45" s="1">
        <v>100</v>
      </c>
    </row>
    <row r="46" spans="1:7" x14ac:dyDescent="0.3">
      <c r="A46" s="1" t="s">
        <v>40</v>
      </c>
    </row>
    <row r="47" spans="1:7" x14ac:dyDescent="0.3">
      <c r="A47" s="1" t="s">
        <v>41</v>
      </c>
    </row>
    <row r="48" spans="1:7" x14ac:dyDescent="0.3">
      <c r="A48" s="1" t="s">
        <v>42</v>
      </c>
      <c r="B48" s="1">
        <v>148</v>
      </c>
    </row>
    <row r="49" spans="1:2" x14ac:dyDescent="0.3">
      <c r="A49" s="1" t="s">
        <v>43</v>
      </c>
      <c r="B49" s="1">
        <v>110</v>
      </c>
    </row>
    <row r="50" spans="1:2" x14ac:dyDescent="0.3">
      <c r="A50" s="1" t="s">
        <v>44</v>
      </c>
      <c r="B50" s="1" t="s">
        <v>91</v>
      </c>
    </row>
    <row r="51" spans="1:2" x14ac:dyDescent="0.3">
      <c r="A51" s="1" t="s">
        <v>45</v>
      </c>
    </row>
    <row r="52" spans="1:2" x14ac:dyDescent="0.3">
      <c r="A52" s="1" t="s">
        <v>46</v>
      </c>
      <c r="B52" s="1">
        <v>31.6</v>
      </c>
    </row>
    <row r="53" spans="1:2" x14ac:dyDescent="0.3">
      <c r="A53" s="1" t="s">
        <v>47</v>
      </c>
      <c r="B53" s="1" t="s">
        <v>97</v>
      </c>
    </row>
    <row r="54" spans="1:2" x14ac:dyDescent="0.3">
      <c r="A54" s="1" t="s">
        <v>48</v>
      </c>
      <c r="B54" s="1">
        <v>36</v>
      </c>
    </row>
    <row r="55" spans="1:2" x14ac:dyDescent="0.3">
      <c r="A55" s="1" t="s">
        <v>49</v>
      </c>
    </row>
    <row r="56" spans="1:2" x14ac:dyDescent="0.3">
      <c r="A56" s="1" t="s">
        <v>50</v>
      </c>
    </row>
    <row r="57" spans="1:2" x14ac:dyDescent="0.3">
      <c r="A57" s="1" t="s">
        <v>51</v>
      </c>
    </row>
    <row r="58" spans="1:2" x14ac:dyDescent="0.3">
      <c r="A58" s="1" t="s">
        <v>52</v>
      </c>
    </row>
    <row r="59" spans="1:2" x14ac:dyDescent="0.3">
      <c r="A59" s="1" t="s">
        <v>53</v>
      </c>
      <c r="B59" s="1" t="s">
        <v>96</v>
      </c>
    </row>
    <row r="60" spans="1:2" x14ac:dyDescent="0.3">
      <c r="A60" s="1" t="s">
        <v>54</v>
      </c>
      <c r="B60" s="1" t="s">
        <v>96</v>
      </c>
    </row>
    <row r="61" spans="1:2" x14ac:dyDescent="0.3">
      <c r="A61" s="1" t="s">
        <v>55</v>
      </c>
    </row>
    <row r="62" spans="1:2" x14ac:dyDescent="0.3">
      <c r="A62" s="1" t="s">
        <v>56</v>
      </c>
    </row>
    <row r="63" spans="1:2" x14ac:dyDescent="0.3">
      <c r="A63" s="1" t="s">
        <v>57</v>
      </c>
    </row>
    <row r="64" spans="1:2" x14ac:dyDescent="0.3">
      <c r="A64" s="1" t="s">
        <v>58</v>
      </c>
      <c r="B64" s="1">
        <v>2</v>
      </c>
    </row>
    <row r="65" spans="1:2" x14ac:dyDescent="0.3">
      <c r="A65" s="1" t="s">
        <v>59</v>
      </c>
      <c r="B65" s="1">
        <v>1</v>
      </c>
    </row>
    <row r="66" spans="1:2" x14ac:dyDescent="0.3">
      <c r="A66" s="1" t="s">
        <v>60</v>
      </c>
    </row>
    <row r="67" spans="1:2" x14ac:dyDescent="0.3">
      <c r="A67" s="1" t="s">
        <v>61</v>
      </c>
    </row>
    <row r="68" spans="1:2" x14ac:dyDescent="0.3">
      <c r="A68" s="1" t="s">
        <v>62</v>
      </c>
    </row>
    <row r="69" spans="1:2" x14ac:dyDescent="0.3">
      <c r="A69" s="1" t="s">
        <v>63</v>
      </c>
      <c r="B69" s="1" t="s">
        <v>72</v>
      </c>
    </row>
    <row r="70" spans="1:2" x14ac:dyDescent="0.3">
      <c r="A70" s="1" t="s">
        <v>64</v>
      </c>
      <c r="B70" s="1">
        <v>2349</v>
      </c>
    </row>
    <row r="71" spans="1:2" x14ac:dyDescent="0.3">
      <c r="A71" s="1" t="s">
        <v>65</v>
      </c>
      <c r="B71" s="1">
        <v>3049</v>
      </c>
    </row>
    <row r="72" spans="1:2" x14ac:dyDescent="0.3">
      <c r="A72" s="1" t="s">
        <v>66</v>
      </c>
      <c r="B72" s="1" t="s">
        <v>72</v>
      </c>
    </row>
    <row r="73" spans="1:2" x14ac:dyDescent="0.3">
      <c r="A73" s="1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2025-10-15T12:28:18Z</dcterms:modified>
</cp:coreProperties>
</file>