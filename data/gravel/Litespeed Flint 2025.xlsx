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6A5CC20-6DAC-B540-9BCC-9F28F599C4CF}" xr6:coauthVersionLast="47" xr6:coauthVersionMax="47" xr10:uidLastSave="{00000000-0000-0000-0000-000000000000}"/>
  <bookViews>
    <workbookView xWindow="222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D11" i="1"/>
  <c r="E11" i="1"/>
  <c r="F11" i="1"/>
  <c r="G11" i="1"/>
  <c r="H11" i="1"/>
  <c r="C11" i="1"/>
  <c r="C10" i="1"/>
  <c r="AL25" i="1"/>
  <c r="AM25" i="1"/>
  <c r="AL26" i="1"/>
  <c r="AM26" i="1"/>
  <c r="AL30" i="1"/>
  <c r="AM30" i="1"/>
  <c r="AL31" i="1"/>
  <c r="AM31" i="1"/>
  <c r="AL33" i="1"/>
  <c r="AM33" i="1"/>
  <c r="AL34" i="1"/>
  <c r="AL35" i="1" s="1"/>
  <c r="AL36" i="1" s="1"/>
  <c r="AM34" i="1"/>
  <c r="AM35" i="1" s="1"/>
  <c r="AM36" i="1" s="1"/>
  <c r="AM37" i="1" s="1"/>
  <c r="AK33" i="1"/>
  <c r="AJ33" i="1"/>
  <c r="AK25" i="1"/>
  <c r="AK26" i="1"/>
  <c r="AK30" i="1"/>
  <c r="AK31" i="1"/>
  <c r="AK34" i="1"/>
  <c r="AK35" i="1" s="1"/>
  <c r="AK36" i="1" s="1"/>
  <c r="AJ25" i="1"/>
  <c r="AJ26" i="1"/>
  <c r="AJ30" i="1"/>
  <c r="AJ31" i="1"/>
  <c r="AJ34" i="1"/>
  <c r="AJ35" i="1" s="1"/>
  <c r="AJ36" i="1" s="1"/>
  <c r="AJ38" i="1" s="1"/>
  <c r="AK38" i="1" l="1"/>
  <c r="AK39" i="1" s="1"/>
  <c r="AK37" i="1"/>
  <c r="AL38" i="1"/>
  <c r="AL37" i="1"/>
  <c r="AM38" i="1"/>
  <c r="AM39" i="1" s="1"/>
  <c r="AJ37" i="1"/>
  <c r="AK27" i="1"/>
  <c r="AJ39" i="1"/>
  <c r="AL39" i="1"/>
  <c r="AM27" i="1"/>
  <c r="AL27" i="1"/>
  <c r="AM43" i="1"/>
  <c r="AM44" i="1" s="1"/>
  <c r="AM47" i="1" s="1"/>
  <c r="AK43" i="1"/>
  <c r="AK45" i="1" s="1"/>
  <c r="AL43" i="1"/>
  <c r="AL45" i="1" s="1"/>
  <c r="AJ43" i="1"/>
  <c r="AJ27" i="1"/>
  <c r="E31" i="1"/>
  <c r="D32" i="1" s="1"/>
  <c r="F31" i="1"/>
  <c r="E32" i="1" s="1"/>
  <c r="G31" i="1"/>
  <c r="F32" i="1" s="1"/>
  <c r="H31" i="1"/>
  <c r="G32" i="1" s="1"/>
  <c r="D31" i="1"/>
  <c r="C32" i="1" s="1"/>
  <c r="D9" i="1"/>
  <c r="E9" i="1"/>
  <c r="F9" i="1"/>
  <c r="G9" i="1"/>
  <c r="H9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E39" i="1" s="1"/>
  <c r="F17" i="1"/>
  <c r="F39" i="1" s="1"/>
  <c r="G17" i="1"/>
  <c r="G39" i="1" s="1"/>
  <c r="H17" i="1"/>
  <c r="H39" i="1" s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C21" i="1"/>
  <c r="C20" i="1"/>
  <c r="C19" i="1"/>
  <c r="C18" i="1"/>
  <c r="C17" i="1"/>
  <c r="C16" i="1"/>
  <c r="C15" i="1"/>
  <c r="C14" i="1"/>
  <c r="C13" i="1"/>
  <c r="C12" i="1"/>
  <c r="C9" i="1"/>
  <c r="AL44" i="1" l="1"/>
  <c r="AL47" i="1" s="1"/>
  <c r="AM45" i="1"/>
  <c r="AM46" i="1" s="1"/>
  <c r="AK44" i="1"/>
  <c r="AK47" i="1" s="1"/>
  <c r="AJ44" i="1"/>
  <c r="AJ47" i="1" s="1"/>
  <c r="AJ45" i="1"/>
  <c r="AJ46" i="1" s="1"/>
  <c r="AK46" i="1"/>
  <c r="AL46" i="1" l="1"/>
</calcChain>
</file>

<file path=xl/sharedStrings.xml><?xml version="1.0" encoding="utf-8"?>
<sst xmlns="http://schemas.openxmlformats.org/spreadsheetml/2006/main" count="258" uniqueCount="162">
  <si>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</si>
  <si>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</si>
  <si>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</si>
  <si>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</si>
  <si>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</si>
  <si>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</si>
  <si>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</si>
  <si>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</si>
  <si>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</si>
  <si>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</si>
  <si>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</si>
  <si>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</si>
  <si>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</si>
  <si>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</si>
  <si>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</si>
  <si>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</si>
  <si>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</si>
  <si>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</si>
  <si>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</si>
  <si>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</si>
  <si>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</si>
  <si>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</si>
  <si>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</si>
  <si>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</si>
  <si>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</si>
  <si>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</si>
  <si>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</si>
  <si>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</si>
  <si>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</si>
  <si>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</si>
  <si>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</si>
  <si>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</si>
  <si>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</si>
  <si>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</si>
  <si>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</si>
  <si>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</si>
  <si>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</si>
  <si>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</si>
  <si>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</si>
  <si>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</si>
  <si>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</si>
  <si>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</si>
  <si>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</si>
  <si>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</si>
  <si>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</si>
  <si>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</si>
  <si>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</si>
  <si>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</si>
  <si>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</si>
  <si>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</si>
  <si>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</si>
  <si>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</si>
  <si>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</si>
  <si>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</si>
  <si>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</si>
  <si>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</si>
  <si>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</si>
  <si>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</si>
  <si>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</si>
  <si>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</si>
  <si>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</si>
  <si>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</si>
  <si>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</si>
  <si>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</si>
  <si>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</si>
  <si>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</si>
  <si>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</si>
  <si>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us</t>
  </si>
  <si>
    <t>frame_weight</t>
  </si>
  <si>
    <t>frame size</t>
  </si>
  <si>
    <t>titanium</t>
  </si>
  <si>
    <t>Litespeed</t>
  </si>
  <si>
    <t>Flint</t>
  </si>
  <si>
    <t>A - Top Tube Length</t>
  </si>
  <si>
    <t>B - Head Tube Angle</t>
  </si>
  <si>
    <t>C - Seat Tube Angle</t>
  </si>
  <si>
    <t>D - Seat Tube Length</t>
  </si>
  <si>
    <t>E - Chainstay Length</t>
  </si>
  <si>
    <t>F - BB Drop</t>
  </si>
  <si>
    <t>G - Wheelbase</t>
  </si>
  <si>
    <t>H - Front Center</t>
  </si>
  <si>
    <t>I - Fork Rake</t>
  </si>
  <si>
    <t>J - Standover Height</t>
  </si>
  <si>
    <t>K - Head Tube Length</t>
  </si>
  <si>
    <t>L - Stack</t>
  </si>
  <si>
    <t>M - Reach</t>
  </si>
  <si>
    <t>Stem Length (mm)</t>
  </si>
  <si>
    <t>Crank Length (mm)</t>
  </si>
  <si>
    <t>XS</t>
  </si>
  <si>
    <t>69.0°</t>
  </si>
  <si>
    <t>75.0°</t>
  </si>
  <si>
    <t>53.5**</t>
  </si>
  <si>
    <t>36.0***</t>
  </si>
  <si>
    <t>S</t>
  </si>
  <si>
    <t>69.5°</t>
  </si>
  <si>
    <t>74.5°</t>
  </si>
  <si>
    <t>M</t>
  </si>
  <si>
    <t>70.0°</t>
  </si>
  <si>
    <t>74.0°</t>
  </si>
  <si>
    <t>ML</t>
  </si>
  <si>
    <t>70.5°</t>
  </si>
  <si>
    <t>73.5°</t>
  </si>
  <si>
    <t>L</t>
  </si>
  <si>
    <t>71.0°</t>
  </si>
  <si>
    <t>XL</t>
  </si>
  <si>
    <t>71.5°</t>
  </si>
  <si>
    <t>73.0°</t>
  </si>
  <si>
    <t>cm</t>
  </si>
  <si>
    <t>PF</t>
  </si>
  <si>
    <t>both available</t>
  </si>
  <si>
    <t>internal</t>
  </si>
  <si>
    <t>Frame Size</t>
  </si>
  <si>
    <t>Rider Height (in)</t>
  </si>
  <si>
    <t>Rider Height (cm)</t>
  </si>
  <si>
    <t>4'10” – 5’2”</t>
  </si>
  <si>
    <t>147 - 157</t>
  </si>
  <si>
    <t>5’2" – 5’6”</t>
  </si>
  <si>
    <t>157 - 165</t>
  </si>
  <si>
    <t>5’6"– 5’9”</t>
  </si>
  <si>
    <t>165 - 175</t>
  </si>
  <si>
    <t>5’8” – 5’11”</t>
  </si>
  <si>
    <t>173 - 180</t>
  </si>
  <si>
    <t>5'-11” – 6’2”</t>
  </si>
  <si>
    <t>178 - 188</t>
  </si>
  <si>
    <t>6’2" – 6'4"</t>
  </si>
  <si>
    <t>188 - 198</t>
  </si>
  <si>
    <t>es</t>
  </si>
  <si>
    <t>54.9**</t>
  </si>
  <si>
    <t>35.5***</t>
  </si>
  <si>
    <t>rigid</t>
  </si>
  <si>
    <t>suspension</t>
  </si>
  <si>
    <t>trail</t>
  </si>
  <si>
    <t>a8:h32</t>
  </si>
  <si>
    <t>https://litespeed.com/collections/flint/products/flint</t>
  </si>
  <si>
    <t>frontcenter.h</t>
  </si>
  <si>
    <t>rearcenter.h</t>
  </si>
  <si>
    <t>wheelbase 1</t>
  </si>
  <si>
    <t>reach.h</t>
  </si>
  <si>
    <t>headtube.h</t>
  </si>
  <si>
    <t>fork.h</t>
  </si>
  <si>
    <t>rake.h</t>
  </si>
  <si>
    <t>Wheelbase 2</t>
  </si>
  <si>
    <t>Flint M</t>
  </si>
  <si>
    <t>Toscano M</t>
  </si>
  <si>
    <t>headset length</t>
  </si>
  <si>
    <t>headset.h</t>
  </si>
  <si>
    <t>solve for axle crown</t>
  </si>
  <si>
    <t xml:space="preserve">axle_crown.h </t>
  </si>
  <si>
    <t>fork.v</t>
  </si>
  <si>
    <t>Flint XL</t>
  </si>
  <si>
    <t>Tocano XL</t>
  </si>
  <si>
    <t>wheelbase 3</t>
  </si>
  <si>
    <t>no_offset_fork.v</t>
  </si>
  <si>
    <t>no_offset_fork.h</t>
  </si>
  <si>
    <t>extension</t>
  </si>
  <si>
    <t>no_offset_fork_length</t>
  </si>
  <si>
    <t>class</t>
  </si>
  <si>
    <t>gravel</t>
  </si>
  <si>
    <t>handlebar</t>
  </si>
  <si>
    <t>drop bar</t>
  </si>
  <si>
    <t>fork</t>
  </si>
  <si>
    <t>https://litespeed.com/cdn/shop/files/flint-bike-feature-image_45e86c2c-6887-4c01-8170-2e8c17d83903.png?v=1752259609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</si>
</sst>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212529"/>
      <name val="Futura"/>
      <family val="2"/>
    </font>
    <font>
      <b/>
      <sz val="14"/>
      <color rgb="FF212529"/>
      <name val="Futura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"/>
  <sheetViews>
    <sheetView tabSelected="1" workbookViewId="0">
      <selection activeCell="B6" sqref="B6"/>
    </sheetView>
  </sheetViews>
  <sheetFormatPr baseColWidth="10" defaultRowHeight="20"/>
  <cols>
    <col min="1" max="2" width="19.6640625" customWidth="1"/>
    <col min="35" max="35" width="18.88671875" bestFit="1" customWidth="1"/>
  </cols>
  <sheetData>
    <row r="1" spans="1:39">
      <c r="A1" t="s">
        <v>0</v>
      </c>
      <c r="B1" s="1" t="s">
        <v>71</v>
      </c>
    </row>
    <row r="2" spans="1:39">
      <c r="A2" t="s">
        <v>1</v>
      </c>
      <c r="B2" s="1" t="s">
        <v>72</v>
      </c>
    </row>
    <row r="3" spans="1:39">
      <c r="A3" t="s">
        <v>2</v>
      </c>
      <c r="B3">
        <v>2025</v>
      </c>
    </row>
    <row r="4" spans="1:39">
      <c r="A4" t="s">
        <v>3</v>
      </c>
      <c r="B4" s="3">
        <v>45865</v>
      </c>
    </row>
    <row r="5" spans="1:39">
      <c r="A5" t="s">
        <v>4</v>
      </c>
      <c r="B5" t="s">
        <v>133</v>
      </c>
    </row>
    <row r="6" spans="1:39">
      <c r="B6" s="1" t="s">
        <v>161</v>
      </c>
    </row>
    <row r="7" spans="1:39">
      <c r="A7" t="s">
        <v>5</v>
      </c>
      <c r="B7" s="1" t="s">
        <v>132</v>
      </c>
      <c r="J7" s="1" t="s">
        <v>107</v>
      </c>
      <c r="Q7" s="1" t="s">
        <v>129</v>
      </c>
    </row>
    <row r="8" spans="1:39">
      <c r="A8" t="s">
        <v>6</v>
      </c>
      <c r="B8" s="1" t="s">
        <v>69</v>
      </c>
      <c r="C8" s="4" t="s">
        <v>88</v>
      </c>
      <c r="D8" s="4" t="s">
        <v>93</v>
      </c>
      <c r="E8" s="4" t="s">
        <v>96</v>
      </c>
      <c r="F8" s="4" t="s">
        <v>99</v>
      </c>
      <c r="G8" s="4" t="s">
        <v>102</v>
      </c>
      <c r="H8" s="4" t="s">
        <v>104</v>
      </c>
      <c r="I8" s="4"/>
      <c r="J8" s="4" t="s">
        <v>88</v>
      </c>
      <c r="K8" s="4" t="s">
        <v>93</v>
      </c>
      <c r="L8" s="4" t="s">
        <v>96</v>
      </c>
      <c r="M8" s="4" t="s">
        <v>99</v>
      </c>
      <c r="N8" s="4" t="s">
        <v>102</v>
      </c>
      <c r="O8" s="4" t="s">
        <v>104</v>
      </c>
      <c r="R8" s="4" t="s">
        <v>73</v>
      </c>
      <c r="S8" s="4" t="s">
        <v>74</v>
      </c>
      <c r="T8" s="4" t="s">
        <v>75</v>
      </c>
      <c r="U8" s="4" t="s">
        <v>76</v>
      </c>
      <c r="V8" s="4" t="s">
        <v>77</v>
      </c>
      <c r="W8" s="4" t="s">
        <v>78</v>
      </c>
      <c r="X8" s="4" t="s">
        <v>79</v>
      </c>
      <c r="Y8" s="4" t="s">
        <v>80</v>
      </c>
      <c r="Z8" s="4" t="s">
        <v>81</v>
      </c>
      <c r="AA8" s="4" t="s">
        <v>82</v>
      </c>
      <c r="AB8" s="4" t="s">
        <v>83</v>
      </c>
      <c r="AC8" s="4" t="s">
        <v>84</v>
      </c>
      <c r="AD8" s="4" t="s">
        <v>85</v>
      </c>
      <c r="AE8" s="4" t="s">
        <v>86</v>
      </c>
      <c r="AF8" s="4" t="s">
        <v>87</v>
      </c>
      <c r="AI8" s="1" t="s">
        <v>69</v>
      </c>
      <c r="AJ8" s="4" t="s">
        <v>142</v>
      </c>
      <c r="AK8" s="1" t="s">
        <v>143</v>
      </c>
      <c r="AL8" s="1" t="s">
        <v>149</v>
      </c>
      <c r="AM8" s="1" t="s">
        <v>150</v>
      </c>
    </row>
    <row r="9" spans="1:39">
      <c r="A9" t="s">
        <v>9</v>
      </c>
      <c r="B9" s="4" t="s">
        <v>73</v>
      </c>
      <c r="C9" s="5">
        <f>J9*10</f>
        <v>503</v>
      </c>
      <c r="D9" s="5">
        <f t="shared" ref="D9:H9" si="0">K9*10</f>
        <v>523</v>
      </c>
      <c r="E9" s="5">
        <f t="shared" si="0"/>
        <v>545</v>
      </c>
      <c r="F9" s="5">
        <f t="shared" si="0"/>
        <v>568</v>
      </c>
      <c r="G9" s="5">
        <f t="shared" si="0"/>
        <v>580</v>
      </c>
      <c r="H9" s="5">
        <f t="shared" si="0"/>
        <v>600</v>
      </c>
      <c r="I9" s="5"/>
      <c r="J9" s="5">
        <v>50.3</v>
      </c>
      <c r="K9" s="5">
        <v>52.3</v>
      </c>
      <c r="L9" s="5">
        <v>54.5</v>
      </c>
      <c r="M9" s="5">
        <v>56.8</v>
      </c>
      <c r="N9" s="5">
        <v>58</v>
      </c>
      <c r="O9" s="5">
        <v>60</v>
      </c>
      <c r="Q9" s="4" t="s">
        <v>88</v>
      </c>
      <c r="R9" s="5">
        <v>50.3</v>
      </c>
      <c r="S9" s="5" t="s">
        <v>89</v>
      </c>
      <c r="T9" s="5" t="s">
        <v>90</v>
      </c>
      <c r="U9" s="5">
        <v>43</v>
      </c>
      <c r="V9" s="5">
        <v>43.7</v>
      </c>
      <c r="W9" s="5">
        <v>7.8</v>
      </c>
      <c r="X9" s="5">
        <v>101.9</v>
      </c>
      <c r="Y9" s="5">
        <v>59.4</v>
      </c>
      <c r="Z9" s="5">
        <v>5</v>
      </c>
      <c r="AA9" s="5">
        <v>71.400000000000006</v>
      </c>
      <c r="AB9" s="5">
        <v>10.1</v>
      </c>
      <c r="AC9" s="5" t="s">
        <v>91</v>
      </c>
      <c r="AD9" s="5" t="s">
        <v>92</v>
      </c>
      <c r="AE9" s="5">
        <v>80</v>
      </c>
      <c r="AF9" s="5">
        <v>170</v>
      </c>
      <c r="AI9" s="4" t="s">
        <v>73</v>
      </c>
      <c r="AJ9" s="5">
        <v>545</v>
      </c>
      <c r="AK9" s="5">
        <v>555</v>
      </c>
      <c r="AL9" s="5">
        <v>600</v>
      </c>
      <c r="AM9">
        <v>610</v>
      </c>
    </row>
    <row r="10" spans="1:39">
      <c r="A10" t="s">
        <v>11</v>
      </c>
      <c r="B10" s="4" t="s">
        <v>74</v>
      </c>
      <c r="C10" s="5">
        <f>J10</f>
        <v>69</v>
      </c>
      <c r="D10" s="5">
        <f t="shared" ref="D10:H11" si="1">K10</f>
        <v>69.5</v>
      </c>
      <c r="E10" s="5">
        <f t="shared" si="1"/>
        <v>70</v>
      </c>
      <c r="F10" s="5">
        <f t="shared" si="1"/>
        <v>70.5</v>
      </c>
      <c r="G10" s="5">
        <f t="shared" si="1"/>
        <v>71</v>
      </c>
      <c r="H10" s="5">
        <f t="shared" si="1"/>
        <v>71.5</v>
      </c>
      <c r="I10" s="5"/>
      <c r="J10" s="5">
        <v>69</v>
      </c>
      <c r="K10" s="5">
        <v>69.5</v>
      </c>
      <c r="L10" s="5">
        <v>70</v>
      </c>
      <c r="M10" s="5">
        <v>70.5</v>
      </c>
      <c r="N10" s="5">
        <v>71</v>
      </c>
      <c r="O10" s="5">
        <v>71.5</v>
      </c>
      <c r="Q10" s="4" t="s">
        <v>93</v>
      </c>
      <c r="R10" s="5">
        <v>52.3</v>
      </c>
      <c r="S10" s="5" t="s">
        <v>94</v>
      </c>
      <c r="T10" s="5" t="s">
        <v>95</v>
      </c>
      <c r="U10" s="5">
        <v>44.5</v>
      </c>
      <c r="V10" s="5">
        <v>43.7</v>
      </c>
      <c r="W10" s="5">
        <v>7.8</v>
      </c>
      <c r="X10" s="5">
        <v>103</v>
      </c>
      <c r="Y10" s="5">
        <v>60.5</v>
      </c>
      <c r="Z10" s="5">
        <v>5</v>
      </c>
      <c r="AA10" s="5">
        <v>73</v>
      </c>
      <c r="AB10" s="5">
        <v>11.5</v>
      </c>
      <c r="AC10" s="5">
        <v>55</v>
      </c>
      <c r="AD10" s="5">
        <v>37</v>
      </c>
      <c r="AE10" s="5">
        <v>80</v>
      </c>
      <c r="AF10" s="5">
        <v>170</v>
      </c>
      <c r="AI10" s="4" t="s">
        <v>74</v>
      </c>
      <c r="AJ10" s="5">
        <v>70</v>
      </c>
      <c r="AK10" s="5">
        <v>71.5</v>
      </c>
      <c r="AL10" s="5">
        <v>71.5</v>
      </c>
      <c r="AM10">
        <v>72</v>
      </c>
    </row>
    <row r="11" spans="1:39">
      <c r="A11" t="s">
        <v>8</v>
      </c>
      <c r="B11" s="4" t="s">
        <v>75</v>
      </c>
      <c r="C11" s="5">
        <f>J11</f>
        <v>75</v>
      </c>
      <c r="D11" s="5">
        <f t="shared" si="1"/>
        <v>74.5</v>
      </c>
      <c r="E11" s="5">
        <f t="shared" si="1"/>
        <v>74</v>
      </c>
      <c r="F11" s="5">
        <f t="shared" si="1"/>
        <v>73.5</v>
      </c>
      <c r="G11" s="5">
        <f t="shared" si="1"/>
        <v>73.5</v>
      </c>
      <c r="H11" s="5">
        <f t="shared" si="1"/>
        <v>73</v>
      </c>
      <c r="I11" s="5"/>
      <c r="J11" s="5">
        <v>75</v>
      </c>
      <c r="K11" s="5">
        <v>74.5</v>
      </c>
      <c r="L11" s="5">
        <v>74</v>
      </c>
      <c r="M11" s="5">
        <v>73.5</v>
      </c>
      <c r="N11" s="5">
        <v>73.5</v>
      </c>
      <c r="O11" s="5">
        <v>73</v>
      </c>
      <c r="Q11" s="4" t="s">
        <v>96</v>
      </c>
      <c r="R11" s="5">
        <v>54.5</v>
      </c>
      <c r="S11" s="5" t="s">
        <v>97</v>
      </c>
      <c r="T11" s="5" t="s">
        <v>98</v>
      </c>
      <c r="U11" s="5">
        <v>47</v>
      </c>
      <c r="V11" s="5">
        <v>43.7</v>
      </c>
      <c r="W11" s="5">
        <v>7.6</v>
      </c>
      <c r="X11" s="5">
        <v>104.5</v>
      </c>
      <c r="Y11" s="5">
        <v>62</v>
      </c>
      <c r="Z11" s="5">
        <v>5</v>
      </c>
      <c r="AA11" s="5">
        <v>75.8</v>
      </c>
      <c r="AB11" s="5">
        <v>14.1</v>
      </c>
      <c r="AC11" s="5">
        <v>57.5</v>
      </c>
      <c r="AD11" s="5">
        <v>38</v>
      </c>
      <c r="AE11" s="5">
        <v>90</v>
      </c>
      <c r="AF11" s="5">
        <v>170</v>
      </c>
      <c r="AI11" s="4" t="s">
        <v>75</v>
      </c>
      <c r="AJ11" s="5">
        <v>74</v>
      </c>
      <c r="AK11" s="5">
        <v>73.5</v>
      </c>
      <c r="AL11" s="4">
        <v>75</v>
      </c>
      <c r="AM11">
        <v>73</v>
      </c>
    </row>
    <row r="12" spans="1:39">
      <c r="A12" t="s">
        <v>7</v>
      </c>
      <c r="B12" s="4" t="s">
        <v>76</v>
      </c>
      <c r="C12" s="5">
        <f t="shared" ref="C12:C21" si="2">J12*10</f>
        <v>430</v>
      </c>
      <c r="D12" s="5">
        <f t="shared" ref="D12:H21" si="3">K12*10</f>
        <v>445</v>
      </c>
      <c r="E12" s="5">
        <f t="shared" si="3"/>
        <v>470</v>
      </c>
      <c r="F12" s="5">
        <f t="shared" si="3"/>
        <v>495</v>
      </c>
      <c r="G12" s="5">
        <f t="shared" si="3"/>
        <v>520</v>
      </c>
      <c r="H12" s="5">
        <f t="shared" si="3"/>
        <v>550</v>
      </c>
      <c r="I12" s="5"/>
      <c r="J12" s="5">
        <v>43</v>
      </c>
      <c r="K12" s="5">
        <v>44.5</v>
      </c>
      <c r="L12" s="5">
        <v>47</v>
      </c>
      <c r="M12" s="5">
        <v>49.5</v>
      </c>
      <c r="N12" s="5">
        <v>52</v>
      </c>
      <c r="O12" s="5">
        <v>55</v>
      </c>
      <c r="Q12" s="4" t="s">
        <v>99</v>
      </c>
      <c r="R12" s="5">
        <v>56.8</v>
      </c>
      <c r="S12" s="5" t="s">
        <v>100</v>
      </c>
      <c r="T12" s="5" t="s">
        <v>101</v>
      </c>
      <c r="U12" s="5">
        <v>49.5</v>
      </c>
      <c r="V12" s="5">
        <v>43.7</v>
      </c>
      <c r="W12" s="5">
        <v>7.6</v>
      </c>
      <c r="X12" s="5">
        <v>105.9</v>
      </c>
      <c r="Y12" s="5">
        <v>63.3</v>
      </c>
      <c r="Z12" s="5">
        <v>5</v>
      </c>
      <c r="AA12" s="5">
        <v>78.400000000000006</v>
      </c>
      <c r="AB12" s="5">
        <v>16.600000000000001</v>
      </c>
      <c r="AC12" s="5">
        <v>60</v>
      </c>
      <c r="AD12" s="5">
        <v>39</v>
      </c>
      <c r="AE12" s="5">
        <v>90</v>
      </c>
      <c r="AF12" s="5">
        <v>170</v>
      </c>
      <c r="AI12" s="4" t="s">
        <v>76</v>
      </c>
      <c r="AJ12" s="5">
        <v>470</v>
      </c>
      <c r="AK12" s="5">
        <v>470</v>
      </c>
      <c r="AL12" s="5">
        <v>550</v>
      </c>
      <c r="AM12">
        <v>550</v>
      </c>
    </row>
    <row r="13" spans="1:39">
      <c r="A13" t="s">
        <v>14</v>
      </c>
      <c r="B13" s="4" t="s">
        <v>77</v>
      </c>
      <c r="C13" s="5">
        <f t="shared" si="2"/>
        <v>437</v>
      </c>
      <c r="D13" s="5">
        <f t="shared" si="3"/>
        <v>437</v>
      </c>
      <c r="E13" s="5">
        <f t="shared" si="3"/>
        <v>437</v>
      </c>
      <c r="F13" s="5">
        <f t="shared" si="3"/>
        <v>437</v>
      </c>
      <c r="G13" s="5">
        <f t="shared" si="3"/>
        <v>437</v>
      </c>
      <c r="H13" s="5">
        <f t="shared" si="3"/>
        <v>437</v>
      </c>
      <c r="I13" s="5"/>
      <c r="J13" s="5">
        <v>43.7</v>
      </c>
      <c r="K13" s="5">
        <v>43.7</v>
      </c>
      <c r="L13" s="5">
        <v>43.7</v>
      </c>
      <c r="M13" s="5">
        <v>43.7</v>
      </c>
      <c r="N13" s="5">
        <v>43.7</v>
      </c>
      <c r="O13" s="5">
        <v>43.7</v>
      </c>
      <c r="Q13" s="4" t="s">
        <v>102</v>
      </c>
      <c r="R13" s="5">
        <v>58</v>
      </c>
      <c r="S13" s="5" t="s">
        <v>103</v>
      </c>
      <c r="T13" s="5" t="s">
        <v>101</v>
      </c>
      <c r="U13" s="5">
        <v>52</v>
      </c>
      <c r="V13" s="5">
        <v>43.7</v>
      </c>
      <c r="W13" s="5">
        <v>7.4</v>
      </c>
      <c r="X13" s="5">
        <v>106.8</v>
      </c>
      <c r="Y13" s="5">
        <v>64.2</v>
      </c>
      <c r="Z13" s="5">
        <v>5</v>
      </c>
      <c r="AA13" s="5">
        <v>81.2</v>
      </c>
      <c r="AB13" s="5">
        <v>19.2</v>
      </c>
      <c r="AC13" s="5">
        <v>62.5</v>
      </c>
      <c r="AD13" s="5">
        <v>39.5</v>
      </c>
      <c r="AE13" s="5">
        <v>110</v>
      </c>
      <c r="AF13" s="5">
        <v>175</v>
      </c>
      <c r="AI13" s="4" t="s">
        <v>77</v>
      </c>
      <c r="AJ13" s="5">
        <v>437</v>
      </c>
      <c r="AK13" s="5">
        <v>435</v>
      </c>
      <c r="AL13" s="5">
        <v>437</v>
      </c>
      <c r="AM13">
        <v>435</v>
      </c>
    </row>
    <row r="14" spans="1:39">
      <c r="A14" t="s">
        <v>15</v>
      </c>
      <c r="B14" s="4" t="s">
        <v>78</v>
      </c>
      <c r="C14" s="5">
        <f t="shared" si="2"/>
        <v>78</v>
      </c>
      <c r="D14" s="5">
        <f t="shared" si="3"/>
        <v>78</v>
      </c>
      <c r="E14" s="5">
        <f t="shared" si="3"/>
        <v>76</v>
      </c>
      <c r="F14" s="5">
        <f t="shared" si="3"/>
        <v>76</v>
      </c>
      <c r="G14" s="5">
        <f t="shared" si="3"/>
        <v>74</v>
      </c>
      <c r="H14" s="5">
        <f t="shared" si="3"/>
        <v>74</v>
      </c>
      <c r="I14" s="5"/>
      <c r="J14" s="5">
        <v>7.8</v>
      </c>
      <c r="K14" s="5">
        <v>7.8</v>
      </c>
      <c r="L14" s="5">
        <v>7.6</v>
      </c>
      <c r="M14" s="5">
        <v>7.6</v>
      </c>
      <c r="N14" s="5">
        <v>7.4</v>
      </c>
      <c r="O14" s="5">
        <v>7.4</v>
      </c>
      <c r="Q14" s="4" t="s">
        <v>104</v>
      </c>
      <c r="R14" s="5">
        <v>60</v>
      </c>
      <c r="S14" s="5" t="s">
        <v>105</v>
      </c>
      <c r="T14" s="5" t="s">
        <v>106</v>
      </c>
      <c r="U14" s="5">
        <v>55</v>
      </c>
      <c r="V14" s="5">
        <v>43.7</v>
      </c>
      <c r="W14" s="5">
        <v>7.4</v>
      </c>
      <c r="X14" s="5">
        <v>107.5</v>
      </c>
      <c r="Y14" s="5">
        <v>64.900000000000006</v>
      </c>
      <c r="Z14" s="5">
        <v>5</v>
      </c>
      <c r="AA14" s="5">
        <v>83.8</v>
      </c>
      <c r="AB14" s="5">
        <v>21.4</v>
      </c>
      <c r="AC14" s="5">
        <v>65</v>
      </c>
      <c r="AD14" s="5">
        <v>40</v>
      </c>
      <c r="AE14" s="5">
        <v>110</v>
      </c>
      <c r="AF14" s="5">
        <v>175</v>
      </c>
      <c r="AI14" s="4" t="s">
        <v>78</v>
      </c>
      <c r="AJ14" s="5">
        <v>76</v>
      </c>
      <c r="AK14" s="5">
        <v>74</v>
      </c>
      <c r="AL14" s="5">
        <v>74</v>
      </c>
      <c r="AM14">
        <v>68</v>
      </c>
    </row>
    <row r="15" spans="1:39">
      <c r="A15" t="s">
        <v>13</v>
      </c>
      <c r="B15" s="4" t="s">
        <v>79</v>
      </c>
      <c r="C15" s="5">
        <f t="shared" si="2"/>
        <v>1019</v>
      </c>
      <c r="D15" s="5">
        <f t="shared" si="3"/>
        <v>1030</v>
      </c>
      <c r="E15" s="5">
        <f t="shared" si="3"/>
        <v>1045</v>
      </c>
      <c r="F15" s="5">
        <f t="shared" si="3"/>
        <v>1059</v>
      </c>
      <c r="G15" s="5">
        <f t="shared" si="3"/>
        <v>1068</v>
      </c>
      <c r="H15" s="5">
        <f t="shared" si="3"/>
        <v>1075</v>
      </c>
      <c r="I15" s="5"/>
      <c r="J15" s="5">
        <v>101.9</v>
      </c>
      <c r="K15" s="5">
        <v>103</v>
      </c>
      <c r="L15" s="5">
        <v>104.5</v>
      </c>
      <c r="M15" s="5">
        <v>105.9</v>
      </c>
      <c r="N15" s="5">
        <v>106.8</v>
      </c>
      <c r="O15" s="5">
        <v>107.5</v>
      </c>
      <c r="Q15" s="4" t="s">
        <v>130</v>
      </c>
      <c r="AI15" s="4" t="s">
        <v>79</v>
      </c>
      <c r="AJ15" s="5">
        <v>1045</v>
      </c>
      <c r="AK15" s="5">
        <v>1034</v>
      </c>
      <c r="AL15" s="5">
        <v>1075</v>
      </c>
      <c r="AM15">
        <v>1083</v>
      </c>
    </row>
    <row r="16" spans="1:39">
      <c r="A16" s="1" t="s">
        <v>65</v>
      </c>
      <c r="B16" s="4" t="s">
        <v>80</v>
      </c>
      <c r="C16" s="5">
        <f t="shared" si="2"/>
        <v>594</v>
      </c>
      <c r="D16" s="5">
        <f t="shared" si="3"/>
        <v>605</v>
      </c>
      <c r="E16" s="5">
        <f t="shared" si="3"/>
        <v>620</v>
      </c>
      <c r="F16" s="5">
        <f t="shared" si="3"/>
        <v>633</v>
      </c>
      <c r="G16" s="5">
        <f t="shared" si="3"/>
        <v>642</v>
      </c>
      <c r="H16" s="5">
        <f t="shared" si="3"/>
        <v>649</v>
      </c>
      <c r="I16" s="5"/>
      <c r="J16" s="5">
        <v>59.4</v>
      </c>
      <c r="K16" s="5">
        <v>60.5</v>
      </c>
      <c r="L16" s="5">
        <v>62</v>
      </c>
      <c r="M16" s="5">
        <v>63.3</v>
      </c>
      <c r="N16" s="5">
        <v>64.2</v>
      </c>
      <c r="O16" s="5">
        <v>64.900000000000006</v>
      </c>
      <c r="Q16" s="5"/>
      <c r="R16" s="4" t="s">
        <v>73</v>
      </c>
      <c r="S16" s="4" t="s">
        <v>74</v>
      </c>
      <c r="T16" s="4" t="s">
        <v>75</v>
      </c>
      <c r="U16" s="4" t="s">
        <v>76</v>
      </c>
      <c r="V16" s="4" t="s">
        <v>77</v>
      </c>
      <c r="W16" s="4" t="s">
        <v>78</v>
      </c>
      <c r="X16" s="4" t="s">
        <v>79</v>
      </c>
      <c r="Y16" s="4" t="s">
        <v>80</v>
      </c>
      <c r="Z16" s="4" t="s">
        <v>81</v>
      </c>
      <c r="AA16" s="4" t="s">
        <v>82</v>
      </c>
      <c r="AB16" s="4" t="s">
        <v>83</v>
      </c>
      <c r="AC16" s="4" t="s">
        <v>84</v>
      </c>
      <c r="AD16" s="4" t="s">
        <v>85</v>
      </c>
      <c r="AE16" s="4" t="s">
        <v>86</v>
      </c>
      <c r="AF16" s="4" t="s">
        <v>87</v>
      </c>
      <c r="AI16" s="4" t="s">
        <v>80</v>
      </c>
      <c r="AJ16" s="5">
        <v>620</v>
      </c>
      <c r="AK16" s="5">
        <v>610</v>
      </c>
      <c r="AL16" s="5">
        <v>649</v>
      </c>
      <c r="AM16">
        <v>657</v>
      </c>
    </row>
    <row r="17" spans="1:39">
      <c r="A17" t="s">
        <v>12</v>
      </c>
      <c r="B17" s="4" t="s">
        <v>81</v>
      </c>
      <c r="C17" s="5">
        <f t="shared" si="2"/>
        <v>50</v>
      </c>
      <c r="D17" s="5">
        <f t="shared" si="3"/>
        <v>50</v>
      </c>
      <c r="E17" s="5">
        <f t="shared" si="3"/>
        <v>50</v>
      </c>
      <c r="F17" s="5">
        <f t="shared" si="3"/>
        <v>50</v>
      </c>
      <c r="G17" s="5">
        <f t="shared" si="3"/>
        <v>50</v>
      </c>
      <c r="H17" s="5">
        <f t="shared" si="3"/>
        <v>50</v>
      </c>
      <c r="I17" s="5"/>
      <c r="J17" s="5">
        <v>5</v>
      </c>
      <c r="K17" s="5">
        <v>5</v>
      </c>
      <c r="L17" s="5">
        <v>5</v>
      </c>
      <c r="M17" s="5">
        <v>5</v>
      </c>
      <c r="N17" s="5">
        <v>5</v>
      </c>
      <c r="O17" s="5">
        <v>5</v>
      </c>
      <c r="Q17" s="4" t="s">
        <v>88</v>
      </c>
      <c r="R17" s="5">
        <v>50.3</v>
      </c>
      <c r="S17" s="5" t="s">
        <v>89</v>
      </c>
      <c r="T17" s="5" t="s">
        <v>90</v>
      </c>
      <c r="U17" s="5">
        <v>43</v>
      </c>
      <c r="V17" s="5">
        <v>43.7</v>
      </c>
      <c r="W17" s="5">
        <v>7.8</v>
      </c>
      <c r="X17" s="5">
        <v>101.9</v>
      </c>
      <c r="Y17" s="5">
        <v>59.4</v>
      </c>
      <c r="Z17" s="5">
        <v>5</v>
      </c>
      <c r="AA17" s="5">
        <v>71.400000000000006</v>
      </c>
      <c r="AB17" s="5">
        <v>9.1999999999999993</v>
      </c>
      <c r="AC17" s="5" t="s">
        <v>127</v>
      </c>
      <c r="AD17" s="5" t="s">
        <v>128</v>
      </c>
      <c r="AE17" s="5">
        <v>80</v>
      </c>
      <c r="AF17" s="5">
        <v>170</v>
      </c>
      <c r="AI17" s="4" t="s">
        <v>81</v>
      </c>
      <c r="AJ17" s="5">
        <v>50</v>
      </c>
      <c r="AK17" s="5">
        <v>50</v>
      </c>
      <c r="AL17" s="5">
        <v>50</v>
      </c>
      <c r="AM17">
        <v>50</v>
      </c>
    </row>
    <row r="18" spans="1:39">
      <c r="A18" t="s">
        <v>18</v>
      </c>
      <c r="B18" s="4" t="s">
        <v>82</v>
      </c>
      <c r="C18" s="5">
        <f t="shared" si="2"/>
        <v>714</v>
      </c>
      <c r="D18" s="5">
        <f t="shared" si="3"/>
        <v>730</v>
      </c>
      <c r="E18" s="5">
        <f t="shared" si="3"/>
        <v>758</v>
      </c>
      <c r="F18" s="5">
        <f t="shared" si="3"/>
        <v>784</v>
      </c>
      <c r="G18" s="5">
        <f t="shared" si="3"/>
        <v>812</v>
      </c>
      <c r="H18" s="5">
        <f t="shared" si="3"/>
        <v>838</v>
      </c>
      <c r="I18" s="5"/>
      <c r="J18" s="5">
        <v>71.400000000000006</v>
      </c>
      <c r="K18" s="5">
        <v>73</v>
      </c>
      <c r="L18" s="5">
        <v>75.8</v>
      </c>
      <c r="M18" s="5">
        <v>78.400000000000006</v>
      </c>
      <c r="N18" s="5">
        <v>81.2</v>
      </c>
      <c r="O18" s="5">
        <v>83.8</v>
      </c>
      <c r="Q18" s="4" t="s">
        <v>93</v>
      </c>
      <c r="R18" s="5">
        <v>52.3</v>
      </c>
      <c r="S18" s="5" t="s">
        <v>94</v>
      </c>
      <c r="T18" s="5" t="s">
        <v>95</v>
      </c>
      <c r="U18" s="5">
        <v>44.5</v>
      </c>
      <c r="V18" s="5">
        <v>43.7</v>
      </c>
      <c r="W18" s="5">
        <v>7.8</v>
      </c>
      <c r="X18" s="5">
        <v>103</v>
      </c>
      <c r="Y18" s="5">
        <v>60.5</v>
      </c>
      <c r="Z18" s="5">
        <v>5</v>
      </c>
      <c r="AA18" s="5">
        <v>73</v>
      </c>
      <c r="AB18" s="5">
        <v>9.1999999999999993</v>
      </c>
      <c r="AC18" s="5">
        <v>55</v>
      </c>
      <c r="AD18" s="5">
        <v>37</v>
      </c>
      <c r="AE18" s="5">
        <v>80</v>
      </c>
      <c r="AF18" s="5">
        <v>170</v>
      </c>
      <c r="AI18" s="4" t="s">
        <v>82</v>
      </c>
      <c r="AJ18" s="5">
        <v>758</v>
      </c>
      <c r="AK18" s="5">
        <v>757</v>
      </c>
      <c r="AL18" s="5">
        <v>838</v>
      </c>
      <c r="AM18">
        <v>845</v>
      </c>
    </row>
    <row r="19" spans="1:39">
      <c r="A19" t="s">
        <v>10</v>
      </c>
      <c r="B19" s="4" t="s">
        <v>83</v>
      </c>
      <c r="C19" s="5">
        <f t="shared" si="2"/>
        <v>101</v>
      </c>
      <c r="D19" s="5">
        <f t="shared" si="3"/>
        <v>115</v>
      </c>
      <c r="E19" s="5">
        <f t="shared" si="3"/>
        <v>141</v>
      </c>
      <c r="F19" s="5">
        <f t="shared" si="3"/>
        <v>166</v>
      </c>
      <c r="G19" s="5">
        <f t="shared" si="3"/>
        <v>192</v>
      </c>
      <c r="H19" s="5">
        <f t="shared" si="3"/>
        <v>214</v>
      </c>
      <c r="I19" s="5"/>
      <c r="J19" s="5">
        <v>10.1</v>
      </c>
      <c r="K19" s="5">
        <v>11.5</v>
      </c>
      <c r="L19" s="5">
        <v>14.1</v>
      </c>
      <c r="M19" s="5">
        <v>16.600000000000001</v>
      </c>
      <c r="N19" s="5">
        <v>19.2</v>
      </c>
      <c r="O19" s="5">
        <v>21.4</v>
      </c>
      <c r="Q19" s="4" t="s">
        <v>96</v>
      </c>
      <c r="R19" s="5">
        <v>54.5</v>
      </c>
      <c r="S19" s="5" t="s">
        <v>97</v>
      </c>
      <c r="T19" s="5" t="s">
        <v>98</v>
      </c>
      <c r="U19" s="5">
        <v>47</v>
      </c>
      <c r="V19" s="5">
        <v>43.7</v>
      </c>
      <c r="W19" s="5">
        <v>7.6</v>
      </c>
      <c r="X19" s="5">
        <v>104.5</v>
      </c>
      <c r="Y19" s="5">
        <v>62</v>
      </c>
      <c r="Z19" s="5">
        <v>5</v>
      </c>
      <c r="AA19" s="5">
        <v>75.8</v>
      </c>
      <c r="AB19" s="5">
        <v>11.7</v>
      </c>
      <c r="AC19" s="5">
        <v>57.5</v>
      </c>
      <c r="AD19" s="5">
        <v>38</v>
      </c>
      <c r="AE19" s="5">
        <v>90</v>
      </c>
      <c r="AF19" s="5">
        <v>170</v>
      </c>
      <c r="AI19" s="4" t="s">
        <v>83</v>
      </c>
      <c r="AJ19" s="5">
        <v>141</v>
      </c>
      <c r="AK19" s="5">
        <v>116</v>
      </c>
      <c r="AL19" s="5">
        <v>214</v>
      </c>
      <c r="AM19">
        <v>205</v>
      </c>
    </row>
    <row r="20" spans="1:39">
      <c r="A20" t="s">
        <v>16</v>
      </c>
      <c r="B20" s="4" t="s">
        <v>84</v>
      </c>
      <c r="C20" s="5">
        <f t="shared" si="2"/>
        <v>535</v>
      </c>
      <c r="D20" s="5">
        <f t="shared" si="3"/>
        <v>550</v>
      </c>
      <c r="E20" s="5">
        <f t="shared" si="3"/>
        <v>575</v>
      </c>
      <c r="F20" s="5">
        <f t="shared" si="3"/>
        <v>600</v>
      </c>
      <c r="G20" s="5">
        <f t="shared" si="3"/>
        <v>625</v>
      </c>
      <c r="H20" s="5">
        <f t="shared" si="3"/>
        <v>650</v>
      </c>
      <c r="I20" s="5"/>
      <c r="J20" s="5">
        <v>53.5</v>
      </c>
      <c r="K20" s="5">
        <v>55</v>
      </c>
      <c r="L20" s="5">
        <v>57.5</v>
      </c>
      <c r="M20" s="5">
        <v>60</v>
      </c>
      <c r="N20" s="5">
        <v>62.5</v>
      </c>
      <c r="O20" s="5">
        <v>65</v>
      </c>
      <c r="Q20" s="4" t="s">
        <v>99</v>
      </c>
      <c r="R20" s="5">
        <v>56.8</v>
      </c>
      <c r="S20" s="5" t="s">
        <v>100</v>
      </c>
      <c r="T20" s="5" t="s">
        <v>101</v>
      </c>
      <c r="U20" s="5">
        <v>49.5</v>
      </c>
      <c r="V20" s="5">
        <v>43.7</v>
      </c>
      <c r="W20" s="5">
        <v>7.6</v>
      </c>
      <c r="X20" s="5">
        <v>105.9</v>
      </c>
      <c r="Y20" s="5">
        <v>63.3</v>
      </c>
      <c r="Z20" s="5">
        <v>5</v>
      </c>
      <c r="AA20" s="5">
        <v>78.400000000000006</v>
      </c>
      <c r="AB20" s="5">
        <v>14.2</v>
      </c>
      <c r="AC20" s="5">
        <v>60</v>
      </c>
      <c r="AD20" s="5">
        <v>39</v>
      </c>
      <c r="AE20" s="5">
        <v>90</v>
      </c>
      <c r="AF20" s="5">
        <v>170</v>
      </c>
      <c r="AI20" s="4" t="s">
        <v>84</v>
      </c>
      <c r="AJ20" s="5">
        <v>575</v>
      </c>
      <c r="AK20" s="5">
        <v>560</v>
      </c>
      <c r="AL20" s="5">
        <v>650</v>
      </c>
      <c r="AM20">
        <v>640</v>
      </c>
    </row>
    <row r="21" spans="1:39">
      <c r="A21" t="s">
        <v>17</v>
      </c>
      <c r="B21" s="4" t="s">
        <v>85</v>
      </c>
      <c r="C21" s="5">
        <f t="shared" si="2"/>
        <v>360</v>
      </c>
      <c r="D21" s="5">
        <f t="shared" si="3"/>
        <v>370</v>
      </c>
      <c r="E21" s="5">
        <f t="shared" si="3"/>
        <v>380</v>
      </c>
      <c r="F21" s="5">
        <f t="shared" si="3"/>
        <v>390</v>
      </c>
      <c r="G21" s="5">
        <f t="shared" si="3"/>
        <v>395</v>
      </c>
      <c r="H21" s="5">
        <f t="shared" si="3"/>
        <v>400</v>
      </c>
      <c r="I21" s="5"/>
      <c r="J21" s="5">
        <v>36</v>
      </c>
      <c r="K21" s="5">
        <v>37</v>
      </c>
      <c r="L21" s="5">
        <v>38</v>
      </c>
      <c r="M21" s="5">
        <v>39</v>
      </c>
      <c r="N21" s="5">
        <v>39.5</v>
      </c>
      <c r="O21" s="5">
        <v>40</v>
      </c>
      <c r="Q21" s="4" t="s">
        <v>102</v>
      </c>
      <c r="R21" s="5">
        <v>58</v>
      </c>
      <c r="S21" s="5" t="s">
        <v>103</v>
      </c>
      <c r="T21" s="5" t="s">
        <v>101</v>
      </c>
      <c r="U21" s="5">
        <v>52</v>
      </c>
      <c r="V21" s="5">
        <v>43.7</v>
      </c>
      <c r="W21" s="5">
        <v>7.4</v>
      </c>
      <c r="X21" s="5">
        <v>106.8</v>
      </c>
      <c r="Y21" s="5">
        <v>64.2</v>
      </c>
      <c r="Z21" s="5">
        <v>5</v>
      </c>
      <c r="AA21" s="5">
        <v>81.2</v>
      </c>
      <c r="AB21" s="5">
        <v>16.8</v>
      </c>
      <c r="AC21" s="5">
        <v>62.5</v>
      </c>
      <c r="AD21" s="5">
        <v>39.5</v>
      </c>
      <c r="AE21" s="5">
        <v>110</v>
      </c>
      <c r="AF21" s="5">
        <v>175</v>
      </c>
      <c r="AI21" s="4" t="s">
        <v>85</v>
      </c>
      <c r="AJ21" s="5">
        <v>380</v>
      </c>
      <c r="AK21" s="5">
        <v>390</v>
      </c>
      <c r="AL21" s="5">
        <v>400</v>
      </c>
      <c r="AM21">
        <v>415</v>
      </c>
    </row>
    <row r="22" spans="1:39">
      <c r="A22" t="s">
        <v>20</v>
      </c>
      <c r="B22" s="4" t="s">
        <v>86</v>
      </c>
      <c r="C22" s="5">
        <v>80</v>
      </c>
      <c r="D22" s="5">
        <v>80</v>
      </c>
      <c r="E22" s="5">
        <v>90</v>
      </c>
      <c r="F22" s="5">
        <v>90</v>
      </c>
      <c r="G22" s="5">
        <v>110</v>
      </c>
      <c r="H22" s="5">
        <v>110</v>
      </c>
      <c r="I22" s="5"/>
      <c r="J22" s="5">
        <v>80</v>
      </c>
      <c r="K22" s="5">
        <v>80</v>
      </c>
      <c r="L22" s="5">
        <v>90</v>
      </c>
      <c r="M22" s="5">
        <v>90</v>
      </c>
      <c r="N22" s="5">
        <v>110</v>
      </c>
      <c r="O22" s="5">
        <v>110</v>
      </c>
      <c r="Q22" s="4" t="s">
        <v>104</v>
      </c>
      <c r="R22" s="5">
        <v>60</v>
      </c>
      <c r="S22" s="5" t="s">
        <v>105</v>
      </c>
      <c r="T22" s="5" t="s">
        <v>106</v>
      </c>
      <c r="U22" s="5">
        <v>55</v>
      </c>
      <c r="V22" s="5">
        <v>43.7</v>
      </c>
      <c r="W22" s="5">
        <v>7.4</v>
      </c>
      <c r="X22" s="5">
        <v>107.5</v>
      </c>
      <c r="Y22" s="5">
        <v>64.900000000000006</v>
      </c>
      <c r="Z22" s="5">
        <v>5</v>
      </c>
      <c r="AA22" s="5">
        <v>83.8</v>
      </c>
      <c r="AB22" s="5">
        <v>19.2</v>
      </c>
      <c r="AC22" s="5">
        <v>65</v>
      </c>
      <c r="AD22" s="5">
        <v>40</v>
      </c>
      <c r="AE22" s="5">
        <v>110</v>
      </c>
      <c r="AF22" s="5">
        <v>175</v>
      </c>
      <c r="AI22" s="4" t="s">
        <v>86</v>
      </c>
      <c r="AJ22" s="5">
        <v>90</v>
      </c>
      <c r="AK22" s="5">
        <v>90</v>
      </c>
      <c r="AL22" s="5">
        <v>110</v>
      </c>
      <c r="AM22">
        <v>110</v>
      </c>
    </row>
    <row r="23" spans="1:39">
      <c r="A23" t="s">
        <v>21</v>
      </c>
      <c r="B23" s="4" t="s">
        <v>87</v>
      </c>
      <c r="C23" s="5">
        <v>170</v>
      </c>
      <c r="D23" s="5">
        <v>170</v>
      </c>
      <c r="E23" s="5">
        <v>170</v>
      </c>
      <c r="F23" s="5">
        <v>170</v>
      </c>
      <c r="G23" s="5">
        <v>175</v>
      </c>
      <c r="H23" s="5">
        <v>175</v>
      </c>
      <c r="I23" s="5"/>
      <c r="J23" s="5">
        <v>170</v>
      </c>
      <c r="K23" s="5">
        <v>170</v>
      </c>
      <c r="L23" s="5">
        <v>170</v>
      </c>
      <c r="M23" s="5">
        <v>170</v>
      </c>
      <c r="N23" s="5">
        <v>175</v>
      </c>
      <c r="O23" s="5">
        <v>175</v>
      </c>
      <c r="AI23" s="4" t="s">
        <v>87</v>
      </c>
      <c r="AJ23" s="5">
        <v>170</v>
      </c>
      <c r="AK23" s="5">
        <v>170</v>
      </c>
      <c r="AL23" s="5">
        <v>175</v>
      </c>
      <c r="AM23">
        <v>175</v>
      </c>
    </row>
    <row r="24" spans="1:39">
      <c r="A24" t="s">
        <v>23</v>
      </c>
    </row>
    <row r="25" spans="1:39">
      <c r="A25" s="1" t="s">
        <v>131</v>
      </c>
      <c r="AI25" s="4" t="s">
        <v>134</v>
      </c>
      <c r="AJ25">
        <f t="shared" ref="AJ25:AK25" si="4">SQRT(AJ16^2 - AJ14^2)</f>
        <v>615.32430473694114</v>
      </c>
      <c r="AK25">
        <f t="shared" si="4"/>
        <v>605.49483895405751</v>
      </c>
      <c r="AL25">
        <f t="shared" ref="AL25:AM25" si="5">SQRT(AL16^2 - AL14^2)</f>
        <v>644.7673999203123</v>
      </c>
      <c r="AM25">
        <f t="shared" si="5"/>
        <v>653.47149899593933</v>
      </c>
    </row>
    <row r="26" spans="1:39">
      <c r="A26" s="1" t="s">
        <v>68</v>
      </c>
      <c r="E26">
        <v>1490</v>
      </c>
      <c r="AI26" s="4" t="s">
        <v>135</v>
      </c>
      <c r="AJ26">
        <f t="shared" ref="AJ26:AK26" si="6">SQRT(AJ13^2 -AJ14^2)</f>
        <v>430.34056281043274</v>
      </c>
      <c r="AK26">
        <f t="shared" si="6"/>
        <v>428.65953856178214</v>
      </c>
      <c r="AL26">
        <f t="shared" ref="AL26:AM26" si="7">SQRT(AL13^2 -AL14^2)</f>
        <v>430.68898290994161</v>
      </c>
      <c r="AM26">
        <f t="shared" si="7"/>
        <v>429.65218491240097</v>
      </c>
    </row>
    <row r="27" spans="1:39">
      <c r="A27" t="s">
        <v>19</v>
      </c>
      <c r="AI27" s="4" t="s">
        <v>136</v>
      </c>
      <c r="AJ27">
        <f t="shared" ref="AJ27:AK27" si="8">AJ25+AJ26</f>
        <v>1045.6648675473739</v>
      </c>
      <c r="AK27">
        <f t="shared" si="8"/>
        <v>1034.1543775158398</v>
      </c>
      <c r="AL27">
        <f t="shared" ref="AL27" si="9">AL25+AL26</f>
        <v>1075.4563828302539</v>
      </c>
      <c r="AM27">
        <f t="shared" ref="AM27" si="10">AM25+AM26</f>
        <v>1083.1236839083404</v>
      </c>
    </row>
    <row r="28" spans="1:39">
      <c r="A28" t="s">
        <v>22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39">
      <c r="A29" t="s">
        <v>24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J29" s="7" t="s">
        <v>111</v>
      </c>
      <c r="K29" s="7" t="s">
        <v>112</v>
      </c>
      <c r="L29" s="7" t="s">
        <v>113</v>
      </c>
      <c r="AI29" s="4" t="s">
        <v>23</v>
      </c>
      <c r="AJ29" s="1">
        <v>395</v>
      </c>
      <c r="AK29" s="1">
        <v>395</v>
      </c>
      <c r="AL29" s="1">
        <v>395</v>
      </c>
      <c r="AM29" s="1">
        <v>395</v>
      </c>
    </row>
    <row r="30" spans="1:39">
      <c r="A30" t="s">
        <v>25</v>
      </c>
      <c r="C30">
        <v>54</v>
      </c>
      <c r="D30">
        <v>54</v>
      </c>
      <c r="E30">
        <v>54</v>
      </c>
      <c r="F30">
        <v>54</v>
      </c>
      <c r="G30">
        <v>54</v>
      </c>
      <c r="H30">
        <v>54</v>
      </c>
      <c r="J30" s="7"/>
      <c r="K30" s="7"/>
      <c r="L30" s="7"/>
      <c r="AI30" s="4" t="s">
        <v>137</v>
      </c>
      <c r="AJ30">
        <f t="shared" ref="AJ30:AK30" si="11">AJ21</f>
        <v>380</v>
      </c>
      <c r="AK30">
        <f t="shared" si="11"/>
        <v>390</v>
      </c>
      <c r="AL30">
        <f t="shared" ref="AL30:AM30" si="12">AL21</f>
        <v>400</v>
      </c>
      <c r="AM30">
        <f t="shared" si="12"/>
        <v>415</v>
      </c>
    </row>
    <row r="31" spans="1:39">
      <c r="A31" t="s">
        <v>26</v>
      </c>
      <c r="C31">
        <v>147</v>
      </c>
      <c r="D31">
        <f>AVERAGE(D33,C34)</f>
        <v>157</v>
      </c>
      <c r="E31">
        <f>AVERAGE(E33,D34)</f>
        <v>165</v>
      </c>
      <c r="F31">
        <f>AVERAGE(F33,E34)</f>
        <v>174</v>
      </c>
      <c r="G31">
        <f>AVERAGE(G33,F34)</f>
        <v>179</v>
      </c>
      <c r="H31">
        <f>AVERAGE(H33,G34)</f>
        <v>188</v>
      </c>
      <c r="J31" s="7" t="s">
        <v>88</v>
      </c>
      <c r="K31" s="7" t="s">
        <v>114</v>
      </c>
      <c r="L31" s="7" t="s">
        <v>115</v>
      </c>
      <c r="AI31" s="4" t="s">
        <v>138</v>
      </c>
      <c r="AJ31">
        <f t="shared" ref="AJ31:AM31" si="13">AJ$19*COS(AJ$10*PI()/180)</f>
        <v>48.224840208919304</v>
      </c>
      <c r="AK31">
        <f t="shared" si="13"/>
        <v>36.807340142990682</v>
      </c>
      <c r="AL31">
        <f t="shared" si="13"/>
        <v>67.903196470689707</v>
      </c>
      <c r="AM31">
        <f t="shared" si="13"/>
        <v>63.348483846864227</v>
      </c>
    </row>
    <row r="32" spans="1:39">
      <c r="A32" t="s">
        <v>27</v>
      </c>
      <c r="C32">
        <f>D31</f>
        <v>157</v>
      </c>
      <c r="D32">
        <f t="shared" ref="D32:G32" si="14">E31</f>
        <v>165</v>
      </c>
      <c r="E32">
        <f t="shared" si="14"/>
        <v>174</v>
      </c>
      <c r="F32">
        <f t="shared" si="14"/>
        <v>179</v>
      </c>
      <c r="G32">
        <f t="shared" si="14"/>
        <v>188</v>
      </c>
      <c r="H32">
        <v>198</v>
      </c>
      <c r="J32" s="7"/>
      <c r="K32" s="7"/>
      <c r="L32" s="7"/>
      <c r="AI32" s="4" t="s">
        <v>144</v>
      </c>
      <c r="AJ32">
        <v>12</v>
      </c>
      <c r="AK32">
        <v>12</v>
      </c>
      <c r="AL32">
        <v>12</v>
      </c>
      <c r="AM32">
        <v>12</v>
      </c>
    </row>
    <row r="33" spans="1:39">
      <c r="C33">
        <v>147</v>
      </c>
      <c r="D33">
        <v>157</v>
      </c>
      <c r="E33">
        <v>165</v>
      </c>
      <c r="F33">
        <v>173</v>
      </c>
      <c r="G33">
        <v>178</v>
      </c>
      <c r="H33">
        <v>188</v>
      </c>
      <c r="J33" s="7" t="s">
        <v>93</v>
      </c>
      <c r="K33" s="7" t="s">
        <v>116</v>
      </c>
      <c r="L33" s="7" t="s">
        <v>117</v>
      </c>
      <c r="AI33" s="4" t="s">
        <v>145</v>
      </c>
      <c r="AJ33">
        <f>AJ$32*COS(AJ$10*PI()/180)</f>
        <v>4.1042417199080257</v>
      </c>
      <c r="AK33">
        <f>AK$32*COS(AK$10*PI()/180)</f>
        <v>3.8076558768611051</v>
      </c>
      <c r="AL33">
        <f t="shared" ref="AL33:AM33" si="15">AL$32*COS(AL$10*PI()/180)</f>
        <v>3.8076558768611051</v>
      </c>
      <c r="AM33">
        <f t="shared" si="15"/>
        <v>3.7082039324993694</v>
      </c>
    </row>
    <row r="34" spans="1:39">
      <c r="A34" t="s">
        <v>28</v>
      </c>
      <c r="B34" t="s">
        <v>29</v>
      </c>
      <c r="C34">
        <v>157</v>
      </c>
      <c r="D34">
        <v>165</v>
      </c>
      <c r="E34">
        <v>175</v>
      </c>
      <c r="F34">
        <v>180</v>
      </c>
      <c r="G34">
        <v>188</v>
      </c>
      <c r="H34">
        <v>198</v>
      </c>
      <c r="J34" s="7"/>
      <c r="K34" s="7"/>
      <c r="L34" s="7"/>
      <c r="AI34" s="4" t="s">
        <v>140</v>
      </c>
      <c r="AJ34" s="1">
        <f>AJ17/SIN(AJ10*PI()/180)</f>
        <v>53.208888623795609</v>
      </c>
      <c r="AK34" s="1">
        <f>AK17/SIN(AK10*PI()/180)</f>
        <v>52.724615404777836</v>
      </c>
      <c r="AL34" s="1">
        <f>AL17/SIN(AL10*PI()/180)</f>
        <v>52.724615404777836</v>
      </c>
      <c r="AM34" s="1">
        <f>AM17/SIN(AM10*PI()/180)</f>
        <v>52.573111211913364</v>
      </c>
    </row>
    <row r="35" spans="1:39">
      <c r="A35" t="s">
        <v>156</v>
      </c>
      <c r="B35" t="s">
        <v>157</v>
      </c>
      <c r="J35" s="7"/>
      <c r="K35" s="7"/>
      <c r="L35" s="7"/>
      <c r="AI35" s="4" t="s">
        <v>154</v>
      </c>
      <c r="AJ35">
        <f>AJ34*COS(AJ10*PI()/180)</f>
        <v>18.198511713310122</v>
      </c>
      <c r="AK35">
        <f t="shared" ref="AK35:AM35" si="16">AK34*COS(AK10*PI()/180)</f>
        <v>16.729765975103657</v>
      </c>
      <c r="AL35">
        <f t="shared" si="16"/>
        <v>16.729765975103657</v>
      </c>
      <c r="AM35">
        <f t="shared" si="16"/>
        <v>16.245984811645318</v>
      </c>
    </row>
    <row r="36" spans="1:39">
      <c r="A36" t="s">
        <v>158</v>
      </c>
      <c r="B36" t="s">
        <v>159</v>
      </c>
      <c r="J36" s="6"/>
      <c r="K36" s="6"/>
      <c r="L36" s="6"/>
      <c r="AI36" s="4" t="s">
        <v>155</v>
      </c>
      <c r="AJ36">
        <f>AJ29-AJ35</f>
        <v>376.8014882866899</v>
      </c>
      <c r="AK36">
        <f t="shared" ref="AK36:AM36" si="17">AK29-AK35</f>
        <v>378.27023402489635</v>
      </c>
      <c r="AL36">
        <f t="shared" si="17"/>
        <v>378.27023402489635</v>
      </c>
      <c r="AM36">
        <f t="shared" si="17"/>
        <v>378.75401518835469</v>
      </c>
    </row>
    <row r="37" spans="1:39">
      <c r="A37" t="s">
        <v>160</v>
      </c>
      <c r="B37" t="s">
        <v>129</v>
      </c>
      <c r="J37" s="7" t="s">
        <v>96</v>
      </c>
      <c r="K37" s="7" t="s">
        <v>118</v>
      </c>
      <c r="L37" s="7" t="s">
        <v>119</v>
      </c>
      <c r="AI37" s="4" t="s">
        <v>152</v>
      </c>
      <c r="AJ37">
        <f>AJ$36*SIN(AJ$10*PI()/180)</f>
        <v>354.07757804415036</v>
      </c>
      <c r="AK37">
        <f t="shared" ref="AK37:AM37" si="18">AK$36*SIN(AK$10*PI()/180)</f>
        <v>358.72261098619413</v>
      </c>
      <c r="AL37">
        <f t="shared" si="18"/>
        <v>358.72261098619413</v>
      </c>
      <c r="AM37">
        <f t="shared" si="18"/>
        <v>360.21647421783825</v>
      </c>
    </row>
    <row r="38" spans="1:39">
      <c r="A38" t="s">
        <v>30</v>
      </c>
      <c r="B38" s="1" t="s">
        <v>70</v>
      </c>
      <c r="C38" s="1"/>
      <c r="D38" s="1"/>
      <c r="E38" s="1" t="s">
        <v>131</v>
      </c>
      <c r="F38" s="1" t="s">
        <v>131</v>
      </c>
      <c r="G38" s="1" t="s">
        <v>131</v>
      </c>
      <c r="H38" s="1" t="s">
        <v>131</v>
      </c>
      <c r="J38" s="7"/>
      <c r="K38" s="7"/>
      <c r="L38" s="7"/>
      <c r="AI38" s="4" t="s">
        <v>153</v>
      </c>
      <c r="AJ38">
        <f>AJ$36*COS(AJ$10*PI()/180)</f>
        <v>128.873699029139</v>
      </c>
      <c r="AK38">
        <f t="shared" ref="AK38:AM38" si="19">AK$36*COS(AK$10*PI()/180)</f>
        <v>120.02690663554351</v>
      </c>
      <c r="AL38">
        <f t="shared" si="19"/>
        <v>120.02690663554351</v>
      </c>
      <c r="AM38">
        <f t="shared" si="19"/>
        <v>117.04142738094856</v>
      </c>
    </row>
    <row r="39" spans="1:39">
      <c r="A39" t="s">
        <v>31</v>
      </c>
      <c r="B39" s="1" t="s">
        <v>66</v>
      </c>
      <c r="E39">
        <f>((622 + 2*E29)/2*COS(E10*PI()/180) - E17)/SIN(E10*PI()/180)</f>
        <v>78.184365946303487</v>
      </c>
      <c r="F39">
        <f>((622 + 2*F29)/2*COS(F10*PI()/180) - F17)/SIN(F10*PI()/180)</f>
        <v>74.794369704332226</v>
      </c>
      <c r="G39">
        <f>((622 + 2*G29)/2*COS(G10*PI()/180) - G17)/SIN(G10*PI()/180)</f>
        <v>71.421234338235664</v>
      </c>
      <c r="H39">
        <f>((622 + 2*H29)/2*COS(H10*PI()/180) - H17)/SIN(H10*PI()/180)</f>
        <v>68.064294935470571</v>
      </c>
      <c r="J39" s="7" t="s">
        <v>99</v>
      </c>
      <c r="K39" s="7" t="s">
        <v>120</v>
      </c>
      <c r="L39" s="7" t="s">
        <v>121</v>
      </c>
      <c r="AI39" s="4" t="s">
        <v>141</v>
      </c>
      <c r="AJ39">
        <f>AJ26+AJ30+AJ31+AJ33+AJ38+AJ34</f>
        <v>1044.7522323921949</v>
      </c>
      <c r="AK39">
        <f>AK26+AK30+AK31+AK33+AK38+AK34</f>
        <v>1032.0260566219551</v>
      </c>
      <c r="AL39">
        <f>AL26+AL30+AL31+AL33+AL38+AL34</f>
        <v>1075.1513572978138</v>
      </c>
      <c r="AM39">
        <f>AM26+AM30+AM31+AM33+AM38+AM34</f>
        <v>1081.3234112846267</v>
      </c>
    </row>
    <row r="40" spans="1:39" ht="21">
      <c r="A40" t="s">
        <v>32</v>
      </c>
      <c r="C40" s="2"/>
      <c r="J40" s="7"/>
      <c r="K40" s="7"/>
      <c r="L40" s="7"/>
      <c r="AI40" s="4"/>
    </row>
    <row r="41" spans="1:39">
      <c r="A41" t="s">
        <v>33</v>
      </c>
      <c r="B41">
        <v>54</v>
      </c>
      <c r="J41" s="7" t="s">
        <v>102</v>
      </c>
      <c r="K41" s="7" t="s">
        <v>122</v>
      </c>
      <c r="L41" s="7" t="s">
        <v>123</v>
      </c>
    </row>
    <row r="42" spans="1:39">
      <c r="A42" t="s">
        <v>34</v>
      </c>
      <c r="B42" s="1"/>
      <c r="J42" s="7"/>
      <c r="K42" s="7"/>
      <c r="L42" s="7"/>
      <c r="AH42" s="1"/>
      <c r="AI42" s="1" t="s">
        <v>146</v>
      </c>
    </row>
    <row r="43" spans="1:39">
      <c r="A43" t="s">
        <v>35</v>
      </c>
      <c r="J43" s="7" t="s">
        <v>104</v>
      </c>
      <c r="K43" s="7" t="s">
        <v>124</v>
      </c>
      <c r="L43" s="7" t="s">
        <v>125</v>
      </c>
      <c r="AI43" s="4" t="s">
        <v>139</v>
      </c>
      <c r="AJ43">
        <f>AJ15-AJ26-AJ30-AJ31-AJ33-AJ34</f>
        <v>129.12146663694429</v>
      </c>
      <c r="AK43">
        <f>AK15-AK26-AK30-AK31-AK33-AK34</f>
        <v>122.00085001358823</v>
      </c>
      <c r="AL43">
        <f>AL15-AL26-AL30-AL31-AL33-AL34</f>
        <v>119.87554933772975</v>
      </c>
      <c r="AM43">
        <f>AM15-AM26-AM30-AM31-AM33-AM34</f>
        <v>118.71801609632203</v>
      </c>
    </row>
    <row r="44" spans="1:39">
      <c r="A44" t="s">
        <v>36</v>
      </c>
      <c r="B44" s="1"/>
      <c r="J44" s="7"/>
      <c r="K44" s="7"/>
      <c r="L44" s="7"/>
      <c r="AI44" s="4" t="s">
        <v>147</v>
      </c>
      <c r="AJ44">
        <f>AJ43+AJ34</f>
        <v>182.33035526073991</v>
      </c>
      <c r="AK44">
        <f>AK43+AK34</f>
        <v>174.72546541836607</v>
      </c>
      <c r="AL44">
        <f>AL43+AL34</f>
        <v>172.60016474250759</v>
      </c>
      <c r="AM44">
        <f>AM43+AM34</f>
        <v>171.29112730823539</v>
      </c>
    </row>
    <row r="45" spans="1:39">
      <c r="A45" t="s">
        <v>37</v>
      </c>
      <c r="AI45" s="4" t="s">
        <v>148</v>
      </c>
      <c r="AJ45">
        <f>TAN(AJ10 * PI()/180) * AJ43</f>
        <v>354.75831395186765</v>
      </c>
      <c r="AK45">
        <f>TAN(AK10 * PI()/180) * AK43</f>
        <v>364.62210587746227</v>
      </c>
      <c r="AL45">
        <f>TAN(AL10 * PI()/180) * AL43</f>
        <v>358.27025170621675</v>
      </c>
      <c r="AM45">
        <f>TAN(AM10 * PI()/180) * AM43</f>
        <v>365.37648370575704</v>
      </c>
    </row>
    <row r="46" spans="1:39">
      <c r="A46" t="s">
        <v>38</v>
      </c>
      <c r="AI46" s="4" t="s">
        <v>23</v>
      </c>
      <c r="AJ46">
        <f>SQRT(AJ45^2+AJ44^2)</f>
        <v>398.87068050620053</v>
      </c>
      <c r="AK46">
        <f>SQRT(AK45^2+AK44^2)</f>
        <v>404.32445926530335</v>
      </c>
      <c r="AL46">
        <f t="shared" ref="AL46:AM46" si="20">SQRT(AL45^2+AL44^2)</f>
        <v>397.67875242056454</v>
      </c>
      <c r="AM46">
        <f t="shared" si="20"/>
        <v>403.5351597317258</v>
      </c>
    </row>
    <row r="47" spans="1:39">
      <c r="A47" t="s">
        <v>39</v>
      </c>
      <c r="C47" s="1" t="s">
        <v>109</v>
      </c>
      <c r="AI47" s="4" t="s">
        <v>151</v>
      </c>
      <c r="AJ47">
        <f>AJ26+AJ30+AJ31+AJ33+AJ44</f>
        <v>1045</v>
      </c>
      <c r="AK47">
        <f>AK26+AK30+AK31+AK33+AK44</f>
        <v>1034</v>
      </c>
      <c r="AL47">
        <f>AL26+AL30+AL31+AL33+AL44</f>
        <v>1075</v>
      </c>
      <c r="AM47">
        <f>AM26+AM30+AM31+AM33+AM44</f>
        <v>1083</v>
      </c>
    </row>
    <row r="48" spans="1:39">
      <c r="A48" t="s">
        <v>40</v>
      </c>
    </row>
    <row r="49" spans="1:2">
      <c r="A49" t="s">
        <v>41</v>
      </c>
      <c r="B49" s="1" t="s">
        <v>108</v>
      </c>
    </row>
    <row r="50" spans="1:2">
      <c r="A50" t="s">
        <v>42</v>
      </c>
    </row>
    <row r="51" spans="1:2">
      <c r="A51" t="s">
        <v>43</v>
      </c>
    </row>
    <row r="52" spans="1:2">
      <c r="A52" t="s">
        <v>44</v>
      </c>
      <c r="B52" s="1" t="s">
        <v>66</v>
      </c>
    </row>
    <row r="53" spans="1:2">
      <c r="A53" t="s">
        <v>45</v>
      </c>
      <c r="B53">
        <v>42</v>
      </c>
    </row>
    <row r="54" spans="1:2">
      <c r="A54" t="s">
        <v>46</v>
      </c>
      <c r="B54" s="1"/>
    </row>
    <row r="55" spans="1:2">
      <c r="A55" t="s">
        <v>47</v>
      </c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  <c r="B58" s="1" t="s">
        <v>110</v>
      </c>
    </row>
    <row r="59" spans="1:2">
      <c r="A59" t="s">
        <v>51</v>
      </c>
      <c r="B59" s="1"/>
    </row>
    <row r="60" spans="1:2">
      <c r="A60" t="s">
        <v>52</v>
      </c>
    </row>
    <row r="61" spans="1:2">
      <c r="A61" t="s">
        <v>53</v>
      </c>
    </row>
    <row r="62" spans="1:2">
      <c r="A62" t="s">
        <v>54</v>
      </c>
      <c r="B62">
        <v>2</v>
      </c>
    </row>
    <row r="63" spans="1:2">
      <c r="A63" t="s">
        <v>55</v>
      </c>
      <c r="B63">
        <v>1</v>
      </c>
    </row>
    <row r="64" spans="1:2">
      <c r="A64" t="s">
        <v>56</v>
      </c>
      <c r="B64" s="1" t="s">
        <v>66</v>
      </c>
    </row>
    <row r="65" spans="1:2">
      <c r="A65" t="s">
        <v>57</v>
      </c>
      <c r="B65" s="1" t="s">
        <v>66</v>
      </c>
    </row>
    <row r="66" spans="1:2">
      <c r="A66" t="s">
        <v>58</v>
      </c>
      <c r="B66" s="1" t="s">
        <v>126</v>
      </c>
    </row>
    <row r="67" spans="1:2">
      <c r="A67" t="s">
        <v>59</v>
      </c>
      <c r="B67" s="1" t="s">
        <v>66</v>
      </c>
    </row>
    <row r="68" spans="1:2">
      <c r="A68" t="s">
        <v>60</v>
      </c>
      <c r="B68" s="1" t="s">
        <v>66</v>
      </c>
    </row>
    <row r="69" spans="1:2">
      <c r="A69" t="s">
        <v>61</v>
      </c>
      <c r="B69">
        <v>2399</v>
      </c>
    </row>
    <row r="70" spans="1:2">
      <c r="A70" t="s">
        <v>62</v>
      </c>
      <c r="B70">
        <v>4975</v>
      </c>
    </row>
    <row r="71" spans="1:2">
      <c r="A71" t="s">
        <v>63</v>
      </c>
      <c r="B71" s="1" t="s">
        <v>66</v>
      </c>
    </row>
    <row r="72" spans="1:2">
      <c r="A72" t="s">
        <v>64</v>
      </c>
      <c r="B72" s="1" t="s">
        <v>67</v>
      </c>
    </row>
  </sheetData>
  <mergeCells count="21">
    <mergeCell ref="J43:J44"/>
    <mergeCell ref="K43:K44"/>
    <mergeCell ref="L29:L30"/>
    <mergeCell ref="L31:L32"/>
    <mergeCell ref="L33:L35"/>
    <mergeCell ref="L37:L38"/>
    <mergeCell ref="L39:L40"/>
    <mergeCell ref="L41:L42"/>
    <mergeCell ref="L43:L44"/>
    <mergeCell ref="J39:J40"/>
    <mergeCell ref="K39:K40"/>
    <mergeCell ref="J41:J42"/>
    <mergeCell ref="K41:K42"/>
    <mergeCell ref="J33:J35"/>
    <mergeCell ref="K33:K35"/>
    <mergeCell ref="J37:J38"/>
    <mergeCell ref="K37:K38"/>
    <mergeCell ref="J29:J30"/>
    <mergeCell ref="K29:K30"/>
    <mergeCell ref="J31:J32"/>
    <mergeCell ref="K31:K3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2025-10-15T12:38:57Z</dcterms:modified>
</cp:coreProperties>
</file>