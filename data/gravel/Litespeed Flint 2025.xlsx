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7EEF03F-D5DB-AD4E-B692-DACA9DC8821A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<sst xmlns="http://schemas.openxmlformats.org/spreadsheetml/2006/main" count="260" uniqueCount="163">
  <si>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</si>
  <si>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</si>
  <si>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</si>
  <si>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</si>
  <si>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</si>
  <si>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</si>
  <si>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</si>
  <si>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</si>
  <si>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</si>
  <si>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</si>
  <si>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</si>
  <si>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</si>
  <si>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</si>
  <si>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</si>
  <si>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</si>
  <si>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</si>
  <si>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</si>
  <si>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</si>
  <si>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</si>
  <si>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</si>
  <si>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</si>
  <si>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</si>
  <si>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</si>
  <si>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</si>
  <si>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</si>
  <si>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</si>
  <si>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</si>
  <si>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</si>
  <si>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</si>
  <si>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</si>
  <si>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</si>
  <si>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</si>
  <si>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</si>
  <si>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</si>
  <si>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</si>
  <si>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</si>
  <si>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</si>
  <si>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</si>
  <si>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</si>
  <si>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</si>
  <si>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</si>
  <si>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</si>
  <si>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</si>
  <si>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</si>
  <si>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</si>
  <si>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</si>
  <si>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</si>
  <si>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</si>
  <si>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</si>
  <si>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</si>
  <si>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</si>
  <si>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</si>
  <si>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</si>
  <si>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</si>
  <si>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</si>
  <si>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</si>
  <si>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</si>
  <si>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</si>
  <si>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</si>
  <si>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</si>
  <si>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</si>
  <si>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</si>
  <si>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</si>
  <si>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</si>
  <si>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</si>
  <si>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</si>
  <si>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</si>
  <si>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</si>
  <si>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</si>
  <si>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</si>
  <si>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</si>
  <si>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</si>
  <si>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</si>
  <si>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</si>
  <si>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</si>
  <si>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</si>
  <si>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</si>
  <si>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</si>
  <si>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</si>
  <si>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</si>
  <si>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</si>
  <si>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</si>
  <si>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</si>
  <si>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</si>
  <si>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</si>
  <si>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</si>
  <si>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</si>
  <si>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</si>
  <si>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</si>
  <si>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</si>
  <si>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</si>
  <si>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</si>
  <si>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</si>
  <si>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</si>
  <si>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</si>
  <si>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</si>
  <si>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</si>
  <si>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</si>
  <si>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</si>
  <si>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</si>
  <si>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</si>
  <si>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</si>
  <si>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</si>
  <si>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</si>
  <si>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</si>
  <si>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</si>
  <si>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</si>
  <si>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</si>
  <si>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</si>
  <si>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</si>
  <si>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</si>
  <si>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</si>
  <si>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</si>
  <si>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</si>
  <si>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</si>
  <si>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</si>
  <si>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</si>
  <si>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</si>
  <si>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</si>
  <si>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</si>
  <si>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</si>
  <si>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</si>
  <si>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</si>
  <si>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</si>
  <si>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</si>
  <si>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</si>
  <si>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</si>
  <si>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</si>
  <si>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</si>
  <si>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</si>
  <si>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</si>
  <si>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</si>
  <si>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</si>
  <si>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</si>
  <si>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</si>
  <si>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</si>
  <si>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</si>
  <si>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</si>
  <si>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</si>
  <si>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</si>
  <si>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</si>
  <si>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</si>
  <si>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</si>
  <si>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</si>
  <si>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</si>
  <si>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</si>
  <si>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</si>
  <si>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</si>
  <si>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</si>
  <si>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</si>
  <si>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</si>
  <si>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</si>
  <si>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</si>
  <si>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</si>
  <si>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</si>
  <si>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</si>
  <si>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</si>
  <si>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</si>
  <si>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</si>
  <si>
    <t>https://litespeed.com/cdn/shop/files/flint-bike-feature-image_45e86c2c-6887-4c01-8170-2e8c17d83903.png?v=1752259609</t>
  </si>
  <si>
    <t>location</t>
  </si>
  <si>
    <t>Chattanooga, Tennessee, USA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</si>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</sst>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3"/>
  <sheetViews>
    <sheetView tabSelected="1" topLeftCell="A36" workbookViewId="0">
      <selection activeCell="C47" sqref="C47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70</v>
      </c>
    </row>
    <row r="2" spans="1:39">
      <c r="A2" t="s">
        <v>1</v>
      </c>
      <c r="B2" s="1" t="s">
        <v>71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131</v>
      </c>
    </row>
    <row r="6" spans="1:39">
      <c r="B6" s="1" t="s">
        <v>159</v>
      </c>
    </row>
    <row r="7" spans="1:39">
      <c r="A7" t="s">
        <v>5</v>
      </c>
      <c r="B7" s="1" t="s">
        <v>130</v>
      </c>
      <c r="J7" s="1" t="s">
        <v>106</v>
      </c>
      <c r="Q7" s="1" t="s">
        <v>127</v>
      </c>
    </row>
    <row r="8" spans="1:39">
      <c r="A8" t="s">
        <v>6</v>
      </c>
      <c r="B8" s="1" t="s">
        <v>68</v>
      </c>
      <c r="C8" s="4" t="s">
        <v>87</v>
      </c>
      <c r="D8" s="4" t="s">
        <v>92</v>
      </c>
      <c r="E8" s="4" t="s">
        <v>95</v>
      </c>
      <c r="F8" s="4" t="s">
        <v>98</v>
      </c>
      <c r="G8" s="4" t="s">
        <v>101</v>
      </c>
      <c r="H8" s="4" t="s">
        <v>103</v>
      </c>
      <c r="I8" s="4"/>
      <c r="J8" s="4" t="s">
        <v>87</v>
      </c>
      <c r="K8" s="4" t="s">
        <v>92</v>
      </c>
      <c r="L8" s="4" t="s">
        <v>95</v>
      </c>
      <c r="M8" s="4" t="s">
        <v>98</v>
      </c>
      <c r="N8" s="4" t="s">
        <v>101</v>
      </c>
      <c r="O8" s="4" t="s">
        <v>103</v>
      </c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  <c r="AI8" s="1" t="s">
        <v>68</v>
      </c>
      <c r="AJ8" s="4" t="s">
        <v>140</v>
      </c>
      <c r="AK8" s="1" t="s">
        <v>141</v>
      </c>
      <c r="AL8" s="1" t="s">
        <v>147</v>
      </c>
      <c r="AM8" s="1" t="s">
        <v>148</v>
      </c>
    </row>
    <row r="9" spans="1:39">
      <c r="A9" t="s">
        <v>9</v>
      </c>
      <c r="B9" s="4" t="s">
        <v>72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87</v>
      </c>
      <c r="R9" s="5">
        <v>50.3</v>
      </c>
      <c r="S9" s="5" t="s">
        <v>88</v>
      </c>
      <c r="T9" s="5" t="s">
        <v>89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90</v>
      </c>
      <c r="AD9" s="5" t="s">
        <v>91</v>
      </c>
      <c r="AE9" s="5">
        <v>80</v>
      </c>
      <c r="AF9" s="5">
        <v>170</v>
      </c>
      <c r="AI9" s="4" t="s">
        <v>72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73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92</v>
      </c>
      <c r="R10" s="5">
        <v>52.3</v>
      </c>
      <c r="S10" s="5" t="s">
        <v>93</v>
      </c>
      <c r="T10" s="5" t="s">
        <v>94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73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74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95</v>
      </c>
      <c r="R11" s="5">
        <v>54.5</v>
      </c>
      <c r="S11" s="5" t="s">
        <v>96</v>
      </c>
      <c r="T11" s="5" t="s">
        <v>97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74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98</v>
      </c>
      <c r="R12" s="5">
        <v>56.8</v>
      </c>
      <c r="S12" s="5" t="s">
        <v>99</v>
      </c>
      <c r="T12" s="5" t="s">
        <v>100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75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76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101</v>
      </c>
      <c r="R13" s="5">
        <v>58</v>
      </c>
      <c r="S13" s="5" t="s">
        <v>102</v>
      </c>
      <c r="T13" s="5" t="s">
        <v>100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76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103</v>
      </c>
      <c r="R14" s="5">
        <v>60</v>
      </c>
      <c r="S14" s="5" t="s">
        <v>104</v>
      </c>
      <c r="T14" s="5" t="s">
        <v>105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77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78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128</v>
      </c>
      <c r="AI15" s="4" t="s">
        <v>78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79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  <c r="AI16" s="4" t="s">
        <v>79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50.3</v>
      </c>
      <c r="S17" s="5" t="s">
        <v>88</v>
      </c>
      <c r="T17" s="5" t="s">
        <v>89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125</v>
      </c>
      <c r="AD17" s="5" t="s">
        <v>126</v>
      </c>
      <c r="AE17" s="5">
        <v>80</v>
      </c>
      <c r="AF17" s="5">
        <v>170</v>
      </c>
      <c r="AI17" s="4" t="s">
        <v>80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81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92</v>
      </c>
      <c r="R18" s="5">
        <v>52.3</v>
      </c>
      <c r="S18" s="5" t="s">
        <v>93</v>
      </c>
      <c r="T18" s="5" t="s">
        <v>94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81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82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95</v>
      </c>
      <c r="R19" s="5">
        <v>54.5</v>
      </c>
      <c r="S19" s="5" t="s">
        <v>96</v>
      </c>
      <c r="T19" s="5" t="s">
        <v>97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82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83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98</v>
      </c>
      <c r="R20" s="5">
        <v>56.8</v>
      </c>
      <c r="S20" s="5" t="s">
        <v>99</v>
      </c>
      <c r="T20" s="5" t="s">
        <v>100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83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84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101</v>
      </c>
      <c r="R21" s="5">
        <v>58</v>
      </c>
      <c r="S21" s="5" t="s">
        <v>102</v>
      </c>
      <c r="T21" s="5" t="s">
        <v>100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84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103</v>
      </c>
      <c r="R22" s="5">
        <v>60</v>
      </c>
      <c r="S22" s="5" t="s">
        <v>104</v>
      </c>
      <c r="T22" s="5" t="s">
        <v>105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85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86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129</v>
      </c>
      <c r="AI25" s="4" t="s">
        <v>132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67</v>
      </c>
      <c r="E26">
        <v>1490</v>
      </c>
      <c r="AI26" s="4" t="s">
        <v>133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134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109</v>
      </c>
      <c r="K29" s="7" t="s">
        <v>110</v>
      </c>
      <c r="L29" s="7" t="s">
        <v>111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135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v>157</v>
      </c>
      <c r="E31">
        <v>165</v>
      </c>
      <c r="F31">
        <v>173</v>
      </c>
      <c r="G31">
        <v>178</v>
      </c>
      <c r="H31">
        <v>188</v>
      </c>
      <c r="J31" s="7" t="s">
        <v>87</v>
      </c>
      <c r="K31" s="7" t="s">
        <v>112</v>
      </c>
      <c r="L31" s="7" t="s">
        <v>113</v>
      </c>
      <c r="AI31" s="4" t="s">
        <v>136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v>157</v>
      </c>
      <c r="D32">
        <v>165</v>
      </c>
      <c r="E32">
        <v>175</v>
      </c>
      <c r="F32">
        <v>180</v>
      </c>
      <c r="G32">
        <v>188</v>
      </c>
      <c r="H32">
        <v>198</v>
      </c>
      <c r="J32" s="7"/>
      <c r="K32" s="7"/>
      <c r="L32" s="7"/>
      <c r="AI32" s="4" t="s">
        <v>142</v>
      </c>
      <c r="AJ32">
        <v>12</v>
      </c>
      <c r="AK32">
        <v>12</v>
      </c>
      <c r="AL32">
        <v>12</v>
      </c>
      <c r="AM32">
        <v>12</v>
      </c>
    </row>
    <row r="33" spans="1:39">
      <c r="J33" s="7" t="s">
        <v>92</v>
      </c>
      <c r="K33" s="7" t="s">
        <v>114</v>
      </c>
      <c r="L33" s="7" t="s">
        <v>115</v>
      </c>
      <c r="AI33" s="4" t="s">
        <v>143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4">AL$32*COS(AL$10*PI()/180)</f>
        <v>3.8076558768611051</v>
      </c>
      <c r="AM33">
        <f t="shared" si="14"/>
        <v>3.7082039324993694</v>
      </c>
    </row>
    <row r="34" spans="1:39">
      <c r="A34" t="s">
        <v>28</v>
      </c>
      <c r="B34" t="s">
        <v>29</v>
      </c>
      <c r="J34" s="7"/>
      <c r="K34" s="7"/>
      <c r="L34" s="7"/>
      <c r="AI34" s="4" t="s">
        <v>138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154</v>
      </c>
      <c r="B35" t="s">
        <v>155</v>
      </c>
      <c r="J35" s="7"/>
      <c r="K35" s="7"/>
      <c r="L35" s="7"/>
      <c r="AI35" s="4" t="s">
        <v>152</v>
      </c>
      <c r="AJ35">
        <f>AJ34*COS(AJ10*PI()/180)</f>
        <v>18.198511713310122</v>
      </c>
      <c r="AK35">
        <f t="shared" ref="AK35:AM35" si="15">AK34*COS(AK10*PI()/180)</f>
        <v>16.729765975103657</v>
      </c>
      <c r="AL35">
        <f t="shared" si="15"/>
        <v>16.729765975103657</v>
      </c>
      <c r="AM35">
        <f t="shared" si="15"/>
        <v>16.245984811645318</v>
      </c>
    </row>
    <row r="36" spans="1:39">
      <c r="A36" t="s">
        <v>156</v>
      </c>
      <c r="B36" t="s">
        <v>157</v>
      </c>
      <c r="J36" s="6"/>
      <c r="K36" s="6"/>
      <c r="L36" s="6"/>
      <c r="AI36" s="4" t="s">
        <v>153</v>
      </c>
      <c r="AJ36">
        <f>AJ29-AJ35</f>
        <v>376.8014882866899</v>
      </c>
      <c r="AK36">
        <f t="shared" ref="AK36:AM36" si="16">AK29-AK35</f>
        <v>378.27023402489635</v>
      </c>
      <c r="AL36">
        <f t="shared" si="16"/>
        <v>378.27023402489635</v>
      </c>
      <c r="AM36">
        <f t="shared" si="16"/>
        <v>378.75401518835469</v>
      </c>
    </row>
    <row r="37" spans="1:39">
      <c r="A37" t="s">
        <v>158</v>
      </c>
      <c r="B37" t="s">
        <v>127</v>
      </c>
      <c r="J37" s="7" t="s">
        <v>95</v>
      </c>
      <c r="K37" s="7" t="s">
        <v>116</v>
      </c>
      <c r="L37" s="7" t="s">
        <v>117</v>
      </c>
      <c r="AI37" s="4" t="s">
        <v>150</v>
      </c>
      <c r="AJ37">
        <f>AJ$36*SIN(AJ$10*PI()/180)</f>
        <v>354.07757804415036</v>
      </c>
      <c r="AK37">
        <f t="shared" ref="AK37:AM37" si="17">AK$36*SIN(AK$10*PI()/180)</f>
        <v>358.72261098619413</v>
      </c>
      <c r="AL37">
        <f t="shared" si="17"/>
        <v>358.72261098619413</v>
      </c>
      <c r="AM37">
        <f t="shared" si="17"/>
        <v>360.21647421783825</v>
      </c>
    </row>
    <row r="38" spans="1:39">
      <c r="A38" t="s">
        <v>30</v>
      </c>
      <c r="B38" s="1" t="s">
        <v>69</v>
      </c>
      <c r="C38" s="1"/>
      <c r="D38" s="1"/>
      <c r="E38" s="1" t="s">
        <v>129</v>
      </c>
      <c r="F38" s="1" t="s">
        <v>129</v>
      </c>
      <c r="G38" s="1" t="s">
        <v>129</v>
      </c>
      <c r="H38" s="1" t="s">
        <v>129</v>
      </c>
      <c r="J38" s="7"/>
      <c r="K38" s="7"/>
      <c r="L38" s="7"/>
      <c r="AI38" s="4" t="s">
        <v>151</v>
      </c>
      <c r="AJ38">
        <f>AJ$36*COS(AJ$10*PI()/180)</f>
        <v>128.873699029139</v>
      </c>
      <c r="AK38">
        <f t="shared" ref="AK38:AM38" si="18">AK$36*COS(AK$10*PI()/180)</f>
        <v>120.02690663554351</v>
      </c>
      <c r="AL38">
        <f t="shared" si="18"/>
        <v>120.02690663554351</v>
      </c>
      <c r="AM38">
        <f t="shared" si="18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98</v>
      </c>
      <c r="K39" s="7" t="s">
        <v>118</v>
      </c>
      <c r="L39" s="7" t="s">
        <v>119</v>
      </c>
      <c r="AI39" s="4" t="s">
        <v>139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101</v>
      </c>
      <c r="K41" s="7" t="s">
        <v>120</v>
      </c>
      <c r="L41" s="7" t="s">
        <v>121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144</v>
      </c>
    </row>
    <row r="43" spans="1:39">
      <c r="A43" t="s">
        <v>35</v>
      </c>
      <c r="J43" s="7" t="s">
        <v>103</v>
      </c>
      <c r="K43" s="7" t="s">
        <v>122</v>
      </c>
      <c r="L43" s="7" t="s">
        <v>123</v>
      </c>
      <c r="AI43" s="4" t="s">
        <v>137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145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146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19">SQRT(AL45^2+AL44^2)</f>
        <v>397.67875242056454</v>
      </c>
      <c r="AM46">
        <f t="shared" si="19"/>
        <v>403.5351597317258</v>
      </c>
    </row>
    <row r="47" spans="1:39">
      <c r="A47" t="s">
        <v>39</v>
      </c>
      <c r="B47">
        <v>142</v>
      </c>
      <c r="C47" s="1"/>
      <c r="AI47" s="4" t="s">
        <v>149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  <c r="B48">
        <v>100</v>
      </c>
    </row>
    <row r="49" spans="1:2">
      <c r="A49" t="s">
        <v>41</v>
      </c>
      <c r="B49" s="1" t="s">
        <v>107</v>
      </c>
    </row>
    <row r="50" spans="1:2">
      <c r="A50" t="s">
        <v>42</v>
      </c>
    </row>
    <row r="51" spans="1:2">
      <c r="A51" t="s">
        <v>43</v>
      </c>
    </row>
    <row r="52" spans="1:2">
      <c r="A52" t="s">
        <v>44</v>
      </c>
      <c r="B52" s="1" t="s">
        <v>66</v>
      </c>
    </row>
    <row r="53" spans="1:2">
      <c r="A53" t="s">
        <v>45</v>
      </c>
      <c r="B53">
        <v>42</v>
      </c>
    </row>
    <row r="54" spans="1:2">
      <c r="A54" t="s">
        <v>46</v>
      </c>
      <c r="B54" s="1"/>
    </row>
    <row r="55" spans="1:2">
      <c r="A55" t="s">
        <v>47</v>
      </c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  <c r="B58" s="1" t="s">
        <v>108</v>
      </c>
    </row>
    <row r="59" spans="1:2">
      <c r="A59" t="s">
        <v>51</v>
      </c>
      <c r="B59" s="1" t="s">
        <v>108</v>
      </c>
    </row>
    <row r="60" spans="1:2">
      <c r="A60" t="s">
        <v>52</v>
      </c>
    </row>
    <row r="61" spans="1:2">
      <c r="A61" t="s">
        <v>53</v>
      </c>
    </row>
    <row r="62" spans="1:2">
      <c r="A62" t="s">
        <v>54</v>
      </c>
      <c r="B62">
        <v>2</v>
      </c>
    </row>
    <row r="63" spans="1:2">
      <c r="A63" t="s">
        <v>55</v>
      </c>
      <c r="B63">
        <v>1</v>
      </c>
    </row>
    <row r="64" spans="1:2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124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162</v>
      </c>
    </row>
    <row r="73" spans="1:2">
      <c r="A73" t="s">
        <v>160</v>
      </c>
      <c r="B73" t="s">
        <v>161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2025-11-01T00:28:53Z</dcterms:modified>
</cp:coreProperties>
</file>