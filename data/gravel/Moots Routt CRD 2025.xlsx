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E3CF635-C29A-5D43-9CE0-A5D7843CDAD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<sst xmlns="http://schemas.openxmlformats.org/spreadsheetml/2006/main" count="111" uniqueCount="104">
  <si>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</si>
  <si>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</si>
  <si>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</si>
  <si>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</si>
  <si>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</si>
  <si>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</si>
  <si>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</si>
  <si>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</si>
  <si>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</si>
  <si>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</si>
  <si>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</si>
  <si>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</si>
  <si>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</si>
  <si>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</si>
  <si>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</si>
  <si>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</si>
  <si>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</si>
  <si>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</si>
  <si>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</si>
  <si>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</si>
  <si>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</si>
  <si>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</si>
  <si>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</si>
  <si>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</si>
  <si>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</si>
  <si>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</si>
  <si>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</si>
  <si>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</si>
  <si>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</si>
  <si>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</si>
  <si>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</si>
  <si>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</si>
  <si>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</si>
  <si>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</si>
  <si>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</si>
  <si>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</si>
  <si>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</si>
  <si>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</si>
  <si>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</si>
  <si>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</si>
  <si>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</si>
  <si>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</si>
  <si>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</si>
  <si>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</si>
  <si>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</si>
  <si>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</si>
  <si>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</si>
  <si>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</si>
  <si>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</si>
  <si>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</si>
  <si>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</si>
  <si>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</si>
  <si>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</si>
  <si>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</si>
  <si>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</si>
  <si>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</si>
  <si>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</si>
  <si>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</si>
  <si>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</si>
  <si>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</si>
  <si>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</si>
  <si>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</si>
  <si>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</si>
  <si>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</si>
  <si>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</si>
  <si>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</si>
  <si>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</si>
  <si>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</si>
  <si>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</si>
  <si>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</si>
  <si>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</si>
  <si>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</si>
  <si>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</si>
  <si>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</si>
  <si>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</si>
  <si>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</si>
  <si>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</si>
  <si>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</si>
  <si>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</si>
  <si>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</si>
  <si>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</si>
  <si>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</si>
  <si>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</si>
  <si>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</si>
  <si>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</si>
  <si>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</si>
  <si>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</si>
  <si>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</si>
  <si>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</si>
  <si>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a8:i32</t>
  </si>
  <si>
    <t>fully integrated</t>
  </si>
  <si>
    <t>Routt CRD</t>
  </si>
  <si>
    <t>https://moots.com/bikes/gravel/routt-crd/</t>
  </si>
  <si>
    <t>https://moots.com/wp-content/uploads/2023/08/Routt_CRD_Trans_Am_01-copy.jpg.webp</t>
  </si>
  <si>
    <t>internal</t>
  </si>
  <si>
    <t>location</t>
  </si>
  <si>
    <t>Steamboat Springs, Colorado,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</si>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</sst>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topLeftCell="A61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91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92</v>
      </c>
    </row>
    <row r="6" spans="1:17" x14ac:dyDescent="0.3">
      <c r="B6" t="s">
        <v>93</v>
      </c>
    </row>
    <row r="7" spans="1:17" x14ac:dyDescent="0.3">
      <c r="A7" t="s">
        <v>5</v>
      </c>
      <c r="B7" s="1" t="s">
        <v>89</v>
      </c>
    </row>
    <row r="8" spans="1:17" x14ac:dyDescent="0.3">
      <c r="A8" t="s">
        <v>6</v>
      </c>
      <c r="B8" t="s">
        <v>82</v>
      </c>
      <c r="C8">
        <f t="shared" ref="C8:I8" si="0">K8</f>
        <v>50</v>
      </c>
      <c r="D8">
        <f t="shared" si="0"/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83</v>
      </c>
      <c r="C9">
        <f t="shared" ref="C9:I11" si="1">K9*10</f>
        <v>520</v>
      </c>
      <c r="D9">
        <f t="shared" si="1"/>
        <v>530</v>
      </c>
      <c r="E9">
        <f t="shared" si="1"/>
        <v>545</v>
      </c>
      <c r="F9">
        <f t="shared" si="1"/>
        <v>555</v>
      </c>
      <c r="G9">
        <f t="shared" si="1"/>
        <v>565</v>
      </c>
      <c r="H9">
        <f t="shared" si="1"/>
        <v>590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56.5</v>
      </c>
      <c r="P9">
        <v>59</v>
      </c>
      <c r="Q9">
        <v>60.5</v>
      </c>
    </row>
    <row r="10" spans="1:17" x14ac:dyDescent="0.3">
      <c r="A10" t="s">
        <v>7</v>
      </c>
      <c r="B10" t="s">
        <v>84</v>
      </c>
      <c r="C10">
        <f t="shared" si="1"/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85</v>
      </c>
      <c r="C11">
        <f t="shared" si="1"/>
        <v>120</v>
      </c>
      <c r="D11">
        <f t="shared" si="1"/>
        <v>130</v>
      </c>
      <c r="E11">
        <f t="shared" si="1"/>
        <v>140</v>
      </c>
      <c r="F11">
        <f t="shared" si="1"/>
        <v>150</v>
      </c>
      <c r="G11">
        <f t="shared" si="1"/>
        <v>160</v>
      </c>
      <c r="H11">
        <f t="shared" si="1"/>
        <v>170</v>
      </c>
      <c r="I11">
        <f t="shared" si="1"/>
        <v>190</v>
      </c>
      <c r="K11">
        <v>12</v>
      </c>
      <c r="L11">
        <v>13</v>
      </c>
      <c r="M11">
        <v>14</v>
      </c>
      <c r="N11">
        <v>15</v>
      </c>
      <c r="O11">
        <v>16</v>
      </c>
      <c r="P11">
        <v>17</v>
      </c>
      <c r="Q11">
        <v>19</v>
      </c>
    </row>
    <row r="12" spans="1:17" x14ac:dyDescent="0.3">
      <c r="A12" t="s">
        <v>11</v>
      </c>
      <c r="B12" t="s">
        <v>72</v>
      </c>
      <c r="C12">
        <f t="shared" ref="C12:I13" si="2">K12</f>
        <v>71</v>
      </c>
      <c r="D12">
        <f t="shared" si="2"/>
        <v>71</v>
      </c>
      <c r="E12">
        <f t="shared" si="2"/>
        <v>71.5</v>
      </c>
      <c r="F12">
        <f t="shared" si="2"/>
        <v>71.5</v>
      </c>
      <c r="G12">
        <f t="shared" si="2"/>
        <v>72</v>
      </c>
      <c r="H12">
        <f t="shared" si="2"/>
        <v>72</v>
      </c>
      <c r="I12">
        <f t="shared" si="2"/>
        <v>72.25</v>
      </c>
      <c r="K12">
        <v>71</v>
      </c>
      <c r="L12">
        <v>71</v>
      </c>
      <c r="M12">
        <v>71.5</v>
      </c>
      <c r="N12">
        <v>71.5</v>
      </c>
      <c r="O12">
        <v>72</v>
      </c>
      <c r="P12">
        <v>72</v>
      </c>
      <c r="Q12">
        <v>72.25</v>
      </c>
    </row>
    <row r="13" spans="1:17" x14ac:dyDescent="0.3">
      <c r="A13" t="s">
        <v>10</v>
      </c>
      <c r="B13" t="s">
        <v>73</v>
      </c>
      <c r="C13">
        <f t="shared" si="2"/>
        <v>75</v>
      </c>
      <c r="D13">
        <f t="shared" si="2"/>
        <v>74.25</v>
      </c>
      <c r="E13">
        <f t="shared" si="2"/>
        <v>74</v>
      </c>
      <c r="F13">
        <f t="shared" si="2"/>
        <v>73.5</v>
      </c>
      <c r="G13">
        <f t="shared" si="2"/>
        <v>73.25</v>
      </c>
      <c r="H13">
        <f t="shared" si="2"/>
        <v>73</v>
      </c>
      <c r="I13">
        <f t="shared" si="2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86</v>
      </c>
      <c r="C14">
        <f t="shared" ref="C14:I15" si="3">K14*10</f>
        <v>71</v>
      </c>
      <c r="D14">
        <f t="shared" si="3"/>
        <v>71</v>
      </c>
      <c r="E14">
        <f t="shared" si="3"/>
        <v>69</v>
      </c>
      <c r="F14">
        <f t="shared" si="3"/>
        <v>69</v>
      </c>
      <c r="G14">
        <f t="shared" si="3"/>
        <v>69</v>
      </c>
      <c r="H14">
        <f t="shared" si="3"/>
        <v>69</v>
      </c>
      <c r="I14">
        <f t="shared" si="3"/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87</v>
      </c>
      <c r="C15">
        <f t="shared" si="3"/>
        <v>430</v>
      </c>
      <c r="D15">
        <f t="shared" si="3"/>
        <v>430</v>
      </c>
      <c r="E15">
        <f t="shared" si="3"/>
        <v>430</v>
      </c>
      <c r="F15">
        <f t="shared" si="3"/>
        <v>430</v>
      </c>
      <c r="G15">
        <f t="shared" si="3"/>
        <v>430</v>
      </c>
      <c r="H15">
        <f t="shared" si="3"/>
        <v>430</v>
      </c>
      <c r="I15">
        <f t="shared" si="3"/>
        <v>430</v>
      </c>
      <c r="K15">
        <v>43</v>
      </c>
      <c r="L15">
        <v>43</v>
      </c>
      <c r="M15">
        <v>43</v>
      </c>
      <c r="N15">
        <v>43</v>
      </c>
      <c r="O15">
        <v>43</v>
      </c>
      <c r="P15">
        <v>43</v>
      </c>
      <c r="Q15">
        <v>43</v>
      </c>
    </row>
    <row r="16" spans="1:17" x14ac:dyDescent="0.3">
      <c r="A16" t="s">
        <v>15</v>
      </c>
      <c r="B16" t="s">
        <v>88</v>
      </c>
      <c r="C16" s="3">
        <f t="shared" ref="C16:I16" si="4">K16*25.4</f>
        <v>749.3</v>
      </c>
      <c r="D16" s="3">
        <f t="shared" si="4"/>
        <v>762</v>
      </c>
      <c r="E16" s="3">
        <f t="shared" si="4"/>
        <v>782.31999999999994</v>
      </c>
      <c r="F16" s="3">
        <f t="shared" si="4"/>
        <v>792.4799999999999</v>
      </c>
      <c r="G16" s="3">
        <f t="shared" si="4"/>
        <v>802.64</v>
      </c>
      <c r="H16" s="3">
        <f t="shared" si="4"/>
        <v>815.34</v>
      </c>
      <c r="I16" s="3">
        <f t="shared" si="4"/>
        <v>861.06</v>
      </c>
      <c r="K16">
        <v>29.5</v>
      </c>
      <c r="L16">
        <v>30</v>
      </c>
      <c r="M16">
        <v>30.8</v>
      </c>
      <c r="N16">
        <v>31.2</v>
      </c>
      <c r="O16">
        <v>31.6</v>
      </c>
      <c r="P16">
        <v>32.1</v>
      </c>
      <c r="Q16">
        <v>33.9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575</v>
      </c>
      <c r="L17">
        <v>585</v>
      </c>
      <c r="M17">
        <v>594</v>
      </c>
      <c r="N17">
        <v>603</v>
      </c>
      <c r="O17">
        <v>615</v>
      </c>
      <c r="P17">
        <v>624</v>
      </c>
      <c r="Q17">
        <v>644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362</v>
      </c>
      <c r="L18">
        <v>362</v>
      </c>
      <c r="M18">
        <v>372</v>
      </c>
      <c r="N18">
        <v>374</v>
      </c>
      <c r="O18">
        <v>379</v>
      </c>
      <c r="P18">
        <v>398</v>
      </c>
      <c r="Q18">
        <v>405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5">AVERAGE(E31,D32)</f>
        <v>171.5</v>
      </c>
      <c r="F29">
        <f t="shared" si="5"/>
        <v>176.5</v>
      </c>
      <c r="G29">
        <f t="shared" si="5"/>
        <v>179</v>
      </c>
      <c r="H29">
        <f t="shared" si="5"/>
        <v>181.5</v>
      </c>
      <c r="I29">
        <f t="shared" si="5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6">E29</f>
        <v>171.5</v>
      </c>
      <c r="E30">
        <f t="shared" ref="E30" si="7">F29</f>
        <v>176.5</v>
      </c>
      <c r="F30">
        <f t="shared" ref="F30" si="8">G29</f>
        <v>179</v>
      </c>
      <c r="G30">
        <f t="shared" ref="G30:H30" si="9">H29</f>
        <v>181.5</v>
      </c>
      <c r="H30">
        <f t="shared" si="9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80</v>
      </c>
    </row>
    <row r="36" spans="1:2" x14ac:dyDescent="0.3">
      <c r="A36" t="s">
        <v>67</v>
      </c>
      <c r="B36" s="1" t="s">
        <v>79</v>
      </c>
    </row>
    <row r="37" spans="1:2" x14ac:dyDescent="0.3">
      <c r="A37" t="s">
        <v>68</v>
      </c>
      <c r="B37" s="1" t="s">
        <v>81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45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98</v>
      </c>
    </row>
    <row r="50" spans="1:2" x14ac:dyDescent="0.3">
      <c r="A50" t="s">
        <v>99</v>
      </c>
    </row>
    <row r="51" spans="1:2" x14ac:dyDescent="0.3">
      <c r="A51" t="s">
        <v>100</v>
      </c>
    </row>
    <row r="52" spans="1:2" x14ac:dyDescent="0.3">
      <c r="A52" t="s">
        <v>101</v>
      </c>
    </row>
    <row r="53" spans="1:2" x14ac:dyDescent="0.3">
      <c r="A53" t="s">
        <v>102</v>
      </c>
    </row>
    <row r="54" spans="1:2" x14ac:dyDescent="0.3">
      <c r="A54" t="s">
        <v>103</v>
      </c>
    </row>
    <row r="55" spans="1:2" x14ac:dyDescent="0.3">
      <c r="A55" t="s">
        <v>42</v>
      </c>
      <c r="B55" s="1" t="s">
        <v>76</v>
      </c>
    </row>
    <row r="56" spans="1:2" x14ac:dyDescent="0.3">
      <c r="A56" t="s">
        <v>43</v>
      </c>
    </row>
    <row r="57" spans="1:2" x14ac:dyDescent="0.3">
      <c r="A57" t="s">
        <v>44</v>
      </c>
      <c r="B57">
        <v>27.2</v>
      </c>
    </row>
    <row r="58" spans="1:2" x14ac:dyDescent="0.3">
      <c r="A58" t="s">
        <v>45</v>
      </c>
      <c r="B58" s="1" t="s">
        <v>69</v>
      </c>
    </row>
    <row r="59" spans="1:2" x14ac:dyDescent="0.3">
      <c r="A59" t="s">
        <v>46</v>
      </c>
    </row>
    <row r="60" spans="1:2" x14ac:dyDescent="0.3">
      <c r="A60" t="s">
        <v>47</v>
      </c>
    </row>
    <row r="61" spans="1:2" x14ac:dyDescent="0.3">
      <c r="A61" t="s">
        <v>48</v>
      </c>
    </row>
    <row r="62" spans="1:2" x14ac:dyDescent="0.3">
      <c r="A62" t="s">
        <v>49</v>
      </c>
      <c r="B62">
        <v>160</v>
      </c>
    </row>
    <row r="63" spans="1:2" x14ac:dyDescent="0.3">
      <c r="A63" t="s">
        <v>50</v>
      </c>
    </row>
    <row r="64" spans="1:2" x14ac:dyDescent="0.3">
      <c r="A64" t="s">
        <v>51</v>
      </c>
      <c r="B64" s="1" t="s">
        <v>90</v>
      </c>
    </row>
    <row r="65" spans="1:2" x14ac:dyDescent="0.3">
      <c r="A65" t="s">
        <v>52</v>
      </c>
      <c r="B65" s="1" t="s">
        <v>94</v>
      </c>
    </row>
    <row r="66" spans="1:2" x14ac:dyDescent="0.3">
      <c r="A66" t="s">
        <v>53</v>
      </c>
      <c r="B66" s="1"/>
    </row>
    <row r="67" spans="1:2" x14ac:dyDescent="0.3">
      <c r="A67" t="s">
        <v>54</v>
      </c>
    </row>
    <row r="68" spans="1:2" x14ac:dyDescent="0.3">
      <c r="A68" t="s">
        <v>55</v>
      </c>
      <c r="B68">
        <v>2</v>
      </c>
    </row>
    <row r="69" spans="1:2" x14ac:dyDescent="0.3">
      <c r="A69" t="s">
        <v>56</v>
      </c>
      <c r="B69">
        <v>1</v>
      </c>
    </row>
    <row r="70" spans="1:2" x14ac:dyDescent="0.3">
      <c r="A70" t="s">
        <v>57</v>
      </c>
    </row>
    <row r="71" spans="1:2" x14ac:dyDescent="0.3">
      <c r="A71" t="s">
        <v>58</v>
      </c>
      <c r="B71" s="1"/>
    </row>
    <row r="72" spans="1:2" x14ac:dyDescent="0.3">
      <c r="A72" t="s">
        <v>59</v>
      </c>
      <c r="B72" s="1" t="s">
        <v>69</v>
      </c>
    </row>
    <row r="73" spans="1:2" x14ac:dyDescent="0.3">
      <c r="A73" t="s">
        <v>60</v>
      </c>
    </row>
    <row r="74" spans="1:2" x14ac:dyDescent="0.3">
      <c r="A74" t="s">
        <v>61</v>
      </c>
      <c r="B74" s="1"/>
    </row>
    <row r="75" spans="1:2" x14ac:dyDescent="0.3">
      <c r="A75" t="s">
        <v>62</v>
      </c>
      <c r="B75" s="1">
        <v>5999</v>
      </c>
    </row>
    <row r="76" spans="1:2" x14ac:dyDescent="0.3">
      <c r="A76" t="s">
        <v>63</v>
      </c>
      <c r="B76">
        <v>8250</v>
      </c>
    </row>
    <row r="77" spans="1:2" x14ac:dyDescent="0.3">
      <c r="A77" t="s">
        <v>64</v>
      </c>
      <c r="B77" s="1"/>
    </row>
    <row r="78" spans="1:2" x14ac:dyDescent="0.3">
      <c r="A78" t="s">
        <v>65</v>
      </c>
      <c r="B78" s="1" t="s">
        <v>97</v>
      </c>
    </row>
    <row r="79" spans="1:2" x14ac:dyDescent="0.3">
      <c r="A79" t="s">
        <v>95</v>
      </c>
      <c r="B79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2025-11-07T14:44:53Z</dcterms:modified>
</cp:coreProperties>
</file>