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90266B8-294A-2340-A456-65C7E4D6A87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E34" i="1"/>
  <c r="F34" i="1"/>
  <c r="C34" i="1"/>
  <c r="C33" i="1"/>
  <c r="E33" i="1"/>
  <c r="F33" i="1"/>
  <c r="D33" i="1"/>
  <c r="B43" i="1"/>
  <c r="D31" i="1"/>
  <c r="E31" i="1"/>
  <c r="F31" i="1"/>
  <c r="C31" i="1"/>
</calcChain>
</file>

<file path=xl/sharedStrings.xml><?xml version="1.0" encoding="utf-8"?>
<sst xmlns="http://schemas.openxmlformats.org/spreadsheetml/2006/main" count="156" uniqueCount="125">
  <si>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</si>
  <si>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</si>
  <si>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</si>
  <si>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</si>
  <si>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</si>
  <si>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</si>
  <si>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</si>
  <si>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</si>
  <si>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</si>
  <si>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</si>
  <si>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</si>
  <si>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</si>
  <si>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</si>
  <si>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</si>
  <si>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</si>
  <si>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</si>
  <si>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</si>
  <si>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</si>
  <si>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BB HEIGHT</t>
  </si>
  <si>
    <t>wheelbase</t>
  </si>
  <si>
    <t>WHEEL BASE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</si>
  <si>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</si>
  <si>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</si>
  <si>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</si>
  <si>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</si>
  <si>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</si>
  <si>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</si>
  <si>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</si>
  <si>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</si>
  <si>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</si>
  <si>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</si>
  <si>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</si>
  <si>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</si>
  <si>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</si>
  <si>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</si>
  <si>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</si>
  <si>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</si>
  <si>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</si>
  <si>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</si>
  <si>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</si>
  <si>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</si>
  <si>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</si>
  <si>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</si>
  <si>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</si>
  <si>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</si>
  <si>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</si>
  <si>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</si>
  <si>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</si>
  <si>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</si>
  <si>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</si>
  <si>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</si>
  <si>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</si>
  <si>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</si>
  <si>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</si>
  <si>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</si>
  <si>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</si>
  <si>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</si>
  <si>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</si>
  <si>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</si>
  <si>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</si>
  <si>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</si>
  <si>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</si>
  <si>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</si>
  <si>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</si>
  <si>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</si>
  <si>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</si>
  <si>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</si>
  <si>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</si>
  <si>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</si>
  <si>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</si>
  <si>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</si>
  <si>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</si>
  <si>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</si>
  <si>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</si>
  <si>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</si>
  <si>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</si>
  <si>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</si>
  <si>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</si>
  <si>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</si>
  <si>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</si>
  <si>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</si>
  <si>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</si>
  <si>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</si>
  <si>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</si>
  <si>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yes</t>
  </si>
  <si>
    <t>M</t>
  </si>
  <si>
    <t>L</t>
  </si>
  <si>
    <t>axle_crown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</si>
  <si>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</si>
  <si>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</si>
  <si>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</si>
  <si>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</si>
  <si>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</si>
  <si>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</si>
  <si>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</si>
  <si>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</si>
  <si>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</si>
  <si>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</si>
  <si>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</si>
  <si>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N</t>
  </si>
  <si>
    <t>STEM LENGTH</t>
  </si>
  <si>
    <t>bb_height</t>
  </si>
  <si>
    <t>seat_tube_length_cc</t>
  </si>
  <si>
    <t>trail</t>
  </si>
  <si>
    <t>Scale Gravel</t>
  </si>
  <si>
    <t>flat bar</t>
  </si>
  <si>
    <t>hardtail</t>
  </si>
  <si>
    <t>S</t>
  </si>
  <si>
    <t>XL</t>
  </si>
  <si>
    <t>TRAIL</t>
  </si>
  <si>
    <t>P</t>
  </si>
  <si>
    <t>FORK LENGTH</t>
  </si>
  <si>
    <t>Q</t>
  </si>
  <si>
    <t>MAXIMUM SEATPOST INSERTION</t>
  </si>
  <si>
    <t>R</t>
  </si>
  <si>
    <t>CRANK LENGTH</t>
  </si>
  <si>
    <t>size</t>
  </si>
  <si>
    <t>max_seatpost_insertion</t>
  </si>
  <si>
    <t>press fit</t>
  </si>
  <si>
    <t>a8:f34</t>
  </si>
  <si>
    <t>internal</t>
  </si>
  <si>
    <t>semi-integrated</t>
  </si>
  <si>
    <t>https://asset.scott-sports.com/fit-in/2000x2000/423/4235417969_2136239_2.png?signature=09aa8c31159001ac69fb26b639e3ce5c39bf9d1406aebbbeacf0e72317ea5af7</t>
  </si>
  <si>
    <t>https://www.scott-sports.com/us/en/products/bike-bikes-gravel-scale-gravel?gad_source=1&amp;gad_campaignid=22435656715&amp;gbraid=0AAAAACkUuTZewhVHZLBPS-oiJj0sVmEkF&amp;gclid=Cj0KCQjwnovFBhDnARIsAO4V7mAwcoCsaQsiz8o_vxYhYBKnzkmTuXcX_zm05n3GhKVnkw01yepU9-kaAqcbEALw_wcB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</si>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</sst>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tabSelected="1" workbookViewId="0">
      <selection activeCell="B73" sqref="B73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104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45887</v>
      </c>
    </row>
    <row r="5" spans="1:25" x14ac:dyDescent="0.3">
      <c r="A5" t="s">
        <v>5</v>
      </c>
      <c r="B5" t="s">
        <v>123</v>
      </c>
    </row>
    <row r="6" spans="1:25" x14ac:dyDescent="0.3">
      <c r="B6" t="s">
        <v>122</v>
      </c>
    </row>
    <row r="7" spans="1:25" x14ac:dyDescent="0.3">
      <c r="A7" t="s">
        <v>6</v>
      </c>
      <c r="B7" s="1" t="s">
        <v>119</v>
      </c>
    </row>
    <row r="8" spans="1:25" s="5" customFormat="1" x14ac:dyDescent="0.3">
      <c r="A8" s="5" t="s">
        <v>7</v>
      </c>
      <c r="B8" s="5" t="s">
        <v>116</v>
      </c>
      <c r="C8" s="6" t="s">
        <v>107</v>
      </c>
      <c r="D8" s="6" t="s">
        <v>85</v>
      </c>
      <c r="E8" s="6" t="s">
        <v>86</v>
      </c>
      <c r="F8" s="6" t="s">
        <v>108</v>
      </c>
      <c r="J8" s="6"/>
      <c r="L8" s="6" t="s">
        <v>107</v>
      </c>
      <c r="M8" s="6" t="s">
        <v>85</v>
      </c>
      <c r="N8" s="6" t="s">
        <v>86</v>
      </c>
      <c r="O8" s="6" t="s">
        <v>108</v>
      </c>
      <c r="P8" s="6"/>
      <c r="Q8" s="6"/>
      <c r="R8" s="6"/>
      <c r="S8" s="6"/>
      <c r="T8" s="6"/>
      <c r="U8" s="6"/>
      <c r="V8" s="6"/>
      <c r="W8" s="6"/>
      <c r="X8" s="6"/>
    </row>
    <row r="9" spans="1:25" x14ac:dyDescent="0.3">
      <c r="A9" t="s">
        <v>8</v>
      </c>
      <c r="B9" s="3" t="s">
        <v>9</v>
      </c>
      <c r="C9" s="4">
        <v>67.900000000000006</v>
      </c>
      <c r="D9" s="4">
        <v>67.900000000000006</v>
      </c>
      <c r="E9" s="4">
        <v>67.900000000000006</v>
      </c>
      <c r="F9" s="4">
        <v>67.900000000000006</v>
      </c>
      <c r="J9" s="3" t="s">
        <v>88</v>
      </c>
      <c r="K9" s="3" t="s">
        <v>9</v>
      </c>
      <c r="L9" s="4">
        <v>67.900000000000006</v>
      </c>
      <c r="M9" s="4">
        <v>67.900000000000006</v>
      </c>
      <c r="N9" s="4">
        <v>67.900000000000006</v>
      </c>
      <c r="O9" s="4">
        <v>67.900000000000006</v>
      </c>
      <c r="P9" s="4"/>
      <c r="Q9" s="4"/>
      <c r="R9" s="4"/>
      <c r="S9" s="4"/>
      <c r="T9" s="4"/>
      <c r="U9" s="4"/>
      <c r="W9" s="4"/>
      <c r="Y9" s="4"/>
    </row>
    <row r="10" spans="1:25" x14ac:dyDescent="0.3">
      <c r="A10" t="s">
        <v>10</v>
      </c>
      <c r="B10" s="3" t="s">
        <v>11</v>
      </c>
      <c r="C10" s="4">
        <v>90</v>
      </c>
      <c r="D10" s="4">
        <v>95</v>
      </c>
      <c r="E10" s="4">
        <v>110</v>
      </c>
      <c r="F10" s="4">
        <v>120</v>
      </c>
      <c r="J10" s="3" t="s">
        <v>89</v>
      </c>
      <c r="K10" s="3" t="s">
        <v>11</v>
      </c>
      <c r="L10" s="4">
        <v>90</v>
      </c>
      <c r="M10" s="4">
        <v>95</v>
      </c>
      <c r="N10" s="4">
        <v>110</v>
      </c>
      <c r="O10" s="4">
        <v>120</v>
      </c>
      <c r="P10" s="4"/>
      <c r="Q10" s="4"/>
      <c r="R10" s="4"/>
      <c r="S10" s="4"/>
      <c r="T10" s="4"/>
    </row>
    <row r="11" spans="1:25" x14ac:dyDescent="0.3">
      <c r="A11" t="s">
        <v>12</v>
      </c>
      <c r="B11" s="3" t="s">
        <v>13</v>
      </c>
      <c r="C11" s="4">
        <v>575</v>
      </c>
      <c r="D11" s="4">
        <v>600.20000000000005</v>
      </c>
      <c r="E11" s="4">
        <v>626</v>
      </c>
      <c r="F11" s="4">
        <v>656.5</v>
      </c>
      <c r="J11" s="3" t="s">
        <v>90</v>
      </c>
      <c r="K11" s="3" t="s">
        <v>13</v>
      </c>
      <c r="L11" s="4">
        <v>575</v>
      </c>
      <c r="M11" s="4">
        <v>600.20000000000005</v>
      </c>
      <c r="N11" s="4">
        <v>626</v>
      </c>
      <c r="O11" s="4">
        <v>656.5</v>
      </c>
      <c r="P11" s="4"/>
      <c r="Q11" s="4"/>
      <c r="R11" s="4"/>
      <c r="S11" s="4"/>
      <c r="T11" s="4"/>
    </row>
    <row r="12" spans="1:25" x14ac:dyDescent="0.3">
      <c r="A12" s="1" t="s">
        <v>14</v>
      </c>
      <c r="B12" s="3" t="s">
        <v>15</v>
      </c>
      <c r="C12" s="4">
        <v>752</v>
      </c>
      <c r="D12" s="4">
        <v>781</v>
      </c>
      <c r="E12" s="4">
        <v>800</v>
      </c>
      <c r="F12" s="4">
        <v>835.1</v>
      </c>
      <c r="J12" s="3" t="s">
        <v>91</v>
      </c>
      <c r="K12" s="3" t="s">
        <v>15</v>
      </c>
      <c r="L12" s="4">
        <v>752</v>
      </c>
      <c r="M12" s="4">
        <v>781</v>
      </c>
      <c r="N12" s="4">
        <v>800</v>
      </c>
      <c r="O12" s="4">
        <v>835.1</v>
      </c>
      <c r="P12" s="4"/>
      <c r="Q12" s="4"/>
      <c r="R12" s="4"/>
      <c r="S12" s="4"/>
      <c r="T12" s="4"/>
    </row>
    <row r="13" spans="1:25" x14ac:dyDescent="0.3">
      <c r="A13" t="s">
        <v>16</v>
      </c>
      <c r="B13" s="3" t="s">
        <v>17</v>
      </c>
      <c r="C13" s="4">
        <v>62</v>
      </c>
      <c r="D13" s="4">
        <v>62</v>
      </c>
      <c r="E13" s="4">
        <v>62</v>
      </c>
      <c r="F13" s="4">
        <v>62</v>
      </c>
      <c r="J13" s="3" t="s">
        <v>92</v>
      </c>
      <c r="K13" s="3" t="s">
        <v>17</v>
      </c>
      <c r="L13" s="4">
        <v>62</v>
      </c>
      <c r="M13" s="4">
        <v>62</v>
      </c>
      <c r="N13" s="4">
        <v>62</v>
      </c>
      <c r="O13" s="4">
        <v>62</v>
      </c>
      <c r="P13" s="4"/>
      <c r="Q13" s="4"/>
      <c r="R13" s="4"/>
      <c r="S13" s="4"/>
      <c r="T13" s="4"/>
    </row>
    <row r="14" spans="1:25" x14ac:dyDescent="0.3">
      <c r="A14" s="1" t="s">
        <v>101</v>
      </c>
      <c r="B14" s="3" t="s">
        <v>18</v>
      </c>
      <c r="C14" s="4">
        <v>313</v>
      </c>
      <c r="D14" s="4">
        <v>313</v>
      </c>
      <c r="E14" s="4">
        <v>313</v>
      </c>
      <c r="F14" s="4">
        <v>313</v>
      </c>
      <c r="J14" s="3" t="s">
        <v>93</v>
      </c>
      <c r="K14" s="3" t="s">
        <v>18</v>
      </c>
      <c r="L14" s="4">
        <v>313</v>
      </c>
      <c r="M14" s="4">
        <v>313</v>
      </c>
      <c r="N14" s="4">
        <v>313</v>
      </c>
      <c r="O14" s="4">
        <v>313</v>
      </c>
      <c r="P14" s="4"/>
      <c r="Q14" s="4"/>
      <c r="R14" s="4"/>
      <c r="S14" s="4"/>
      <c r="T14" s="4"/>
    </row>
    <row r="15" spans="1:25" x14ac:dyDescent="0.3">
      <c r="A15" t="s">
        <v>19</v>
      </c>
      <c r="B15" s="3" t="s">
        <v>20</v>
      </c>
      <c r="C15" s="4">
        <v>1105.4000000000001</v>
      </c>
      <c r="D15" s="4">
        <v>1131.0999999999999</v>
      </c>
      <c r="E15" s="4">
        <v>1158</v>
      </c>
      <c r="F15" s="4">
        <v>1189.4000000000001</v>
      </c>
      <c r="G15" s="7"/>
      <c r="J15" s="3" t="s">
        <v>94</v>
      </c>
      <c r="K15" s="3" t="s">
        <v>20</v>
      </c>
      <c r="L15" s="4">
        <v>1105.4000000000001</v>
      </c>
      <c r="M15" s="4">
        <v>1131.0999999999999</v>
      </c>
      <c r="N15" s="4">
        <v>1158</v>
      </c>
      <c r="O15" s="4">
        <v>1189.4000000000001</v>
      </c>
      <c r="P15" s="4"/>
      <c r="Q15" s="4"/>
      <c r="R15" s="4"/>
      <c r="S15" s="4"/>
      <c r="T15" s="4"/>
    </row>
    <row r="16" spans="1:25" x14ac:dyDescent="0.3">
      <c r="A16" s="1" t="s">
        <v>102</v>
      </c>
      <c r="B16" s="3" t="s">
        <v>21</v>
      </c>
      <c r="C16" s="4"/>
      <c r="D16" s="4"/>
      <c r="E16" s="4"/>
      <c r="F16" s="4"/>
      <c r="J16" s="3" t="s">
        <v>95</v>
      </c>
      <c r="K16" s="3" t="s">
        <v>21</v>
      </c>
      <c r="L16" s="4"/>
      <c r="M16" s="4"/>
      <c r="N16" s="4"/>
      <c r="O16" s="4"/>
      <c r="P16" s="4"/>
      <c r="Q16" s="4"/>
      <c r="R16" s="4"/>
      <c r="S16" s="4"/>
      <c r="T16" s="4"/>
    </row>
    <row r="17" spans="1:25" x14ac:dyDescent="0.3">
      <c r="A17" t="s">
        <v>22</v>
      </c>
      <c r="B17" s="3" t="s">
        <v>23</v>
      </c>
      <c r="C17" s="4">
        <v>390</v>
      </c>
      <c r="D17" s="4">
        <v>440</v>
      </c>
      <c r="E17" s="4">
        <v>480</v>
      </c>
      <c r="F17" s="4">
        <v>530</v>
      </c>
      <c r="J17" s="3" t="s">
        <v>96</v>
      </c>
      <c r="K17" s="3" t="s">
        <v>23</v>
      </c>
      <c r="L17" s="4">
        <v>390</v>
      </c>
      <c r="M17" s="4">
        <v>440</v>
      </c>
      <c r="N17" s="4">
        <v>480</v>
      </c>
      <c r="O17" s="4">
        <v>530</v>
      </c>
      <c r="P17" s="4"/>
      <c r="Q17" s="4"/>
      <c r="R17" s="4"/>
      <c r="S17" s="4"/>
      <c r="T17" s="4"/>
    </row>
    <row r="18" spans="1:25" x14ac:dyDescent="0.3">
      <c r="A18" t="s">
        <v>24</v>
      </c>
      <c r="B18" s="3" t="s">
        <v>25</v>
      </c>
      <c r="C18" s="4">
        <v>75.400000000000006</v>
      </c>
      <c r="D18" s="4">
        <v>75.400000000000006</v>
      </c>
      <c r="E18" s="4">
        <v>75.3</v>
      </c>
      <c r="F18" s="4">
        <v>75.3</v>
      </c>
      <c r="J18" s="3" t="s">
        <v>97</v>
      </c>
      <c r="K18" s="3" t="s">
        <v>25</v>
      </c>
      <c r="L18" s="4">
        <v>75.400000000000006</v>
      </c>
      <c r="M18" s="4">
        <v>75.400000000000006</v>
      </c>
      <c r="N18" s="4">
        <v>75.3</v>
      </c>
      <c r="O18" s="4">
        <v>75.3</v>
      </c>
      <c r="P18" s="4"/>
      <c r="Q18" s="4"/>
      <c r="R18" s="4"/>
      <c r="S18" s="4"/>
      <c r="T18" s="4"/>
      <c r="U18" s="4"/>
      <c r="Y18" s="4"/>
    </row>
    <row r="19" spans="1:25" x14ac:dyDescent="0.3">
      <c r="A19" t="s">
        <v>26</v>
      </c>
      <c r="B19" s="3" t="s">
        <v>27</v>
      </c>
      <c r="C19" s="4">
        <v>425</v>
      </c>
      <c r="D19" s="4">
        <v>425</v>
      </c>
      <c r="E19" s="4">
        <v>425</v>
      </c>
      <c r="F19" s="4">
        <v>425</v>
      </c>
      <c r="J19" s="3" t="s">
        <v>98</v>
      </c>
      <c r="K19" s="3" t="s">
        <v>27</v>
      </c>
      <c r="L19" s="4">
        <v>425</v>
      </c>
      <c r="M19" s="4">
        <v>425</v>
      </c>
      <c r="N19" s="4">
        <v>425</v>
      </c>
      <c r="O19" s="4">
        <v>425</v>
      </c>
      <c r="P19" s="4"/>
      <c r="Q19" s="4"/>
      <c r="R19" s="4"/>
      <c r="S19" s="4"/>
      <c r="T19" s="4"/>
    </row>
    <row r="20" spans="1:25" x14ac:dyDescent="0.3">
      <c r="A20" t="s">
        <v>28</v>
      </c>
      <c r="B20" s="3" t="s">
        <v>29</v>
      </c>
      <c r="C20" s="4">
        <v>418.5</v>
      </c>
      <c r="D20" s="4">
        <v>442.3</v>
      </c>
      <c r="E20" s="4">
        <v>463.6</v>
      </c>
      <c r="F20" s="4">
        <v>491.2</v>
      </c>
      <c r="J20" s="3" t="s">
        <v>86</v>
      </c>
      <c r="K20" s="3" t="s">
        <v>29</v>
      </c>
      <c r="L20" s="4">
        <v>418.5</v>
      </c>
      <c r="M20" s="4">
        <v>442.3</v>
      </c>
      <c r="N20" s="4">
        <v>463.6</v>
      </c>
      <c r="O20" s="4">
        <v>491.2</v>
      </c>
      <c r="P20" s="4"/>
      <c r="Q20" s="4"/>
      <c r="R20" s="4"/>
      <c r="S20" s="4"/>
      <c r="T20" s="4"/>
    </row>
    <row r="21" spans="1:25" x14ac:dyDescent="0.3">
      <c r="A21" t="s">
        <v>30</v>
      </c>
      <c r="B21" s="3" t="s">
        <v>31</v>
      </c>
      <c r="C21" s="4">
        <v>600.29999999999995</v>
      </c>
      <c r="D21" s="4">
        <v>604.9</v>
      </c>
      <c r="E21" s="4">
        <v>618.9</v>
      </c>
      <c r="F21" s="4">
        <v>628.1</v>
      </c>
      <c r="J21" s="3" t="s">
        <v>85</v>
      </c>
      <c r="K21" s="3" t="s">
        <v>31</v>
      </c>
      <c r="L21" s="4">
        <v>600.29999999999995</v>
      </c>
      <c r="M21" s="4">
        <v>604.9</v>
      </c>
      <c r="N21" s="4">
        <v>618.9</v>
      </c>
      <c r="O21" s="4">
        <v>628.1</v>
      </c>
      <c r="P21" s="4"/>
      <c r="Q21" s="4"/>
      <c r="R21" s="4"/>
      <c r="S21" s="4"/>
      <c r="T21" s="4"/>
    </row>
    <row r="22" spans="1:25" x14ac:dyDescent="0.3">
      <c r="A22" t="s">
        <v>35</v>
      </c>
      <c r="B22" s="3" t="s">
        <v>100</v>
      </c>
      <c r="C22" s="4">
        <v>50</v>
      </c>
      <c r="D22" s="4">
        <v>60</v>
      </c>
      <c r="E22" s="4">
        <v>70</v>
      </c>
      <c r="F22" s="4">
        <v>80</v>
      </c>
      <c r="J22" s="3" t="s">
        <v>99</v>
      </c>
      <c r="K22" s="3" t="s">
        <v>100</v>
      </c>
      <c r="L22" s="4">
        <v>50</v>
      </c>
      <c r="M22" s="4">
        <v>60</v>
      </c>
      <c r="N22" s="4">
        <v>70</v>
      </c>
      <c r="O22" s="4">
        <v>80</v>
      </c>
      <c r="P22" s="4"/>
      <c r="Q22" s="4"/>
      <c r="R22" s="4"/>
      <c r="S22" s="4"/>
      <c r="T22" s="4"/>
    </row>
    <row r="23" spans="1:25" x14ac:dyDescent="0.3">
      <c r="A23" s="1" t="s">
        <v>103</v>
      </c>
      <c r="B23" s="3" t="s">
        <v>109</v>
      </c>
      <c r="C23" s="4">
        <v>105</v>
      </c>
      <c r="D23" s="4">
        <v>105</v>
      </c>
      <c r="E23" s="4">
        <v>105</v>
      </c>
      <c r="F23" s="4">
        <v>105</v>
      </c>
      <c r="J23" s="3">
        <v>0</v>
      </c>
      <c r="K23" s="3" t="s">
        <v>109</v>
      </c>
      <c r="L23" s="4">
        <v>105</v>
      </c>
      <c r="M23" s="4">
        <v>105</v>
      </c>
      <c r="N23" s="4">
        <v>105</v>
      </c>
      <c r="O23" s="4">
        <v>105</v>
      </c>
      <c r="P23" s="4"/>
      <c r="Q23" s="4"/>
      <c r="R23" s="4"/>
      <c r="S23" s="4"/>
      <c r="T23" s="4"/>
    </row>
    <row r="24" spans="1:25" x14ac:dyDescent="0.3">
      <c r="A24" s="1" t="s">
        <v>87</v>
      </c>
      <c r="B24" s="3" t="s">
        <v>111</v>
      </c>
      <c r="C24" s="4">
        <v>506</v>
      </c>
      <c r="D24" s="4">
        <v>506</v>
      </c>
      <c r="E24" s="4">
        <v>506</v>
      </c>
      <c r="F24" s="4">
        <v>506</v>
      </c>
      <c r="J24" s="3" t="s">
        <v>110</v>
      </c>
      <c r="K24" s="3" t="s">
        <v>111</v>
      </c>
      <c r="L24" s="4">
        <v>506</v>
      </c>
      <c r="M24" s="4">
        <v>506</v>
      </c>
      <c r="N24" s="4">
        <v>506</v>
      </c>
      <c r="O24" s="4">
        <v>506</v>
      </c>
      <c r="P24" s="4"/>
      <c r="Q24" s="4"/>
      <c r="R24" s="4"/>
      <c r="S24" s="4"/>
      <c r="T24" s="4"/>
    </row>
    <row r="25" spans="1:25" x14ac:dyDescent="0.3">
      <c r="A25" s="1" t="s">
        <v>117</v>
      </c>
      <c r="B25" s="3" t="s">
        <v>113</v>
      </c>
      <c r="C25" s="4">
        <v>160</v>
      </c>
      <c r="D25" s="4">
        <v>210</v>
      </c>
      <c r="E25" s="4">
        <v>250</v>
      </c>
      <c r="F25" s="4">
        <v>300</v>
      </c>
      <c r="J25" s="3" t="s">
        <v>112</v>
      </c>
      <c r="K25" s="3" t="s">
        <v>113</v>
      </c>
      <c r="L25" s="4">
        <v>160</v>
      </c>
      <c r="M25" s="4">
        <v>210</v>
      </c>
      <c r="N25" s="4">
        <v>250</v>
      </c>
      <c r="O25" s="4">
        <v>300</v>
      </c>
      <c r="P25" s="4"/>
      <c r="Q25" s="4"/>
      <c r="R25" s="4"/>
      <c r="S25" s="4"/>
      <c r="T25" s="4"/>
    </row>
    <row r="26" spans="1:25" x14ac:dyDescent="0.3">
      <c r="A26" t="s">
        <v>33</v>
      </c>
      <c r="B26" s="3" t="s">
        <v>115</v>
      </c>
      <c r="C26" s="4">
        <v>170</v>
      </c>
      <c r="D26" s="4">
        <v>175</v>
      </c>
      <c r="E26" s="4">
        <v>175</v>
      </c>
      <c r="F26" s="4">
        <v>175</v>
      </c>
      <c r="J26" s="3" t="s">
        <v>114</v>
      </c>
      <c r="K26" s="3" t="s">
        <v>115</v>
      </c>
      <c r="L26" s="4">
        <v>170</v>
      </c>
      <c r="M26" s="4">
        <v>175</v>
      </c>
      <c r="N26" s="4">
        <v>175</v>
      </c>
      <c r="O26" s="4">
        <v>175</v>
      </c>
      <c r="P26" s="4"/>
      <c r="Q26" s="4"/>
      <c r="R26" s="4"/>
      <c r="S26" s="4"/>
      <c r="T26" s="4"/>
    </row>
    <row r="27" spans="1:25" x14ac:dyDescent="0.3">
      <c r="A27" t="s">
        <v>32</v>
      </c>
      <c r="B27" s="3"/>
      <c r="C27" s="4"/>
      <c r="D27" s="4"/>
      <c r="E27" s="4"/>
      <c r="F27" s="4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</row>
    <row r="28" spans="1:25" x14ac:dyDescent="0.3">
      <c r="A28" t="s">
        <v>34</v>
      </c>
      <c r="C28" s="3"/>
      <c r="J28" s="3"/>
      <c r="K28" s="3"/>
      <c r="L28" s="4"/>
      <c r="M28" s="4"/>
      <c r="N28" s="4"/>
      <c r="O28" s="4"/>
      <c r="P28" s="4"/>
      <c r="Q28" s="4"/>
      <c r="R28" s="4"/>
      <c r="S28" s="4"/>
      <c r="T28" s="4"/>
    </row>
    <row r="29" spans="1:25" x14ac:dyDescent="0.3">
      <c r="A29" t="s">
        <v>36</v>
      </c>
    </row>
    <row r="30" spans="1:25" x14ac:dyDescent="0.3">
      <c r="A30" t="s">
        <v>37</v>
      </c>
      <c r="B30" t="s">
        <v>37</v>
      </c>
      <c r="C30">
        <v>29</v>
      </c>
      <c r="D30">
        <v>29</v>
      </c>
      <c r="E30">
        <v>29</v>
      </c>
      <c r="F30">
        <v>29</v>
      </c>
    </row>
    <row r="31" spans="1:25" x14ac:dyDescent="0.3">
      <c r="A31" t="s">
        <v>38</v>
      </c>
      <c r="B31" t="s">
        <v>38</v>
      </c>
      <c r="C31">
        <f>2.35*25.4</f>
        <v>59.69</v>
      </c>
      <c r="D31">
        <f t="shared" ref="D31:F31" si="0">2.35*25.4</f>
        <v>59.69</v>
      </c>
      <c r="E31">
        <f t="shared" si="0"/>
        <v>59.69</v>
      </c>
      <c r="F31">
        <f t="shared" si="0"/>
        <v>59.69</v>
      </c>
    </row>
    <row r="32" spans="1:25" x14ac:dyDescent="0.3">
      <c r="A32" t="s">
        <v>39</v>
      </c>
      <c r="B32" t="s">
        <v>39</v>
      </c>
      <c r="C32">
        <v>45</v>
      </c>
      <c r="D32">
        <v>45</v>
      </c>
      <c r="E32">
        <v>45</v>
      </c>
      <c r="F32">
        <v>45</v>
      </c>
    </row>
    <row r="33" spans="1:6" x14ac:dyDescent="0.3">
      <c r="A33" t="s">
        <v>40</v>
      </c>
      <c r="B33" t="s">
        <v>40</v>
      </c>
      <c r="C33">
        <f>C35</f>
        <v>160</v>
      </c>
      <c r="D33">
        <f>AVERAGE(D35,C36)</f>
        <v>169.5</v>
      </c>
      <c r="E33">
        <f t="shared" ref="E33:F33" si="1">AVERAGE(E35,D36)</f>
        <v>179.5</v>
      </c>
      <c r="F33">
        <f t="shared" si="1"/>
        <v>186</v>
      </c>
    </row>
    <row r="34" spans="1:6" x14ac:dyDescent="0.3">
      <c r="A34" t="s">
        <v>41</v>
      </c>
      <c r="B34" t="s">
        <v>41</v>
      </c>
      <c r="C34">
        <f>D33</f>
        <v>169.5</v>
      </c>
      <c r="D34">
        <f t="shared" ref="D34:F34" si="2">E33</f>
        <v>179.5</v>
      </c>
      <c r="E34">
        <f t="shared" si="2"/>
        <v>186</v>
      </c>
      <c r="F34">
        <f t="shared" si="2"/>
        <v>0</v>
      </c>
    </row>
    <row r="35" spans="1:6" x14ac:dyDescent="0.3">
      <c r="C35">
        <v>160</v>
      </c>
      <c r="D35">
        <v>169</v>
      </c>
      <c r="E35">
        <v>179</v>
      </c>
      <c r="F35">
        <v>184</v>
      </c>
    </row>
    <row r="36" spans="1:6" x14ac:dyDescent="0.3">
      <c r="A36" t="s">
        <v>42</v>
      </c>
      <c r="B36" t="s">
        <v>43</v>
      </c>
      <c r="C36">
        <v>170</v>
      </c>
      <c r="D36">
        <v>180</v>
      </c>
      <c r="E36">
        <v>188</v>
      </c>
      <c r="F36">
        <v>196</v>
      </c>
    </row>
    <row r="37" spans="1:6" x14ac:dyDescent="0.3">
      <c r="A37" t="s">
        <v>80</v>
      </c>
      <c r="B37" s="1" t="s">
        <v>106</v>
      </c>
    </row>
    <row r="38" spans="1:6" x14ac:dyDescent="0.3">
      <c r="A38" t="s">
        <v>81</v>
      </c>
      <c r="B38" s="1" t="s">
        <v>105</v>
      </c>
    </row>
    <row r="39" spans="1:6" x14ac:dyDescent="0.3">
      <c r="A39" t="s">
        <v>82</v>
      </c>
      <c r="B39" t="s">
        <v>83</v>
      </c>
    </row>
    <row r="40" spans="1:6" x14ac:dyDescent="0.3">
      <c r="A40" t="s">
        <v>44</v>
      </c>
      <c r="B40" t="s">
        <v>45</v>
      </c>
    </row>
    <row r="41" spans="1:6" x14ac:dyDescent="0.3">
      <c r="A41" t="s">
        <v>46</v>
      </c>
      <c r="B41" s="1" t="s">
        <v>84</v>
      </c>
    </row>
    <row r="42" spans="1:6" x14ac:dyDescent="0.3">
      <c r="A42" t="s">
        <v>47</v>
      </c>
    </row>
    <row r="43" spans="1:6" x14ac:dyDescent="0.3">
      <c r="A43" t="s">
        <v>48</v>
      </c>
      <c r="B43">
        <f>2.35*25.4</f>
        <v>59.69</v>
      </c>
    </row>
    <row r="44" spans="1:6" x14ac:dyDescent="0.3">
      <c r="A44" t="s">
        <v>49</v>
      </c>
    </row>
    <row r="45" spans="1:6" x14ac:dyDescent="0.3">
      <c r="A45" t="s">
        <v>50</v>
      </c>
      <c r="B45">
        <v>120</v>
      </c>
    </row>
    <row r="46" spans="1:6" x14ac:dyDescent="0.3">
      <c r="A46" t="s">
        <v>51</v>
      </c>
    </row>
    <row r="47" spans="1:6" x14ac:dyDescent="0.3">
      <c r="A47" t="s">
        <v>52</v>
      </c>
    </row>
    <row r="48" spans="1:6" x14ac:dyDescent="0.3">
      <c r="A48" t="s">
        <v>53</v>
      </c>
    </row>
    <row r="49" spans="1:2" x14ac:dyDescent="0.3">
      <c r="A49" t="s">
        <v>54</v>
      </c>
      <c r="B49">
        <v>148</v>
      </c>
    </row>
    <row r="50" spans="1:2" x14ac:dyDescent="0.3">
      <c r="A50" t="s">
        <v>55</v>
      </c>
      <c r="B50">
        <v>110</v>
      </c>
    </row>
    <row r="51" spans="1:2" x14ac:dyDescent="0.3">
      <c r="A51" t="s">
        <v>56</v>
      </c>
      <c r="B51" s="1" t="s">
        <v>118</v>
      </c>
    </row>
    <row r="52" spans="1:2" x14ac:dyDescent="0.3">
      <c r="A52" t="s">
        <v>57</v>
      </c>
    </row>
    <row r="53" spans="1:2" x14ac:dyDescent="0.3">
      <c r="A53" t="s">
        <v>58</v>
      </c>
      <c r="B53">
        <v>31.6</v>
      </c>
    </row>
    <row r="54" spans="1:2" x14ac:dyDescent="0.3">
      <c r="A54" t="s">
        <v>59</v>
      </c>
      <c r="B54" s="1" t="s">
        <v>84</v>
      </c>
    </row>
    <row r="55" spans="1:2" x14ac:dyDescent="0.3">
      <c r="A55" t="s">
        <v>60</v>
      </c>
    </row>
    <row r="56" spans="1:2" x14ac:dyDescent="0.3">
      <c r="A56" t="s">
        <v>61</v>
      </c>
    </row>
    <row r="57" spans="1:2" x14ac:dyDescent="0.3">
      <c r="A57" t="s">
        <v>62</v>
      </c>
      <c r="B57">
        <v>180</v>
      </c>
    </row>
    <row r="58" spans="1:2" x14ac:dyDescent="0.3">
      <c r="A58" t="s">
        <v>63</v>
      </c>
      <c r="B58">
        <v>160</v>
      </c>
    </row>
    <row r="59" spans="1:2" x14ac:dyDescent="0.3">
      <c r="A59" t="s">
        <v>64</v>
      </c>
    </row>
    <row r="60" spans="1:2" x14ac:dyDescent="0.3">
      <c r="A60" t="s">
        <v>65</v>
      </c>
      <c r="B60" s="1" t="s">
        <v>121</v>
      </c>
    </row>
    <row r="61" spans="1:2" x14ac:dyDescent="0.3">
      <c r="A61" t="s">
        <v>66</v>
      </c>
      <c r="B61" s="1" t="s">
        <v>120</v>
      </c>
    </row>
    <row r="62" spans="1:2" x14ac:dyDescent="0.3">
      <c r="A62" t="s">
        <v>67</v>
      </c>
    </row>
    <row r="63" spans="1:2" x14ac:dyDescent="0.3">
      <c r="A63" t="s">
        <v>68</v>
      </c>
    </row>
    <row r="64" spans="1:2" x14ac:dyDescent="0.3">
      <c r="A64" t="s">
        <v>69</v>
      </c>
      <c r="B64">
        <v>2</v>
      </c>
    </row>
    <row r="65" spans="1:2" x14ac:dyDescent="0.3">
      <c r="A65" t="s">
        <v>70</v>
      </c>
      <c r="B65">
        <v>1</v>
      </c>
    </row>
    <row r="66" spans="1:2" x14ac:dyDescent="0.3">
      <c r="A66" t="s">
        <v>71</v>
      </c>
      <c r="B66" s="1" t="s">
        <v>84</v>
      </c>
    </row>
    <row r="67" spans="1:2" x14ac:dyDescent="0.3">
      <c r="A67" t="s">
        <v>72</v>
      </c>
    </row>
    <row r="68" spans="1:2" x14ac:dyDescent="0.3">
      <c r="A68" t="s">
        <v>73</v>
      </c>
    </row>
    <row r="69" spans="1:2" x14ac:dyDescent="0.3">
      <c r="A69" t="s">
        <v>74</v>
      </c>
    </row>
    <row r="70" spans="1:2" x14ac:dyDescent="0.3">
      <c r="A70" t="s">
        <v>75</v>
      </c>
    </row>
    <row r="71" spans="1:2" x14ac:dyDescent="0.3">
      <c r="A71" t="s">
        <v>76</v>
      </c>
    </row>
    <row r="72" spans="1:2" x14ac:dyDescent="0.3">
      <c r="A72" t="s">
        <v>77</v>
      </c>
      <c r="B72">
        <v>2899</v>
      </c>
    </row>
    <row r="73" spans="1:2" x14ac:dyDescent="0.3">
      <c r="A73" t="s">
        <v>78</v>
      </c>
    </row>
    <row r="74" spans="1:2" x14ac:dyDescent="0.3">
      <c r="A74" t="s">
        <v>79</v>
      </c>
      <c r="B74" s="1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2025-10-16T17:00:55Z</dcterms:modified>
</cp:coreProperties>
</file>