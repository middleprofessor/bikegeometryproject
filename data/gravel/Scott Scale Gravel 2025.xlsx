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F9D8BD-F360-F64A-897A-1A69E15B48F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C34" i="1"/>
  <c r="C33" i="1"/>
  <c r="E33" i="1"/>
  <c r="F33" i="1"/>
  <c r="D33" i="1"/>
  <c r="B43" i="1"/>
  <c r="D31" i="1"/>
  <c r="E31" i="1"/>
  <c r="F31" i="1"/>
  <c r="C31" i="1"/>
</calcChain>
</file>

<file path=xl/sharedStrings.xml><?xml version="1.0" encoding="utf-8"?>
<sst xmlns="http://schemas.openxmlformats.org/spreadsheetml/2006/main" count="156" uniqueCount="125">
  <si>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</si>
  <si>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</si>
  <si>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</si>
  <si>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</si>
  <si>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</si>
  <si>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</si>
  <si>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</si>
  <si>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</si>
  <si>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</si>
  <si>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</si>
  <si>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</si>
  <si>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</si>
  <si>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</si>
  <si>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</si>
  <si>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</si>
  <si>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</si>
  <si>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</si>
  <si>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</si>
  <si>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</si>
  <si>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</si>
  <si>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</si>
  <si>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</si>
  <si>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</si>
  <si>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</si>
  <si>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</si>
  <si>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</si>
  <si>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</si>
  <si>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</si>
  <si>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</si>
  <si>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</si>
  <si>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</si>
  <si>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</si>
  <si>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</si>
  <si>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</si>
  <si>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</si>
  <si>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</si>
  <si>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</si>
  <si>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</si>
  <si>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</si>
  <si>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</si>
  <si>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</si>
  <si>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</si>
  <si>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</si>
  <si>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</si>
  <si>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</si>
  <si>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</si>
  <si>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</si>
  <si>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</si>
  <si>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</si>
  <si>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</si>
  <si>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</si>
  <si>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</si>
  <si>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</si>
  <si>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</si>
  <si>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</si>
  <si>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</si>
  <si>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</si>
  <si>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</si>
  <si>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</si>
  <si>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</si>
  <si>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</si>
  <si>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</si>
  <si>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</si>
  <si>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</si>
  <si>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</si>
  <si>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</si>
  <si>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</si>
  <si>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</si>
  <si>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</si>
  <si>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</si>
  <si>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</si>
  <si>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</si>
  <si>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</si>
  <si>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</si>
  <si>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</si>
  <si>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</si>
  <si>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</si>
  <si>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</si>
  <si>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</si>
  <si>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</si>
  <si>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</si>
  <si>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</si>
  <si>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</si>
  <si>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</si>
  <si>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</si>
  <si>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usd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</si>
  <si>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</si>
  <si>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</si>
  <si>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</si>
  <si>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</si>
  <si>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</si>
  <si>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</si>
  <si>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</si>
  <si>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</si>
  <si>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</si>
  <si>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</si>
  <si>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</si>
  <si>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</si>
  <si>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</si>
  <si>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</si>
  <si>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</si>
  <si>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</si>
  <si>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</si>
  <si>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</si>
  <si>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</si>
  <si>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</si>
  <si>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https://www.scott-sports.com/gb/en/products/bike-bikes-gravel-scale-gravel?gad_source=1&amp;gad_campaignid=22435656715&amp;gbraid=0AAAAACkUuTZewhVHZLBPS-oiJj0sVmEkF&amp;gclid=Cj0KCQjwnovFBhDnARIsAO4V7mAwcoCsaQsiz8o_vxYhYBKnzkmTuXcX_zm05n3GhKVnkw01yepU9-kaAqcbEALw_wcB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</si>
  <si>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</si>
  <si>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</si>
  <si>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</si>
  <si>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</si>
  <si>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</si>
  <si>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</si>
  <si>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</si>
  <si>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</si>
  <si>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</si>
  <si>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</si>
  <si>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</si>
  <si>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</si>
  <si>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</si>
  <si>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</si>
  <si>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</si>
  <si>
    <t>internal</t>
  </si>
  <si>
    <t>semi-integrated</t>
  </si>
  <si>
    <t>https://asset.scott-sports.com/fit-in/2000x2000/423/4235417969_2136239_2.png?signature=09aa8c31159001ac69fb26b639e3ce5c39bf9d1406aebbbeacf0e72317ea5af7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</si>
</sst>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4"/>
  <sheetViews>
    <sheetView tabSelected="1" workbookViewId="0">
      <selection activeCell="B6" sqref="B6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105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106</v>
      </c>
    </row>
    <row r="6" spans="1:25" x14ac:dyDescent="0.3">
      <c r="B6" t="s">
        <v>124</v>
      </c>
    </row>
    <row r="7" spans="1:25" x14ac:dyDescent="0.3">
      <c r="A7" t="s">
        <v>6</v>
      </c>
      <c r="B7" s="1" t="s">
        <v>121</v>
      </c>
    </row>
    <row r="8" spans="1:25" s="5" customFormat="1" x14ac:dyDescent="0.3">
      <c r="A8" s="5" t="s">
        <v>7</v>
      </c>
      <c r="B8" s="5" t="s">
        <v>118</v>
      </c>
      <c r="C8" s="6" t="s">
        <v>109</v>
      </c>
      <c r="D8" s="6" t="s">
        <v>86</v>
      </c>
      <c r="E8" s="6" t="s">
        <v>87</v>
      </c>
      <c r="F8" s="6" t="s">
        <v>110</v>
      </c>
      <c r="J8" s="6"/>
      <c r="L8" s="6" t="s">
        <v>109</v>
      </c>
      <c r="M8" s="6" t="s">
        <v>86</v>
      </c>
      <c r="N8" s="6" t="s">
        <v>87</v>
      </c>
      <c r="O8" s="6" t="s">
        <v>110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89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90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91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92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93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102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94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95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103</v>
      </c>
      <c r="B16" s="3" t="s">
        <v>21</v>
      </c>
      <c r="C16" s="4"/>
      <c r="D16" s="4"/>
      <c r="E16" s="4"/>
      <c r="F16" s="4"/>
      <c r="J16" s="3" t="s">
        <v>96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97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98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99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87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86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101</v>
      </c>
      <c r="C22" s="4">
        <v>50</v>
      </c>
      <c r="D22" s="4">
        <v>60</v>
      </c>
      <c r="E22" s="4">
        <v>70</v>
      </c>
      <c r="F22" s="4">
        <v>80</v>
      </c>
      <c r="J22" s="3" t="s">
        <v>100</v>
      </c>
      <c r="K22" s="3" t="s">
        <v>101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104</v>
      </c>
      <c r="B23" s="3" t="s">
        <v>111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111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88</v>
      </c>
      <c r="B24" s="3" t="s">
        <v>113</v>
      </c>
      <c r="C24" s="4">
        <v>506</v>
      </c>
      <c r="D24" s="4">
        <v>506</v>
      </c>
      <c r="E24" s="4">
        <v>506</v>
      </c>
      <c r="F24" s="4">
        <v>506</v>
      </c>
      <c r="J24" s="3" t="s">
        <v>112</v>
      </c>
      <c r="K24" s="3" t="s">
        <v>113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119</v>
      </c>
      <c r="B25" s="3" t="s">
        <v>115</v>
      </c>
      <c r="C25" s="4">
        <v>160</v>
      </c>
      <c r="D25" s="4">
        <v>210</v>
      </c>
      <c r="E25" s="4">
        <v>250</v>
      </c>
      <c r="F25" s="4">
        <v>300</v>
      </c>
      <c r="J25" s="3" t="s">
        <v>114</v>
      </c>
      <c r="K25" s="3" t="s">
        <v>115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117</v>
      </c>
      <c r="C26" s="4">
        <v>170</v>
      </c>
      <c r="D26" s="4">
        <v>175</v>
      </c>
      <c r="E26" s="4">
        <v>175</v>
      </c>
      <c r="F26" s="4">
        <v>175</v>
      </c>
      <c r="J26" s="3" t="s">
        <v>116</v>
      </c>
      <c r="K26" s="3" t="s">
        <v>117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f>C35</f>
        <v>160</v>
      </c>
      <c r="D33">
        <f>AVERAGE(D35,C36)</f>
        <v>169.5</v>
      </c>
      <c r="E33">
        <f t="shared" ref="E33:F33" si="1">AVERAGE(E35,D36)</f>
        <v>179.5</v>
      </c>
      <c r="F33">
        <f t="shared" si="1"/>
        <v>186</v>
      </c>
    </row>
    <row r="34" spans="1:6" x14ac:dyDescent="0.3">
      <c r="A34" t="s">
        <v>41</v>
      </c>
      <c r="B34" t="s">
        <v>41</v>
      </c>
      <c r="C34">
        <f>D33</f>
        <v>169.5</v>
      </c>
      <c r="D34">
        <f t="shared" ref="D34:F34" si="2">E33</f>
        <v>179.5</v>
      </c>
      <c r="E34">
        <f t="shared" si="2"/>
        <v>186</v>
      </c>
      <c r="F34">
        <f t="shared" si="2"/>
        <v>0</v>
      </c>
    </row>
    <row r="35" spans="1:6" x14ac:dyDescent="0.3">
      <c r="C35">
        <v>160</v>
      </c>
      <c r="D35">
        <v>169</v>
      </c>
      <c r="E35">
        <v>179</v>
      </c>
      <c r="F35">
        <v>184</v>
      </c>
    </row>
    <row r="36" spans="1:6" x14ac:dyDescent="0.3">
      <c r="A36" t="s">
        <v>42</v>
      </c>
      <c r="B36" t="s">
        <v>43</v>
      </c>
      <c r="C36">
        <v>170</v>
      </c>
      <c r="D36">
        <v>180</v>
      </c>
      <c r="E36">
        <v>188</v>
      </c>
      <c r="F36">
        <v>196</v>
      </c>
    </row>
    <row r="37" spans="1:6" x14ac:dyDescent="0.3">
      <c r="A37" t="s">
        <v>80</v>
      </c>
      <c r="B37" s="1" t="s">
        <v>108</v>
      </c>
    </row>
    <row r="38" spans="1:6" x14ac:dyDescent="0.3">
      <c r="A38" t="s">
        <v>81</v>
      </c>
      <c r="B38" s="1" t="s">
        <v>107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56</v>
      </c>
      <c r="B51" s="1" t="s">
        <v>120</v>
      </c>
    </row>
    <row r="52" spans="1:2" x14ac:dyDescent="0.3">
      <c r="A52" t="s">
        <v>57</v>
      </c>
    </row>
    <row r="53" spans="1:2" x14ac:dyDescent="0.3">
      <c r="A53" t="s">
        <v>58</v>
      </c>
      <c r="B53">
        <v>31.6</v>
      </c>
    </row>
    <row r="54" spans="1:2" x14ac:dyDescent="0.3">
      <c r="A54" t="s">
        <v>59</v>
      </c>
      <c r="B54" s="1" t="s">
        <v>84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180</v>
      </c>
    </row>
    <row r="58" spans="1:2" x14ac:dyDescent="0.3">
      <c r="A58" t="s">
        <v>63</v>
      </c>
      <c r="B58">
        <v>160</v>
      </c>
    </row>
    <row r="59" spans="1:2" x14ac:dyDescent="0.3">
      <c r="A59" t="s">
        <v>64</v>
      </c>
    </row>
    <row r="60" spans="1:2" x14ac:dyDescent="0.3">
      <c r="A60" t="s">
        <v>65</v>
      </c>
      <c r="B60" s="1" t="s">
        <v>123</v>
      </c>
    </row>
    <row r="61" spans="1:2" x14ac:dyDescent="0.3">
      <c r="A61" t="s">
        <v>66</v>
      </c>
      <c r="B61" s="1" t="s">
        <v>122</v>
      </c>
    </row>
    <row r="62" spans="1:2" x14ac:dyDescent="0.3">
      <c r="A62" t="s">
        <v>67</v>
      </c>
    </row>
    <row r="63" spans="1:2" x14ac:dyDescent="0.3">
      <c r="A63" t="s">
        <v>68</v>
      </c>
    </row>
    <row r="64" spans="1:2" x14ac:dyDescent="0.3">
      <c r="A64" t="s">
        <v>69</v>
      </c>
      <c r="B64">
        <v>2</v>
      </c>
    </row>
    <row r="65" spans="1:2" x14ac:dyDescent="0.3">
      <c r="A65" t="s">
        <v>70</v>
      </c>
      <c r="B65">
        <v>1</v>
      </c>
    </row>
    <row r="66" spans="1:2" x14ac:dyDescent="0.3">
      <c r="A66" t="s">
        <v>71</v>
      </c>
      <c r="B66" s="1" t="s">
        <v>84</v>
      </c>
    </row>
    <row r="67" spans="1:2" x14ac:dyDescent="0.3">
      <c r="A67" t="s">
        <v>72</v>
      </c>
    </row>
    <row r="68" spans="1:2" x14ac:dyDescent="0.3">
      <c r="A68" t="s">
        <v>73</v>
      </c>
    </row>
    <row r="69" spans="1:2" x14ac:dyDescent="0.3">
      <c r="A69" t="s">
        <v>74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>
        <v>8999</v>
      </c>
    </row>
    <row r="73" spans="1:2" x14ac:dyDescent="0.3">
      <c r="A73" t="s">
        <v>78</v>
      </c>
    </row>
    <row r="74" spans="1:2" x14ac:dyDescent="0.3">
      <c r="A74" t="s">
        <v>79</v>
      </c>
      <c r="B74" s="1" t="s">
        <v>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2025-10-14T13:10:36Z</dcterms:modified>
</cp:coreProperties>
</file>