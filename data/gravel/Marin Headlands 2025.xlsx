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2D197D1-2F67-FD45-8FC6-B6F810856D89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D33" i="1"/>
  <c r="E33" i="1"/>
  <c r="F33" i="1"/>
  <c r="G33" i="1"/>
  <c r="H33" i="1"/>
  <c r="C33" i="1"/>
</calcChain>
</file>

<file path=xl/sharedStrings.xml><?xml version="1.0" encoding="utf-8"?>
<sst xmlns="http://schemas.openxmlformats.org/spreadsheetml/2006/main" count="119" uniqueCount="112">
  <si>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</si>
  <si>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</si>
  <si>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</si>
  <si>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</si>
  <si>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</si>
  <si>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</si>
  <si>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</si>
  <si>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</si>
  <si>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</si>
  <si>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</si>
  <si>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</si>
  <si>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</si>
  <si>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</si>
  <si>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</si>
  <si>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</si>
  <si>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</si>
  <si>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</si>
  <si>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</si>
  <si>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</si>
  <si>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</si>
  <si>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</si>
  <si>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</si>
  <si>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</si>
  <si>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</si>
  <si>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</si>
  <si>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</si>
  <si>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</si>
  <si>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</si>
  <si>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</si>
  <si>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</si>
  <si>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</si>
  <si>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</si>
  <si>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</si>
  <si>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</si>
  <si>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</si>
  <si>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</si>
  <si>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</si>
  <si>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</si>
  <si>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</si>
  <si>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</si>
  <si>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</si>
  <si>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</si>
  <si>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</si>
  <si>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</si>
  <si>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</si>
  <si>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</si>
  <si>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</si>
  <si>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</si>
  <si>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</si>
  <si>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</si>
  <si>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</si>
  <si>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</si>
  <si>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</si>
  <si>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</si>
  <si>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</si>
  <si>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</si>
  <si>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</si>
  <si>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</si>
  <si>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</si>
  <si>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</si>
  <si>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</si>
  <si>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</si>
  <si>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</si>
  <si>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</si>
  <si>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</si>
  <si>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</si>
  <si>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</si>
  <si>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</si>
  <si>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</si>
  <si>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</si>
  <si>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</si>
  <si>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</si>
  <si>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</si>
  <si>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</si>
  <si>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</si>
  <si>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</si>
  <si>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</si>
  <si>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</si>
  <si>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</si>
  <si>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</si>
  <si>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</si>
  <si>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</si>
  <si>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</si>
  <si>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</si>
  <si>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</si>
  <si>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size</t>
  </si>
  <si>
    <t>Headlands</t>
  </si>
  <si>
    <t>drop bar</t>
  </si>
  <si>
    <t>carbon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</si>
  <si>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</si>
  <si>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</si>
  <si>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</si>
  <si>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</si>
  <si>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</si>
  <si>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</si>
  <si>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</si>
  <si>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</si>
  <si>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SEAT POST DIAMETER</t>
  </si>
  <si>
    <t>internal</t>
  </si>
  <si>
    <t>yes</t>
  </si>
  <si>
    <t>a8:h34</t>
  </si>
  <si>
    <t>https://www.marinbikes.com/bikes/2025-headlands-2-3-2</t>
  </si>
  <si>
    <t>threaded</t>
  </si>
  <si>
    <t>https://s3.us-east-1.amazonaws.com/craft-marinbikes/images/2020/bikes/hero/_bikeHero2649Wide/HEADLANDS-2-MARIN24-2920-P.jpg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</si>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</sst>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63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86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101</v>
      </c>
    </row>
    <row r="6" spans="1:8" x14ac:dyDescent="0.3">
      <c r="B6" t="s">
        <v>103</v>
      </c>
    </row>
    <row r="7" spans="1:8" x14ac:dyDescent="0.3">
      <c r="A7" t="s">
        <v>5</v>
      </c>
      <c r="B7" s="2" t="s">
        <v>100</v>
      </c>
    </row>
    <row r="8" spans="1:8" x14ac:dyDescent="0.3">
      <c r="A8" t="s">
        <v>6</v>
      </c>
      <c r="B8" s="2" t="s">
        <v>85</v>
      </c>
      <c r="C8" s="2">
        <v>49</v>
      </c>
      <c r="D8">
        <v>52</v>
      </c>
      <c r="E8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550.29999999999995</v>
      </c>
      <c r="D9">
        <v>565.70000000000005</v>
      </c>
      <c r="E9">
        <v>581.79999999999995</v>
      </c>
      <c r="F9">
        <v>600.79999999999995</v>
      </c>
      <c r="G9">
        <v>619.70000000000005</v>
      </c>
      <c r="H9">
        <v>638.70000000000005</v>
      </c>
    </row>
    <row r="10" spans="1:8" x14ac:dyDescent="0.3">
      <c r="A10" t="s">
        <v>8</v>
      </c>
      <c r="B10" t="s">
        <v>76</v>
      </c>
      <c r="C10">
        <v>370</v>
      </c>
      <c r="D10">
        <v>372.8</v>
      </c>
      <c r="E10">
        <v>372.7</v>
      </c>
      <c r="F10">
        <v>386.4</v>
      </c>
      <c r="G10">
        <v>411.4</v>
      </c>
      <c r="H10">
        <v>425.8</v>
      </c>
    </row>
    <row r="11" spans="1:8" x14ac:dyDescent="0.3">
      <c r="A11" t="s">
        <v>11</v>
      </c>
      <c r="B11" t="s">
        <v>89</v>
      </c>
      <c r="C11">
        <v>70.5</v>
      </c>
      <c r="D11">
        <v>71</v>
      </c>
      <c r="E11">
        <v>71.5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90</v>
      </c>
      <c r="C12">
        <v>120</v>
      </c>
      <c r="D12">
        <v>135</v>
      </c>
      <c r="E12">
        <v>150</v>
      </c>
      <c r="F12">
        <v>170</v>
      </c>
      <c r="G12">
        <v>190</v>
      </c>
      <c r="H12">
        <v>210</v>
      </c>
    </row>
    <row r="13" spans="1:8" x14ac:dyDescent="0.3">
      <c r="A13" t="s">
        <v>12</v>
      </c>
      <c r="B13" t="s">
        <v>91</v>
      </c>
      <c r="C13">
        <v>74.5</v>
      </c>
      <c r="D13">
        <v>74</v>
      </c>
      <c r="E13">
        <v>73.5</v>
      </c>
      <c r="F13">
        <v>73.5</v>
      </c>
      <c r="G13">
        <v>73.5</v>
      </c>
      <c r="H13">
        <v>73.5</v>
      </c>
    </row>
    <row r="14" spans="1:8" x14ac:dyDescent="0.3">
      <c r="A14" t="s">
        <v>9</v>
      </c>
      <c r="B14" t="s">
        <v>92</v>
      </c>
      <c r="C14">
        <v>440</v>
      </c>
      <c r="D14">
        <v>470</v>
      </c>
      <c r="E14">
        <v>490</v>
      </c>
      <c r="F14">
        <v>510</v>
      </c>
      <c r="G14">
        <v>530</v>
      </c>
      <c r="H14">
        <v>550</v>
      </c>
    </row>
    <row r="15" spans="1:8" x14ac:dyDescent="0.3">
      <c r="A15" t="s">
        <v>10</v>
      </c>
      <c r="B15" t="s">
        <v>93</v>
      </c>
      <c r="C15">
        <v>522</v>
      </c>
      <c r="D15">
        <v>535</v>
      </c>
      <c r="E15">
        <v>545</v>
      </c>
      <c r="F15">
        <v>565</v>
      </c>
      <c r="G15">
        <v>595</v>
      </c>
      <c r="H15">
        <v>615</v>
      </c>
    </row>
    <row r="16" spans="1:8" x14ac:dyDescent="0.3">
      <c r="A16" s="2" t="s">
        <v>83</v>
      </c>
      <c r="B16" t="s">
        <v>77</v>
      </c>
      <c r="C16">
        <v>283.5</v>
      </c>
      <c r="D16">
        <v>272</v>
      </c>
      <c r="E16">
        <v>272</v>
      </c>
      <c r="F16">
        <v>272</v>
      </c>
      <c r="G16">
        <v>272</v>
      </c>
      <c r="H16">
        <v>272</v>
      </c>
    </row>
    <row r="17" spans="1:8" x14ac:dyDescent="0.3">
      <c r="A17" t="s">
        <v>14</v>
      </c>
      <c r="B17" t="s">
        <v>78</v>
      </c>
      <c r="C17">
        <v>76</v>
      </c>
      <c r="D17">
        <v>76</v>
      </c>
      <c r="E17">
        <v>76</v>
      </c>
      <c r="F17">
        <v>76</v>
      </c>
      <c r="G17">
        <v>76</v>
      </c>
      <c r="H17">
        <v>76</v>
      </c>
    </row>
    <row r="18" spans="1:8" x14ac:dyDescent="0.3">
      <c r="A18" t="s">
        <v>15</v>
      </c>
      <c r="B18" t="s">
        <v>94</v>
      </c>
      <c r="C18">
        <v>420</v>
      </c>
      <c r="D18">
        <v>420</v>
      </c>
      <c r="E18">
        <v>420</v>
      </c>
      <c r="F18">
        <v>420</v>
      </c>
      <c r="G18">
        <v>420</v>
      </c>
      <c r="H18">
        <v>420</v>
      </c>
    </row>
    <row r="19" spans="1:8" x14ac:dyDescent="0.3">
      <c r="A19" t="s">
        <v>17</v>
      </c>
      <c r="B19" t="s">
        <v>95</v>
      </c>
      <c r="C19">
        <v>1010.2</v>
      </c>
      <c r="D19">
        <v>1007.4</v>
      </c>
      <c r="E19">
        <v>1007.7</v>
      </c>
      <c r="F19">
        <v>1028.5</v>
      </c>
      <c r="G19">
        <v>1059.2</v>
      </c>
      <c r="H19">
        <v>1079.9000000000001</v>
      </c>
    </row>
    <row r="20" spans="1:8" x14ac:dyDescent="0.3">
      <c r="A20" t="s">
        <v>21</v>
      </c>
      <c r="B20" t="s">
        <v>96</v>
      </c>
      <c r="C20">
        <v>711</v>
      </c>
      <c r="D20">
        <v>725</v>
      </c>
      <c r="E20">
        <v>741</v>
      </c>
      <c r="F20">
        <v>758</v>
      </c>
      <c r="G20">
        <v>775</v>
      </c>
      <c r="H20">
        <v>792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97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420</v>
      </c>
      <c r="D23">
        <v>420</v>
      </c>
      <c r="E23">
        <v>420</v>
      </c>
      <c r="F23">
        <v>440</v>
      </c>
      <c r="G23">
        <v>440</v>
      </c>
      <c r="H23">
        <v>440</v>
      </c>
    </row>
    <row r="24" spans="1:8" x14ac:dyDescent="0.3">
      <c r="A24" t="s">
        <v>24</v>
      </c>
      <c r="B24" t="s">
        <v>81</v>
      </c>
      <c r="C24">
        <v>60</v>
      </c>
      <c r="D24">
        <v>60</v>
      </c>
      <c r="E24">
        <v>60</v>
      </c>
      <c r="F24">
        <v>60</v>
      </c>
      <c r="G24">
        <v>70</v>
      </c>
      <c r="H24">
        <v>70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8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  <c r="G31">
        <v>45</v>
      </c>
      <c r="H31">
        <v>45</v>
      </c>
    </row>
    <row r="32" spans="1:8" x14ac:dyDescent="0.3">
      <c r="A32" t="s">
        <v>28</v>
      </c>
      <c r="B32" t="s">
        <v>28</v>
      </c>
      <c r="C32">
        <v>45</v>
      </c>
      <c r="D32">
        <v>45</v>
      </c>
      <c r="E32">
        <v>45</v>
      </c>
      <c r="F32">
        <v>45</v>
      </c>
      <c r="G32">
        <v>45</v>
      </c>
      <c r="H32">
        <v>45</v>
      </c>
    </row>
    <row r="33" spans="1:8" x14ac:dyDescent="0.3">
      <c r="A33" t="s">
        <v>29</v>
      </c>
      <c r="B33" t="s">
        <v>29</v>
      </c>
      <c r="C33" s="5">
        <f>C35*2.54</f>
        <v>149.86000000000001</v>
      </c>
      <c r="D33" s="5">
        <f t="shared" ref="D33:H34" si="0">D35*2.54</f>
        <v>160.02000000000001</v>
      </c>
      <c r="E33" s="5">
        <f t="shared" si="0"/>
        <v>167.64000000000001</v>
      </c>
      <c r="F33" s="5">
        <f t="shared" si="0"/>
        <v>175.26</v>
      </c>
      <c r="G33" s="5">
        <f t="shared" si="0"/>
        <v>182.88</v>
      </c>
      <c r="H33" s="5">
        <f t="shared" si="0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si="0"/>
        <v>187.96</v>
      </c>
      <c r="H34" s="5">
        <f t="shared" si="0"/>
        <v>193.04</v>
      </c>
    </row>
    <row r="35" spans="1:8" ht="22" x14ac:dyDescent="0.3">
      <c r="C35">
        <v>59</v>
      </c>
      <c r="D35">
        <v>63</v>
      </c>
      <c r="E35">
        <v>66</v>
      </c>
      <c r="F35">
        <v>69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87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88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  <c r="B44">
        <v>50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106</v>
      </c>
    </row>
    <row r="52" spans="1:2" x14ac:dyDescent="0.3">
      <c r="A52" t="s">
        <v>107</v>
      </c>
    </row>
    <row r="53" spans="1:2" x14ac:dyDescent="0.3">
      <c r="A53" t="s">
        <v>108</v>
      </c>
    </row>
    <row r="54" spans="1:2" x14ac:dyDescent="0.3">
      <c r="A54" t="s">
        <v>109</v>
      </c>
    </row>
    <row r="55" spans="1:2" x14ac:dyDescent="0.3">
      <c r="A55" t="s">
        <v>110</v>
      </c>
    </row>
    <row r="56" spans="1:2" x14ac:dyDescent="0.3">
      <c r="A56" t="s">
        <v>111</v>
      </c>
    </row>
    <row r="57" spans="1:2" x14ac:dyDescent="0.3">
      <c r="A57" t="s">
        <v>44</v>
      </c>
      <c r="B57" s="2" t="s">
        <v>102</v>
      </c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98</v>
      </c>
    </row>
    <row r="67" spans="1:2" x14ac:dyDescent="0.3">
      <c r="A67" t="s">
        <v>54</v>
      </c>
      <c r="B67" s="2" t="s">
        <v>98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  <c r="B71">
        <v>1</v>
      </c>
    </row>
    <row r="72" spans="1:2" x14ac:dyDescent="0.3">
      <c r="A72" t="s">
        <v>59</v>
      </c>
      <c r="B72">
        <v>1</v>
      </c>
    </row>
    <row r="73" spans="1:2" x14ac:dyDescent="0.3">
      <c r="A73" t="s">
        <v>60</v>
      </c>
    </row>
    <row r="74" spans="1:2" x14ac:dyDescent="0.3">
      <c r="A74" t="s">
        <v>61</v>
      </c>
      <c r="B74" s="2" t="s">
        <v>99</v>
      </c>
    </row>
    <row r="75" spans="1:2" x14ac:dyDescent="0.3">
      <c r="A75" t="s">
        <v>62</v>
      </c>
      <c r="B75" s="2"/>
    </row>
    <row r="76" spans="1:2" x14ac:dyDescent="0.3">
      <c r="A76" t="s">
        <v>63</v>
      </c>
      <c r="B76" s="2" t="s">
        <v>99</v>
      </c>
    </row>
    <row r="77" spans="1:2" x14ac:dyDescent="0.3">
      <c r="A77" t="s">
        <v>64</v>
      </c>
      <c r="B77">
        <v>1849</v>
      </c>
    </row>
    <row r="78" spans="1:2" x14ac:dyDescent="0.3">
      <c r="A78" t="s">
        <v>65</v>
      </c>
      <c r="B78">
        <v>2599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73</v>
      </c>
    </row>
    <row r="81" spans="1:2" x14ac:dyDescent="0.3">
      <c r="A81" t="s">
        <v>104</v>
      </c>
      <c r="B8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2025-11-07T14:44:16Z</dcterms:modified>
</cp:coreProperties>
</file>