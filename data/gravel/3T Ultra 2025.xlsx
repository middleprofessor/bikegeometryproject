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41C4C28-9DDE-4149-A8C1-FDB57AF272E3}" xr6:coauthVersionLast="47" xr6:coauthVersionMax="47" xr10:uidLastSave="{00000000-0000-0000-0000-000000000000}"/>
  <bookViews>
    <workbookView xWindow="9760" yWindow="374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L14" i="1"/>
  <c r="M14" i="1"/>
  <c r="N14" i="1"/>
  <c r="O14" i="1"/>
  <c r="P14" i="1"/>
  <c r="L15" i="1"/>
  <c r="M15" i="1"/>
  <c r="N15" i="1"/>
  <c r="O15" i="1"/>
  <c r="P15" i="1"/>
  <c r="C20" i="1"/>
  <c r="K15" i="1"/>
  <c r="K14" i="1"/>
</calcChain>
</file>

<file path=xl/sharedStrings.xml><?xml version="1.0" encoding="utf-8"?>
<sst xmlns="http://schemas.openxmlformats.org/spreadsheetml/2006/main" count="115" uniqueCount="115">
  <si>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</si>
  <si>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</si>
  <si>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</si>
  <si>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</si>
  <si>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</si>
  <si>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</si>
  <si>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</si>
  <si>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</si>
  <si>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</si>
  <si>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</si>
  <si>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</si>
  <si>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</si>
  <si>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</si>
  <si>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</si>
  <si>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</si>
  <si>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</si>
  <si>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</si>
  <si>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</si>
  <si>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</si>
  <si>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</si>
  <si>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</si>
  <si>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</si>
  <si>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</si>
  <si>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</si>
  <si>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</si>
  <si>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</si>
  <si>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</si>
  <si>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</si>
  <si>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</si>
  <si>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</si>
  <si>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</si>
  <si>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</si>
  <si>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</si>
  <si>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</si>
  <si>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</si>
  <si>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</si>
  <si>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</si>
  <si>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</si>
  <si>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</si>
  <si>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</si>
  <si>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</si>
  <si>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</si>
  <si>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</si>
  <si>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</si>
  <si>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</si>
  <si>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</si>
  <si>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</si>
  <si>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</si>
  <si>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</si>
  <si>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</si>
  <si>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</si>
  <si>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</si>
  <si>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</si>
  <si>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</si>
  <si>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</si>
  <si>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</si>
  <si>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</si>
  <si>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</si>
  <si>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</si>
  <si>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</si>
  <si>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</si>
  <si>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</si>
  <si>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</si>
  <si>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</si>
  <si>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</si>
  <si>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</si>
  <si>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</si>
  <si>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157-171</t>
  </si>
  <si>
    <t>168-180</t>
  </si>
  <si>
    <t>176-186</t>
  </si>
  <si>
    <t>183-195</t>
  </si>
  <si>
    <t>5'2"-5'7"</t>
  </si>
  <si>
    <t>5'6"-5'11"</t>
  </si>
  <si>
    <t>5'9"-6'1"</t>
  </si>
  <si>
    <t>3T</t>
  </si>
  <si>
    <t>front_center</t>
  </si>
  <si>
    <t>yes</t>
  </si>
  <si>
    <t>threaded</t>
  </si>
  <si>
    <t>frame_weight</t>
  </si>
  <si>
    <t>class</t>
  </si>
  <si>
    <t>gravel</t>
  </si>
  <si>
    <t>handlebar</t>
  </si>
  <si>
    <t>drop bar</t>
  </si>
  <si>
    <t>fork</t>
  </si>
  <si>
    <t>rigid</t>
  </si>
  <si>
    <t>location</t>
  </si>
  <si>
    <t>Bergamo, Italy</t>
  </si>
  <si>
    <t>USD</t>
  </si>
  <si>
    <t>Ultra</t>
  </si>
  <si>
    <t>SIZE</t>
  </si>
  <si>
    <t>RIDER HEIGHT (CM)</t>
  </si>
  <si>
    <t>145-160</t>
  </si>
  <si>
    <t>192 &amp; up</t>
  </si>
  <si>
    <t>RIDER HEIGHT* (INCHES)</t>
  </si>
  <si>
    <t>4'9"-5'3"</t>
  </si>
  <si>
    <t>6'0"-6'5"</t>
  </si>
  <si>
    <t>6'3 &amp; up</t>
  </si>
  <si>
    <t>STACK</t>
  </si>
  <si>
    <t>REACH</t>
  </si>
  <si>
    <t>ROAD HEADTUBE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</si>
  <si>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</si>
  <si>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</si>
  <si>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</si>
  <si>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</si>
  <si>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</si>
  <si>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</si>
  <si>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</si>
  <si>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</si>
  <si>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integrated</t>
  </si>
  <si>
    <t>a8:h32</t>
  </si>
  <si>
    <t>https://us.3t.bike/collections/ultra?srsltid=AfmBOopjwKRvvRMAc3I2j6wbagWWZ6OlOXYfoKFUdFe9xiLOSyLeaC5U</t>
  </si>
  <si>
    <t>https://us.3t.bike/cdn/shop/files/4585_aa5c5a35-4eb7-4f8a-8625-45ce82e0e728_2048x.jpg?v=1718975921</t>
  </si>
  <si>
    <t>fc.h</t>
  </si>
  <si>
    <t>bb^2 + h^2 = fc^2</t>
  </si>
  <si>
    <t>rc.h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</si>
</sst>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  <font>
      <sz val="14"/>
      <color rgb="FF000000"/>
      <name val="Futura Medium"/>
    </font>
    <font>
      <sz val="14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tabSelected="1" workbookViewId="0">
      <selection activeCell="C20" sqref="C20:H20"/>
    </sheetView>
  </sheetViews>
  <sheetFormatPr baseColWidth="10" defaultRowHeight="20"/>
  <cols>
    <col min="1" max="2" width="19.6640625" customWidth="1"/>
  </cols>
  <sheetData>
    <row r="1" spans="1:16">
      <c r="A1" t="s">
        <v>0</v>
      </c>
      <c r="B1" s="1" t="s">
        <v>74</v>
      </c>
    </row>
    <row r="2" spans="1:16">
      <c r="A2" t="s">
        <v>1</v>
      </c>
      <c r="B2" s="1" t="s">
        <v>88</v>
      </c>
    </row>
    <row r="3" spans="1:16">
      <c r="A3" t="s">
        <v>2</v>
      </c>
      <c r="B3">
        <v>2025</v>
      </c>
    </row>
    <row r="4" spans="1:16">
      <c r="A4" t="s">
        <v>3</v>
      </c>
      <c r="B4" s="4">
        <v>45950</v>
      </c>
    </row>
    <row r="5" spans="1:16">
      <c r="A5" t="s">
        <v>4</v>
      </c>
      <c r="B5" t="s">
        <v>110</v>
      </c>
    </row>
    <row r="6" spans="1:16">
      <c r="B6" t="s">
        <v>111</v>
      </c>
    </row>
    <row r="7" spans="1:16">
      <c r="A7" t="s">
        <v>5</v>
      </c>
      <c r="B7" s="1" t="s">
        <v>109</v>
      </c>
    </row>
    <row r="8" spans="1:16" ht="21">
      <c r="A8" t="s">
        <v>6</v>
      </c>
      <c r="B8" s="2" t="s">
        <v>89</v>
      </c>
      <c r="C8" s="2">
        <v>48</v>
      </c>
      <c r="D8" s="2">
        <v>51</v>
      </c>
      <c r="E8" s="2">
        <v>54</v>
      </c>
      <c r="F8" s="2">
        <v>56</v>
      </c>
      <c r="G8">
        <v>58</v>
      </c>
      <c r="H8">
        <v>61</v>
      </c>
    </row>
    <row r="9" spans="1:16">
      <c r="A9" t="s">
        <v>17</v>
      </c>
      <c r="B9" s="6" t="s">
        <v>97</v>
      </c>
      <c r="C9" s="6">
        <v>520</v>
      </c>
      <c r="D9" s="6">
        <v>542</v>
      </c>
      <c r="E9" s="6">
        <v>564</v>
      </c>
      <c r="F9" s="6">
        <v>584</v>
      </c>
      <c r="G9" s="5">
        <v>604</v>
      </c>
      <c r="H9" s="5">
        <v>632</v>
      </c>
    </row>
    <row r="10" spans="1:16">
      <c r="A10" t="s">
        <v>18</v>
      </c>
      <c r="B10" s="6" t="s">
        <v>98</v>
      </c>
      <c r="C10" s="6">
        <v>351</v>
      </c>
      <c r="D10" s="6">
        <v>362</v>
      </c>
      <c r="E10" s="6">
        <v>373</v>
      </c>
      <c r="F10" s="6">
        <v>381</v>
      </c>
      <c r="G10" s="5">
        <v>388</v>
      </c>
      <c r="H10" s="5">
        <v>399</v>
      </c>
    </row>
    <row r="11" spans="1:16">
      <c r="A11" t="s">
        <v>10</v>
      </c>
      <c r="B11" s="6" t="s">
        <v>99</v>
      </c>
      <c r="C11" s="6">
        <v>122</v>
      </c>
      <c r="D11" s="6">
        <v>142</v>
      </c>
      <c r="E11" s="6">
        <v>158</v>
      </c>
      <c r="F11" s="6">
        <v>175</v>
      </c>
      <c r="G11" s="5">
        <v>196</v>
      </c>
      <c r="H11" s="5">
        <v>225</v>
      </c>
    </row>
    <row r="12" spans="1:16" ht="21">
      <c r="A12" t="s">
        <v>11</v>
      </c>
      <c r="B12" s="6" t="s">
        <v>100</v>
      </c>
      <c r="C12" s="6">
        <v>68.5</v>
      </c>
      <c r="D12" s="6">
        <v>69.5</v>
      </c>
      <c r="E12" s="6">
        <v>71</v>
      </c>
      <c r="F12" s="6">
        <v>72</v>
      </c>
      <c r="G12" s="5">
        <v>72.5</v>
      </c>
      <c r="H12" s="5">
        <v>72.5</v>
      </c>
      <c r="K12" s="2">
        <v>48</v>
      </c>
      <c r="L12" s="2">
        <v>51</v>
      </c>
      <c r="M12" s="2">
        <v>54</v>
      </c>
      <c r="N12" s="2">
        <v>56</v>
      </c>
      <c r="O12">
        <v>58</v>
      </c>
      <c r="P12">
        <v>61</v>
      </c>
    </row>
    <row r="13" spans="1:16">
      <c r="A13" t="s">
        <v>24</v>
      </c>
      <c r="B13" s="6" t="s">
        <v>101</v>
      </c>
      <c r="C13" s="6">
        <v>375</v>
      </c>
      <c r="D13" s="6">
        <v>375</v>
      </c>
      <c r="E13" s="6">
        <v>375</v>
      </c>
      <c r="F13" s="6">
        <v>375</v>
      </c>
      <c r="G13" s="5">
        <v>375</v>
      </c>
      <c r="H13" s="5">
        <v>375</v>
      </c>
      <c r="K13" s="1" t="s">
        <v>113</v>
      </c>
    </row>
    <row r="14" spans="1:16">
      <c r="A14" s="1" t="s">
        <v>75</v>
      </c>
      <c r="B14" s="6" t="s">
        <v>102</v>
      </c>
      <c r="C14" s="6">
        <v>597</v>
      </c>
      <c r="D14" s="6">
        <v>606</v>
      </c>
      <c r="E14" s="6">
        <v>602</v>
      </c>
      <c r="F14" s="6">
        <v>607</v>
      </c>
      <c r="G14" s="5">
        <v>616</v>
      </c>
      <c r="H14" s="5">
        <v>636</v>
      </c>
      <c r="J14" s="1" t="s">
        <v>112</v>
      </c>
      <c r="K14">
        <f>SQRT(C14^2 - C16^2)</f>
        <v>591.74994719053416</v>
      </c>
      <c r="L14">
        <f t="shared" ref="L14:P14" si="0">SQRT(D14^2 - D16^2)</f>
        <v>600.82859452592629</v>
      </c>
      <c r="M14">
        <f t="shared" si="0"/>
        <v>597.05527382311936</v>
      </c>
      <c r="N14">
        <f t="shared" si="0"/>
        <v>602.09633780650086</v>
      </c>
      <c r="O14">
        <f t="shared" si="0"/>
        <v>611.41720616940438</v>
      </c>
      <c r="P14">
        <f t="shared" si="0"/>
        <v>631.56234846608766</v>
      </c>
    </row>
    <row r="15" spans="1:16">
      <c r="A15" t="s">
        <v>15</v>
      </c>
      <c r="B15" s="6" t="s">
        <v>103</v>
      </c>
      <c r="C15" s="6">
        <v>419</v>
      </c>
      <c r="D15" s="6">
        <v>419</v>
      </c>
      <c r="E15" s="6">
        <v>419</v>
      </c>
      <c r="F15" s="6">
        <v>419</v>
      </c>
      <c r="G15" s="5">
        <v>419</v>
      </c>
      <c r="H15" s="5">
        <v>419</v>
      </c>
      <c r="J15" s="1" t="s">
        <v>114</v>
      </c>
      <c r="K15">
        <f>SQRT(C15^2 - C16^2)</f>
        <v>411.48511516214046</v>
      </c>
      <c r="L15">
        <f t="shared" ref="L15:P15" si="1">SQRT(D15^2 - D16^2)</f>
        <v>411.48511516214046</v>
      </c>
      <c r="M15">
        <f t="shared" si="1"/>
        <v>411.86405524153236</v>
      </c>
      <c r="N15">
        <f t="shared" si="1"/>
        <v>411.86405524153236</v>
      </c>
      <c r="O15">
        <f t="shared" si="1"/>
        <v>412.23294385577674</v>
      </c>
      <c r="P15">
        <f t="shared" si="1"/>
        <v>412.23294385577674</v>
      </c>
    </row>
    <row r="16" spans="1:16">
      <c r="A16" t="s">
        <v>16</v>
      </c>
      <c r="B16" s="6" t="s">
        <v>104</v>
      </c>
      <c r="C16" s="6">
        <v>79</v>
      </c>
      <c r="D16" s="6">
        <v>79</v>
      </c>
      <c r="E16" s="6">
        <v>77</v>
      </c>
      <c r="F16" s="6">
        <v>77</v>
      </c>
      <c r="G16" s="5">
        <v>75</v>
      </c>
      <c r="H16" s="5">
        <v>75</v>
      </c>
    </row>
    <row r="17" spans="1:8">
      <c r="A17" t="s">
        <v>9</v>
      </c>
      <c r="B17" s="6" t="s">
        <v>105</v>
      </c>
      <c r="C17" s="6">
        <v>510</v>
      </c>
      <c r="D17" s="6">
        <v>527</v>
      </c>
      <c r="E17" s="6">
        <v>545</v>
      </c>
      <c r="F17" s="6">
        <v>559</v>
      </c>
      <c r="G17" s="5">
        <v>574</v>
      </c>
      <c r="H17" s="5">
        <v>593</v>
      </c>
    </row>
    <row r="18" spans="1:8">
      <c r="A18" t="s">
        <v>7</v>
      </c>
      <c r="B18" s="6" t="s">
        <v>106</v>
      </c>
      <c r="C18" s="6">
        <v>436</v>
      </c>
      <c r="D18" s="6">
        <v>463</v>
      </c>
      <c r="E18" s="6">
        <v>490</v>
      </c>
      <c r="F18" s="6">
        <v>518</v>
      </c>
      <c r="G18" s="5">
        <v>549</v>
      </c>
      <c r="H18" s="5">
        <v>576</v>
      </c>
    </row>
    <row r="19" spans="1:8">
      <c r="A19" t="s">
        <v>8</v>
      </c>
      <c r="B19" s="5" t="s">
        <v>107</v>
      </c>
      <c r="C19" s="5">
        <v>74</v>
      </c>
      <c r="D19" s="5">
        <v>74</v>
      </c>
      <c r="E19" s="5">
        <v>74</v>
      </c>
      <c r="F19" s="5">
        <v>74</v>
      </c>
      <c r="G19" s="5">
        <v>74</v>
      </c>
      <c r="H19" s="5">
        <v>74</v>
      </c>
    </row>
    <row r="20" spans="1:8">
      <c r="A20" t="s">
        <v>14</v>
      </c>
      <c r="C20">
        <f>K14+K15</f>
        <v>1003.2350623526746</v>
      </c>
      <c r="D20">
        <f t="shared" ref="D20:H20" si="2">L14+L15</f>
        <v>1012.3137096880668</v>
      </c>
      <c r="E20">
        <f t="shared" si="2"/>
        <v>1008.9193290646517</v>
      </c>
      <c r="F20">
        <f t="shared" si="2"/>
        <v>1013.9603930480332</v>
      </c>
      <c r="G20">
        <f t="shared" si="2"/>
        <v>1023.6501500251811</v>
      </c>
      <c r="H20">
        <f t="shared" si="2"/>
        <v>1043.7952923218645</v>
      </c>
    </row>
    <row r="21" spans="1:8">
      <c r="A21" t="s">
        <v>12</v>
      </c>
    </row>
    <row r="22" spans="1:8">
      <c r="A22" t="s">
        <v>13</v>
      </c>
    </row>
    <row r="23" spans="1:8">
      <c r="A23" t="s">
        <v>19</v>
      </c>
    </row>
    <row r="24" spans="1:8">
      <c r="A24" s="1" t="s">
        <v>78</v>
      </c>
    </row>
    <row r="25" spans="1:8">
      <c r="A25" t="s">
        <v>20</v>
      </c>
    </row>
    <row r="26" spans="1:8">
      <c r="A26" t="s">
        <v>21</v>
      </c>
    </row>
    <row r="27" spans="1:8">
      <c r="A27" t="s">
        <v>22</v>
      </c>
    </row>
    <row r="28" spans="1:8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8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8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8">
      <c r="A31" t="s">
        <v>27</v>
      </c>
      <c r="C31">
        <v>145</v>
      </c>
      <c r="D31">
        <v>157</v>
      </c>
      <c r="E31">
        <v>168</v>
      </c>
      <c r="F31">
        <v>176</v>
      </c>
      <c r="G31">
        <v>183</v>
      </c>
      <c r="H31">
        <v>192</v>
      </c>
    </row>
    <row r="32" spans="1:8">
      <c r="A32" t="s">
        <v>28</v>
      </c>
      <c r="C32">
        <v>160</v>
      </c>
      <c r="D32">
        <v>171</v>
      </c>
      <c r="E32">
        <v>180</v>
      </c>
      <c r="F32">
        <v>186</v>
      </c>
      <c r="G32">
        <v>195</v>
      </c>
      <c r="H32">
        <v>200</v>
      </c>
    </row>
    <row r="33" spans="1:9" ht="21">
      <c r="C33" s="3" t="s">
        <v>91</v>
      </c>
      <c r="D33" s="3" t="s">
        <v>67</v>
      </c>
      <c r="E33" s="3" t="s">
        <v>68</v>
      </c>
      <c r="F33" s="3" t="s">
        <v>69</v>
      </c>
      <c r="G33" t="s">
        <v>70</v>
      </c>
      <c r="H33" t="s">
        <v>92</v>
      </c>
      <c r="I33" s="3" t="s">
        <v>90</v>
      </c>
    </row>
    <row r="34" spans="1:9" ht="21">
      <c r="A34" t="s">
        <v>29</v>
      </c>
      <c r="B34" t="s">
        <v>30</v>
      </c>
      <c r="C34" s="3" t="s">
        <v>94</v>
      </c>
      <c r="D34" s="3" t="s">
        <v>71</v>
      </c>
      <c r="E34" s="3" t="s">
        <v>72</v>
      </c>
      <c r="F34" s="3" t="s">
        <v>73</v>
      </c>
      <c r="G34" t="s">
        <v>95</v>
      </c>
      <c r="H34" t="s">
        <v>96</v>
      </c>
      <c r="I34" s="3" t="s">
        <v>93</v>
      </c>
    </row>
    <row r="35" spans="1:9">
      <c r="A35" t="s">
        <v>79</v>
      </c>
      <c r="B35" t="s">
        <v>80</v>
      </c>
    </row>
    <row r="36" spans="1:9">
      <c r="A36" t="s">
        <v>81</v>
      </c>
      <c r="B36" t="s">
        <v>82</v>
      </c>
    </row>
    <row r="37" spans="1:9">
      <c r="A37" t="s">
        <v>83</v>
      </c>
      <c r="B37" t="s">
        <v>84</v>
      </c>
    </row>
    <row r="38" spans="1:9">
      <c r="A38" t="s">
        <v>31</v>
      </c>
      <c r="B38" t="s">
        <v>32</v>
      </c>
    </row>
    <row r="39" spans="1:9">
      <c r="A39" t="s">
        <v>33</v>
      </c>
      <c r="B39" s="1"/>
    </row>
    <row r="40" spans="1:9">
      <c r="A40" t="s">
        <v>34</v>
      </c>
    </row>
    <row r="41" spans="1:9">
      <c r="A41" t="s">
        <v>35</v>
      </c>
      <c r="B41">
        <v>46</v>
      </c>
    </row>
    <row r="42" spans="1:9">
      <c r="A42" t="s">
        <v>36</v>
      </c>
      <c r="B42">
        <v>61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</row>
    <row r="48" spans="1:9">
      <c r="A48" t="s">
        <v>42</v>
      </c>
    </row>
    <row r="49" spans="1:2">
      <c r="A49" t="s">
        <v>43</v>
      </c>
      <c r="B49" s="1" t="s">
        <v>77</v>
      </c>
    </row>
    <row r="50" spans="1:2">
      <c r="A50" t="s">
        <v>44</v>
      </c>
    </row>
    <row r="51" spans="1:2">
      <c r="A51" t="s">
        <v>45</v>
      </c>
      <c r="B51">
        <v>27.2</v>
      </c>
    </row>
    <row r="52" spans="1:2">
      <c r="A52" t="s">
        <v>46</v>
      </c>
      <c r="B52" s="1"/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  <c r="B56">
        <v>160</v>
      </c>
    </row>
    <row r="57" spans="1:2">
      <c r="A57" t="s">
        <v>51</v>
      </c>
    </row>
    <row r="58" spans="1:2">
      <c r="A58" t="s">
        <v>52</v>
      </c>
      <c r="B58" s="1" t="s">
        <v>108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>
        <v>1</v>
      </c>
    </row>
    <row r="65" spans="1:2">
      <c r="A65" t="s">
        <v>59</v>
      </c>
    </row>
    <row r="66" spans="1:2">
      <c r="A66" t="s">
        <v>60</v>
      </c>
      <c r="B66" s="1" t="s">
        <v>76</v>
      </c>
    </row>
    <row r="67" spans="1:2">
      <c r="A67" t="s">
        <v>61</v>
      </c>
    </row>
    <row r="68" spans="1:2">
      <c r="A68" t="s">
        <v>62</v>
      </c>
    </row>
    <row r="69" spans="1:2">
      <c r="A69" t="s">
        <v>63</v>
      </c>
      <c r="B69">
        <v>2599</v>
      </c>
    </row>
    <row r="70" spans="1:2">
      <c r="A70" t="s">
        <v>64</v>
      </c>
      <c r="B70">
        <v>4399</v>
      </c>
    </row>
    <row r="71" spans="1:2">
      <c r="A71" t="s">
        <v>65</v>
      </c>
    </row>
    <row r="72" spans="1:2">
      <c r="A72" t="s">
        <v>66</v>
      </c>
      <c r="B72" s="1" t="s">
        <v>87</v>
      </c>
    </row>
    <row r="73" spans="1:2">
      <c r="A73" t="s">
        <v>85</v>
      </c>
      <c r="B73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2025-10-20T17:20:03Z</dcterms:modified>
</cp:coreProperties>
</file>