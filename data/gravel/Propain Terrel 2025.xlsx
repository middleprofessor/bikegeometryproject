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168CDA2-7129-4F42-ABBF-944A745EAE53}" xr6:coauthVersionLast="47" xr6:coauthVersionMax="47" xr10:uidLastSave="{00000000-0000-0000-0000-000000000000}"/>
  <bookViews>
    <workbookView xWindow="0" yWindow="500" windowWidth="28800" windowHeight="17500" xr2:uid="{ABFFBBBD-2C2A-DA41-8959-3BF392F3D8AC}"/>
  </bookViews>
  <sheets>
    <sheet name="Propain Terrel CF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3" i="1" s="1"/>
  <c r="F32" i="1"/>
  <c r="E33" i="1" s="1"/>
  <c r="E32" i="1"/>
  <c r="D33" i="1" s="1"/>
  <c r="D32" i="1"/>
  <c r="C33" i="1" s="1"/>
  <c r="G33" i="1"/>
  <c r="C32" i="1"/>
  <c r="D25" i="1"/>
  <c r="E25" i="1"/>
  <c r="F25" i="1"/>
  <c r="G25" i="1"/>
  <c r="C25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C10" i="1"/>
  <c r="D10" i="1"/>
  <c r="E10" i="1"/>
  <c r="F10" i="1"/>
  <c r="G10" i="1"/>
  <c r="B10" i="1"/>
</calcChain>
</file>

<file path=xl/sharedStrings.xml><?xml version="1.0" encoding="utf-8"?>
<sst xmlns="http://schemas.openxmlformats.org/spreadsheetml/2006/main" count="132" uniqueCount="111">
  <si>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</si>
  <si>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</si>
  <si>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</si>
  <si>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</si>
  <si>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</si>
  <si>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</si>
  <si>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</si>
  <si>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</si>
  <si>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</si>
  <si>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</si>
  <si>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</si>
  <si>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</si>
  <si>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chainstay_length</t>
  </si>
  <si>
    <t>wheelbase</t>
  </si>
  <si>
    <t>bottom_bracket_drop</t>
  </si>
  <si>
    <t>axle_crown</t>
  </si>
  <si>
    <t>fork_offset_rake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</si>
  <si>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</si>
  <si>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</si>
  <si>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</si>
  <si>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</si>
  <si>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</si>
  <si>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</si>
  <si>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</si>
  <si>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</si>
  <si>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</si>
  <si>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brand</t>
  </si>
  <si>
    <t>material</t>
  </si>
  <si>
    <t>frame weight</t>
  </si>
  <si>
    <t>UDH</t>
  </si>
  <si>
    <t>yes</t>
  </si>
  <si>
    <t>70°</t>
  </si>
  <si>
    <t>73.5°</t>
  </si>
  <si>
    <t>measure range</t>
  </si>
  <si>
    <t>70.5°</t>
  </si>
  <si>
    <t>71°</t>
  </si>
  <si>
    <t>71.5°</t>
  </si>
  <si>
    <t>Propain</t>
  </si>
  <si>
    <t>SIZE XS</t>
  </si>
  <si>
    <t>SIZE S</t>
  </si>
  <si>
    <t>SIZE M</t>
  </si>
  <si>
    <t>SIZE L</t>
  </si>
  <si>
    <t>SIZE XL</t>
  </si>
  <si>
    <t>Frame height (A)</t>
  </si>
  <si>
    <t>470 mm</t>
  </si>
  <si>
    <t>510 mm</t>
  </si>
  <si>
    <t>525 mm</t>
  </si>
  <si>
    <t>545 mm</t>
  </si>
  <si>
    <t>570 mm</t>
  </si>
  <si>
    <t>Fork offset (B)</t>
  </si>
  <si>
    <t>45 mm</t>
  </si>
  <si>
    <t>Fork length (C)</t>
  </si>
  <si>
    <t>425 mm</t>
  </si>
  <si>
    <t>Head tube length (D)</t>
  </si>
  <si>
    <t>98 mm</t>
  </si>
  <si>
    <t>116 mm</t>
  </si>
  <si>
    <t>130 mm</t>
  </si>
  <si>
    <t>154 mm</t>
  </si>
  <si>
    <t>177 mm</t>
  </si>
  <si>
    <t>Reach (E)</t>
  </si>
  <si>
    <t>382 mm</t>
  </si>
  <si>
    <t>396 mm</t>
  </si>
  <si>
    <t>405 mm</t>
  </si>
  <si>
    <t>412 mm</t>
  </si>
  <si>
    <t>430 mm</t>
  </si>
  <si>
    <t>Stack (F)</t>
  </si>
  <si>
    <t>554 mm</t>
  </si>
  <si>
    <t>568 mm</t>
  </si>
  <si>
    <t>583 mm</t>
  </si>
  <si>
    <t>608 mm</t>
  </si>
  <si>
    <t>632 mm</t>
  </si>
  <si>
    <t>Head angle (G)</t>
  </si>
  <si>
    <t>69.5°</t>
  </si>
  <si>
    <t>Seat angle (H)</t>
  </si>
  <si>
    <t>74.3°</t>
  </si>
  <si>
    <t>Top tube length (I)</t>
  </si>
  <si>
    <t>538 mm</t>
  </si>
  <si>
    <t>564 mm</t>
  </si>
  <si>
    <t>578 mm</t>
  </si>
  <si>
    <t>592 mm</t>
  </si>
  <si>
    <t>617 mm</t>
  </si>
  <si>
    <t>BB offset (J)</t>
  </si>
  <si>
    <t>77 mm</t>
  </si>
  <si>
    <t>72 mm</t>
  </si>
  <si>
    <t>BB height (K)</t>
  </si>
  <si>
    <t>287 mm</t>
  </si>
  <si>
    <t>292 mm</t>
  </si>
  <si>
    <t>Chainstay length (L)</t>
  </si>
  <si>
    <t>435 mm</t>
  </si>
  <si>
    <t>Wheelbase (M)</t>
  </si>
  <si>
    <t>1,037 mm</t>
  </si>
  <si>
    <t>1,053 mm</t>
  </si>
  <si>
    <t>1,062 mm</t>
  </si>
  <si>
    <t>1,073 mm</t>
  </si>
  <si>
    <t>1,094 mm</t>
  </si>
  <si>
    <t>Standover height (N)*</t>
  </si>
  <si>
    <t>787 mm</t>
  </si>
  <si>
    <t>803 mm</t>
  </si>
  <si>
    <t>820 mm</t>
  </si>
  <si>
    <t>843 mm</t>
  </si>
  <si>
    <t>862 mm</t>
  </si>
  <si>
    <t>Frame Size</t>
  </si>
  <si>
    <t>https://www.propain-bikes.com/us/product/bikes/gravel/terrel-cf/</t>
  </si>
  <si>
    <t>carbon</t>
  </si>
  <si>
    <t>rear_center</t>
  </si>
  <si>
    <t>bb_height</t>
  </si>
  <si>
    <t>cs^2 = rc^2 + bb^2</t>
  </si>
  <si>
    <t>XS: 160-170 cm / S: 168-178 cm / M: 175-185 cm / L: 183-193 cm / XL: 190-200 cm</t>
  </si>
  <si>
    <t>have to "buy" each of these to get these data</t>
  </si>
  <si>
    <t>a10:g33</t>
  </si>
  <si>
    <t>Terrel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</si>
</sst>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4"/>
      <color theme="1"/>
      <name val="Futura Medium"/>
    </font>
    <font>
      <sz val="8"/>
      <name val="Aptos Narrow"/>
      <family val="2"/>
      <scheme val="minor"/>
    </font>
    <font>
      <b/>
      <sz val="14"/>
      <color rgb="FFFFFFFF"/>
      <name val="Futura Medium"/>
    </font>
    <font>
      <sz val="14"/>
      <color rgb="FF000000"/>
      <name val="Futura Medium"/>
    </font>
    <font>
      <u/>
      <sz val="12"/>
      <color theme="10"/>
      <name val="Aptos Narrow"/>
      <family val="2"/>
      <scheme val="minor"/>
    </font>
    <font>
      <b/>
      <sz val="12"/>
      <color rgb="FF323232"/>
      <name val="Arial"/>
      <family val="2"/>
    </font>
    <font>
      <sz val="10.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88900</xdr:colOff>
      <xdr:row>30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29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304800" cy="2921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B25CB19-C374-9844-A405-B636584F2412}"/>
            </a:ext>
          </a:extLst>
        </xdr:cNvPr>
        <xdr:cNvSpPr>
          <a:spLocks noChangeAspect="1" noChangeArrowheads="1"/>
        </xdr:cNvSpPr>
      </xdr:nvSpPr>
      <xdr:spPr bwMode="auto">
        <a:xfrm>
          <a:off x="129921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626D7208-D11B-2448-BF67-0271C39E6E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DE75EF1E-A811-3948-B5AC-9F9642C76E3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BC0379B-4AEC-A44C-8DA7-2BF3455298F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CC5E2654-5AF5-A34E-BF95-832DFCEAC92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A317D7AC-EBD8-E240-92B2-B8AB1740104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D6CE69FE-CC9B-1646-9B98-15963179976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3DEFBBED-4730-2B42-AFB9-3F7EBBC463B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33B40FD-B57A-5249-950F-6AAFC03F2DB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762000</xdr:colOff>
      <xdr:row>26</xdr:row>
      <xdr:rowOff>50800</xdr:rowOff>
    </xdr:from>
    <xdr:to>
      <xdr:col>19</xdr:col>
      <xdr:colOff>406400</xdr:colOff>
      <xdr:row>50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5CD1B4-B90B-EF6A-9471-A38293BF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4100" y="6654800"/>
          <a:ext cx="10160000" cy="6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C66A0A9A-4186-0940-956D-94D33CAFC0BB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8F81C8B9-604D-EF4F-8100-76B1FBECAAF6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7C38C5D-5042-354F-9694-7A1648F7EF4D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04800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75067CA8-2FF1-CE41-A84F-95D589544D27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E8EB3AEA-E5B1-B14B-906D-B4FF2B093B37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B974CB53-C1E0-9A4D-853E-42ED96687CB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1750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8BA7A100-5ED0-AD4B-9D2A-28AD22EE17B4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1750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B1ACFBD-8DB2-B243-BBF9-2C9018CEA16F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E29451CC-F863-FC43-9428-1D43457D8027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DDF0B30E-852C-AC44-8C6F-58E4473469E0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6D3E88A4-1743-F14C-9168-D5C95B55686A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DE61CCDA-C91C-6D47-9C8D-75E901A353BF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00AC6D5-AB8A-844C-8EE3-5EF20A978441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26B32134-D908-6349-9C20-1F89846D402A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6072C7C7-A3A6-5E4B-9224-DAE0C58BC7C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871BD590-6CB9-CB45-8117-C6B8EDF5459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337CCCB4-48C6-814B-9F94-D3C71B5F6E16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B913A7D8-501A-154E-9589-25598DE8FCC0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AFDB75C6-73BF-6145-AB7B-0796525555A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25519E59-4A38-6043-8C3B-4E459183F7E0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94D63CC4-DD71-BB41-8EC6-83757BA23C53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BD36D175-9B16-B04A-A7EE-66DF3372216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0378FE8D-111B-DC41-915D-07BF5AF196EE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2A03317F-23EB-0946-9AF1-6D18A21E9F45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DC9F4D35-1B6D-4A4A-B0D9-6774847F6FEE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B4D2BCD9-9507-E445-8551-456B5976F736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AF1D9402-940B-724E-A03B-3779EA735B5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38F00B14-955C-6645-A81E-5C033430504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757F2867-DE6E-BD46-8C2D-9EA248C252FE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CE00391F-12D5-AF4D-87EF-A890A91E6158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DEDE0855-9AA0-404B-8598-CC9609FC0187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8A49D204-DD3B-3F44-89FC-F37A52994E29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8532FFA3-856F-A14A-B2CF-D0D88F313EE8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41573F44-DE7B-0C4B-8269-D400071E7591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822E3E23-1051-2E4D-B3E5-B22DB865A206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6FEAFF70-592C-554D-BAF7-151553F7CAB5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6414AFC2-1E5B-8642-A8C0-0357621DECC7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F69867A9-9795-F64F-8483-3AD82B30B880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03C98A21-4993-3148-89DB-C9681D7C6352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3B8C9613-90EF-4546-BB7E-4FDA3F700BFF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01729B9F-E6FF-5240-99E9-97F2C1E0C2AE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76557D1C-4A9C-8D42-8419-25CE09B41077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759979B9-D44A-F64B-9709-48BD5FD1A7CC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FF98ADB4-4BAF-AF4B-A018-14721D8F2CBE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6B8A6A09-A21B-C54A-9E7E-66B28B968002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5E9E8A85-DE55-F944-8669-3C3C114A9C6D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D37"/>
  <sheetViews>
    <sheetView tabSelected="1" topLeftCell="A4" workbookViewId="0">
      <selection activeCell="B44" sqref="B44"/>
    </sheetView>
  </sheetViews>
  <sheetFormatPr baseColWidth="10" defaultRowHeight="20" x14ac:dyDescent="0.3"/>
  <cols>
    <col min="1" max="1" width="29.33203125" style="1" bestFit="1" customWidth="1"/>
    <col min="2" max="2" width="27.6640625" style="1" customWidth="1"/>
    <col min="3" max="10" width="13.5" style="1" customWidth="1"/>
    <col min="11" max="16384" width="10.83203125" style="1"/>
  </cols>
  <sheetData>
    <row r="1" spans="1:30" x14ac:dyDescent="0.3">
      <c r="A1" s="1" t="s">
        <v>26</v>
      </c>
      <c r="B1" s="1" t="s">
        <v>37</v>
      </c>
    </row>
    <row r="2" spans="1:30" x14ac:dyDescent="0.3">
      <c r="A2" s="1" t="s">
        <v>0</v>
      </c>
      <c r="B2" s="1" t="s">
        <v>110</v>
      </c>
    </row>
    <row r="3" spans="1:30" x14ac:dyDescent="0.3">
      <c r="A3" s="1" t="s">
        <v>1</v>
      </c>
      <c r="B3" s="1">
        <v>2025</v>
      </c>
    </row>
    <row r="4" spans="1:30" x14ac:dyDescent="0.3">
      <c r="A4" s="1" t="s">
        <v>2</v>
      </c>
      <c r="B4" s="2">
        <v>45851</v>
      </c>
    </row>
    <row r="5" spans="1:30" x14ac:dyDescent="0.3">
      <c r="A5" s="1" t="s">
        <v>3</v>
      </c>
      <c r="B5" s="1" t="s">
        <v>102</v>
      </c>
    </row>
    <row r="6" spans="1:30" x14ac:dyDescent="0.3">
      <c r="A6" s="1" t="s">
        <v>27</v>
      </c>
      <c r="B6" s="1" t="s">
        <v>103</v>
      </c>
    </row>
    <row r="7" spans="1:30" x14ac:dyDescent="0.3">
      <c r="A7" s="1" t="s">
        <v>28</v>
      </c>
    </row>
    <row r="8" spans="1:30" x14ac:dyDescent="0.3">
      <c r="A8" s="1" t="s">
        <v>29</v>
      </c>
      <c r="B8" s="1" t="s">
        <v>30</v>
      </c>
    </row>
    <row r="9" spans="1:30" x14ac:dyDescent="0.3">
      <c r="A9" s="1" t="s">
        <v>33</v>
      </c>
      <c r="B9" s="1" t="s">
        <v>109</v>
      </c>
    </row>
    <row r="10" spans="1:30" x14ac:dyDescent="0.3">
      <c r="A10" s="1" t="s">
        <v>4</v>
      </c>
      <c r="B10" s="3" t="str">
        <f>L10</f>
        <v>Frame Size</v>
      </c>
      <c r="C10" s="3" t="str">
        <f t="shared" ref="C10:G10" si="0">M10</f>
        <v>SIZE XS</v>
      </c>
      <c r="D10" s="3" t="str">
        <f t="shared" si="0"/>
        <v>SIZE S</v>
      </c>
      <c r="E10" s="3" t="str">
        <f t="shared" si="0"/>
        <v>SIZE M</v>
      </c>
      <c r="F10" s="3" t="str">
        <f t="shared" si="0"/>
        <v>SIZE L</v>
      </c>
      <c r="G10" s="3" t="str">
        <f t="shared" si="0"/>
        <v>SIZE XL</v>
      </c>
      <c r="L10" s="1" t="s">
        <v>101</v>
      </c>
      <c r="M10" s="7" t="s">
        <v>38</v>
      </c>
      <c r="N10" s="7" t="s">
        <v>39</v>
      </c>
      <c r="O10" s="7" t="s">
        <v>40</v>
      </c>
      <c r="P10" s="7" t="s">
        <v>41</v>
      </c>
      <c r="Q10" s="7" t="s">
        <v>42</v>
      </c>
    </row>
    <row r="11" spans="1:30" x14ac:dyDescent="0.3">
      <c r="A11" s="1" t="s">
        <v>5</v>
      </c>
      <c r="B11" s="3" t="str">
        <f t="shared" ref="B11:B24" si="1">L11</f>
        <v>Frame height (A)</v>
      </c>
      <c r="C11" s="3">
        <v>470</v>
      </c>
      <c r="D11" s="3">
        <v>510</v>
      </c>
      <c r="E11" s="3">
        <v>525</v>
      </c>
      <c r="F11" s="3">
        <v>545</v>
      </c>
      <c r="G11" s="3">
        <v>570</v>
      </c>
      <c r="L11" s="8" t="s">
        <v>43</v>
      </c>
      <c r="M11" s="8" t="s">
        <v>44</v>
      </c>
      <c r="N11" s="8" t="s">
        <v>45</v>
      </c>
      <c r="O11" s="8" t="s">
        <v>46</v>
      </c>
      <c r="P11" s="8" t="s">
        <v>47</v>
      </c>
      <c r="Q11" s="8" t="s">
        <v>48</v>
      </c>
      <c r="AD11" s="4"/>
    </row>
    <row r="12" spans="1:30" x14ac:dyDescent="0.3">
      <c r="A12" s="1" t="s">
        <v>16</v>
      </c>
      <c r="B12" s="3" t="str">
        <f t="shared" si="1"/>
        <v>Fork offset (B)</v>
      </c>
      <c r="C12" s="3">
        <v>45</v>
      </c>
      <c r="D12" s="3">
        <v>45</v>
      </c>
      <c r="E12" s="3">
        <v>45</v>
      </c>
      <c r="F12" s="3">
        <v>45</v>
      </c>
      <c r="G12" s="3">
        <v>45</v>
      </c>
      <c r="L12" s="8" t="s">
        <v>49</v>
      </c>
      <c r="M12" s="8" t="s">
        <v>50</v>
      </c>
      <c r="N12" s="8" t="s">
        <v>50</v>
      </c>
      <c r="O12" s="8" t="s">
        <v>50</v>
      </c>
      <c r="P12" s="8" t="s">
        <v>50</v>
      </c>
      <c r="Q12" s="8" t="s">
        <v>50</v>
      </c>
      <c r="AD12" s="3"/>
    </row>
    <row r="13" spans="1:30" x14ac:dyDescent="0.3">
      <c r="A13" s="1" t="s">
        <v>15</v>
      </c>
      <c r="B13" s="3" t="str">
        <f t="shared" si="1"/>
        <v>Fork length (C)</v>
      </c>
      <c r="C13" s="3">
        <v>425</v>
      </c>
      <c r="D13" s="3">
        <v>425</v>
      </c>
      <c r="E13" s="3">
        <v>425</v>
      </c>
      <c r="F13" s="3">
        <v>425</v>
      </c>
      <c r="G13" s="3">
        <v>425</v>
      </c>
      <c r="L13" s="8" t="s">
        <v>51</v>
      </c>
      <c r="M13" s="8" t="s">
        <v>52</v>
      </c>
      <c r="N13" s="8" t="s">
        <v>52</v>
      </c>
      <c r="O13" s="8" t="s">
        <v>52</v>
      </c>
      <c r="P13" s="8" t="s">
        <v>52</v>
      </c>
      <c r="Q13" s="8" t="s">
        <v>52</v>
      </c>
      <c r="AD13" s="5"/>
    </row>
    <row r="14" spans="1:30" x14ac:dyDescent="0.3">
      <c r="A14" s="1" t="s">
        <v>9</v>
      </c>
      <c r="B14" s="3" t="str">
        <f t="shared" si="1"/>
        <v>Head tube length (D)</v>
      </c>
      <c r="C14" s="3">
        <v>98</v>
      </c>
      <c r="D14" s="3">
        <v>116</v>
      </c>
      <c r="E14" s="3">
        <v>130</v>
      </c>
      <c r="F14" s="3">
        <v>154</v>
      </c>
      <c r="G14" s="3">
        <v>177</v>
      </c>
      <c r="L14" s="8" t="s">
        <v>53</v>
      </c>
      <c r="M14" s="8" t="s">
        <v>54</v>
      </c>
      <c r="N14" s="8" t="s">
        <v>55</v>
      </c>
      <c r="O14" s="8" t="s">
        <v>56</v>
      </c>
      <c r="P14" s="8" t="s">
        <v>57</v>
      </c>
      <c r="Q14" s="8" t="s">
        <v>58</v>
      </c>
      <c r="AD14" s="5"/>
    </row>
    <row r="15" spans="1:30" x14ac:dyDescent="0.3">
      <c r="A15" s="1" t="s">
        <v>7</v>
      </c>
      <c r="B15" s="3" t="str">
        <f t="shared" si="1"/>
        <v>Reach (E)</v>
      </c>
      <c r="C15" s="3">
        <v>382</v>
      </c>
      <c r="D15" s="3">
        <v>396</v>
      </c>
      <c r="E15" s="3">
        <v>405</v>
      </c>
      <c r="F15" s="3">
        <v>412</v>
      </c>
      <c r="G15" s="3">
        <v>430</v>
      </c>
      <c r="L15" s="8" t="s">
        <v>59</v>
      </c>
      <c r="M15" s="8" t="s">
        <v>60</v>
      </c>
      <c r="N15" s="8" t="s">
        <v>61</v>
      </c>
      <c r="O15" s="8" t="s">
        <v>62</v>
      </c>
      <c r="P15" s="8" t="s">
        <v>63</v>
      </c>
      <c r="Q15" s="8" t="s">
        <v>64</v>
      </c>
      <c r="AD15" s="5"/>
    </row>
    <row r="16" spans="1:30" x14ac:dyDescent="0.3">
      <c r="A16" s="1" t="s">
        <v>8</v>
      </c>
      <c r="B16" s="3" t="str">
        <f t="shared" si="1"/>
        <v>Stack (F)</v>
      </c>
      <c r="C16" s="3">
        <v>554</v>
      </c>
      <c r="D16" s="3">
        <v>568</v>
      </c>
      <c r="E16" s="3">
        <v>583</v>
      </c>
      <c r="F16" s="3">
        <v>608</v>
      </c>
      <c r="G16" s="3">
        <v>632</v>
      </c>
      <c r="L16" s="8" t="s">
        <v>65</v>
      </c>
      <c r="M16" s="8" t="s">
        <v>66</v>
      </c>
      <c r="N16" s="8" t="s">
        <v>67</v>
      </c>
      <c r="O16" s="8" t="s">
        <v>68</v>
      </c>
      <c r="P16" s="8" t="s">
        <v>69</v>
      </c>
      <c r="Q16" s="8" t="s">
        <v>70</v>
      </c>
      <c r="AD16" s="5"/>
    </row>
    <row r="17" spans="1:17" x14ac:dyDescent="0.3">
      <c r="A17" s="1" t="s">
        <v>10</v>
      </c>
      <c r="B17" s="3" t="str">
        <f t="shared" si="1"/>
        <v>Head angle (G)</v>
      </c>
      <c r="C17" s="3">
        <v>69.5</v>
      </c>
      <c r="D17" s="3">
        <v>70</v>
      </c>
      <c r="E17" s="3">
        <v>70.5</v>
      </c>
      <c r="F17" s="3">
        <v>71</v>
      </c>
      <c r="G17" s="3">
        <v>71.5</v>
      </c>
      <c r="L17" s="8" t="s">
        <v>71</v>
      </c>
      <c r="M17" s="8" t="s">
        <v>72</v>
      </c>
      <c r="N17" s="8" t="s">
        <v>31</v>
      </c>
      <c r="O17" s="8" t="s">
        <v>34</v>
      </c>
      <c r="P17" s="8" t="s">
        <v>35</v>
      </c>
      <c r="Q17" s="8" t="s">
        <v>36</v>
      </c>
    </row>
    <row r="18" spans="1:17" x14ac:dyDescent="0.3">
      <c r="A18" s="1" t="s">
        <v>11</v>
      </c>
      <c r="B18" s="3" t="str">
        <f t="shared" si="1"/>
        <v>Seat angle (H)</v>
      </c>
      <c r="C18" s="3">
        <v>74.3</v>
      </c>
      <c r="D18" s="3">
        <v>73.5</v>
      </c>
      <c r="E18" s="3">
        <v>73.5</v>
      </c>
      <c r="F18" s="3">
        <v>73.5</v>
      </c>
      <c r="G18" s="3">
        <v>73.5</v>
      </c>
      <c r="L18" s="8" t="s">
        <v>73</v>
      </c>
      <c r="M18" s="8" t="s">
        <v>74</v>
      </c>
      <c r="N18" s="8" t="s">
        <v>32</v>
      </c>
      <c r="O18" s="8" t="s">
        <v>32</v>
      </c>
      <c r="P18" s="8" t="s">
        <v>32</v>
      </c>
      <c r="Q18" s="8" t="s">
        <v>32</v>
      </c>
    </row>
    <row r="19" spans="1:17" x14ac:dyDescent="0.3">
      <c r="A19" s="1" t="s">
        <v>6</v>
      </c>
      <c r="B19" s="3" t="str">
        <f t="shared" si="1"/>
        <v>Top tube length (I)</v>
      </c>
      <c r="C19" s="3">
        <v>538</v>
      </c>
      <c r="D19" s="3">
        <v>564</v>
      </c>
      <c r="E19" s="3">
        <v>578</v>
      </c>
      <c r="F19" s="3">
        <v>592</v>
      </c>
      <c r="G19" s="3">
        <v>617</v>
      </c>
      <c r="L19" s="8" t="s">
        <v>75</v>
      </c>
      <c r="M19" s="8" t="s">
        <v>76</v>
      </c>
      <c r="N19" s="8" t="s">
        <v>77</v>
      </c>
      <c r="O19" s="8" t="s">
        <v>78</v>
      </c>
      <c r="P19" s="8" t="s">
        <v>79</v>
      </c>
      <c r="Q19" s="8" t="s">
        <v>80</v>
      </c>
    </row>
    <row r="20" spans="1:17" x14ac:dyDescent="0.3">
      <c r="A20" s="1" t="s">
        <v>14</v>
      </c>
      <c r="B20" s="3" t="str">
        <f t="shared" si="1"/>
        <v>BB offset (J)</v>
      </c>
      <c r="C20" s="3">
        <v>77</v>
      </c>
      <c r="D20" s="3">
        <v>72</v>
      </c>
      <c r="E20" s="3">
        <v>72</v>
      </c>
      <c r="F20" s="3">
        <v>72</v>
      </c>
      <c r="G20" s="3">
        <v>72</v>
      </c>
      <c r="L20" s="8" t="s">
        <v>81</v>
      </c>
      <c r="M20" s="8" t="s">
        <v>82</v>
      </c>
      <c r="N20" s="8" t="s">
        <v>83</v>
      </c>
      <c r="O20" s="8" t="s">
        <v>83</v>
      </c>
      <c r="P20" s="8" t="s">
        <v>83</v>
      </c>
      <c r="Q20" s="8" t="s">
        <v>83</v>
      </c>
    </row>
    <row r="21" spans="1:17" x14ac:dyDescent="0.3">
      <c r="A21" s="1" t="s">
        <v>105</v>
      </c>
      <c r="B21" s="3" t="str">
        <f t="shared" si="1"/>
        <v>BB height (K)</v>
      </c>
      <c r="C21" s="3">
        <v>287</v>
      </c>
      <c r="D21" s="3">
        <v>292</v>
      </c>
      <c r="E21" s="3">
        <v>292</v>
      </c>
      <c r="F21" s="3">
        <v>292</v>
      </c>
      <c r="G21" s="3">
        <v>292</v>
      </c>
      <c r="L21" s="8" t="s">
        <v>84</v>
      </c>
      <c r="M21" s="8" t="s">
        <v>85</v>
      </c>
      <c r="N21" s="8" t="s">
        <v>86</v>
      </c>
      <c r="O21" s="8" t="s">
        <v>86</v>
      </c>
      <c r="P21" s="8" t="s">
        <v>86</v>
      </c>
      <c r="Q21" s="8" t="s">
        <v>86</v>
      </c>
    </row>
    <row r="22" spans="1:17" x14ac:dyDescent="0.3">
      <c r="A22" s="1" t="s">
        <v>104</v>
      </c>
      <c r="B22" s="3" t="str">
        <f t="shared" si="1"/>
        <v>Chainstay length (L)</v>
      </c>
      <c r="C22" s="3">
        <v>435</v>
      </c>
      <c r="D22" s="3">
        <v>435</v>
      </c>
      <c r="E22" s="3">
        <v>435</v>
      </c>
      <c r="F22" s="3">
        <v>435</v>
      </c>
      <c r="G22" s="3">
        <v>435</v>
      </c>
      <c r="L22" s="8" t="s">
        <v>87</v>
      </c>
      <c r="M22" s="8" t="s">
        <v>88</v>
      </c>
      <c r="N22" s="8" t="s">
        <v>88</v>
      </c>
      <c r="O22" s="8" t="s">
        <v>88</v>
      </c>
      <c r="P22" s="8" t="s">
        <v>88</v>
      </c>
      <c r="Q22" s="8" t="s">
        <v>88</v>
      </c>
    </row>
    <row r="23" spans="1:17" x14ac:dyDescent="0.3">
      <c r="A23" s="1" t="s">
        <v>13</v>
      </c>
      <c r="B23" s="3" t="str">
        <f t="shared" si="1"/>
        <v>Wheelbase (M)</v>
      </c>
      <c r="C23" s="3">
        <v>1037</v>
      </c>
      <c r="D23" s="3">
        <v>1053</v>
      </c>
      <c r="E23" s="3">
        <v>1062</v>
      </c>
      <c r="F23" s="3">
        <v>1073</v>
      </c>
      <c r="G23" s="3">
        <v>1094</v>
      </c>
      <c r="L23" s="8" t="s">
        <v>89</v>
      </c>
      <c r="M23" s="8" t="s">
        <v>90</v>
      </c>
      <c r="N23" s="8" t="s">
        <v>91</v>
      </c>
      <c r="O23" s="8" t="s">
        <v>92</v>
      </c>
      <c r="P23" s="8" t="s">
        <v>93</v>
      </c>
      <c r="Q23" s="8" t="s">
        <v>94</v>
      </c>
    </row>
    <row r="24" spans="1:17" x14ac:dyDescent="0.3">
      <c r="A24" s="1" t="s">
        <v>20</v>
      </c>
      <c r="B24" s="3" t="str">
        <f t="shared" si="1"/>
        <v>Standover height (N)*</v>
      </c>
      <c r="C24" s="3">
        <v>787</v>
      </c>
      <c r="D24" s="3">
        <v>803</v>
      </c>
      <c r="E24" s="3">
        <v>820</v>
      </c>
      <c r="F24" s="3">
        <v>843</v>
      </c>
      <c r="G24" s="3">
        <v>862</v>
      </c>
      <c r="L24" s="8" t="s">
        <v>95</v>
      </c>
      <c r="M24" s="8" t="s">
        <v>96</v>
      </c>
      <c r="N24" s="8" t="s">
        <v>97</v>
      </c>
      <c r="O24" s="8" t="s">
        <v>98</v>
      </c>
      <c r="P24" s="8" t="s">
        <v>99</v>
      </c>
      <c r="Q24" s="8" t="s">
        <v>100</v>
      </c>
    </row>
    <row r="25" spans="1:17" x14ac:dyDescent="0.3">
      <c r="A25" s="1" t="s">
        <v>12</v>
      </c>
      <c r="B25" s="3" t="s">
        <v>106</v>
      </c>
      <c r="C25" s="1">
        <f>SQRT(C22^2 + C20^2)</f>
        <v>441.7623795662098</v>
      </c>
      <c r="D25" s="1">
        <f t="shared" ref="D25:G25" si="2">SQRT(D22^2 + D20^2)</f>
        <v>440.91835979010898</v>
      </c>
      <c r="E25" s="1">
        <f t="shared" si="2"/>
        <v>440.91835979010898</v>
      </c>
      <c r="F25" s="1">
        <f t="shared" si="2"/>
        <v>440.91835979010898</v>
      </c>
      <c r="G25" s="1">
        <f t="shared" si="2"/>
        <v>440.91835979010898</v>
      </c>
    </row>
    <row r="26" spans="1:17" x14ac:dyDescent="0.3">
      <c r="A26" s="1" t="s">
        <v>17</v>
      </c>
      <c r="B26" s="3"/>
      <c r="C26" s="1">
        <v>420</v>
      </c>
      <c r="D26" s="1">
        <v>420</v>
      </c>
      <c r="E26" s="1">
        <v>440</v>
      </c>
      <c r="F26" s="1">
        <v>440</v>
      </c>
      <c r="G26" s="1">
        <v>460</v>
      </c>
    </row>
    <row r="27" spans="1:17" x14ac:dyDescent="0.3">
      <c r="A27" s="1" t="s">
        <v>18</v>
      </c>
      <c r="B27" s="3"/>
      <c r="C27" s="1">
        <v>70</v>
      </c>
      <c r="D27" s="1">
        <v>80</v>
      </c>
      <c r="E27" s="1">
        <v>80</v>
      </c>
      <c r="F27" s="1">
        <v>90</v>
      </c>
      <c r="G27" s="1">
        <v>100</v>
      </c>
      <c r="H27" s="1" t="s">
        <v>108</v>
      </c>
    </row>
    <row r="28" spans="1:17" x14ac:dyDescent="0.3">
      <c r="A28" s="1" t="s">
        <v>19</v>
      </c>
    </row>
    <row r="29" spans="1:17" x14ac:dyDescent="0.3">
      <c r="A29" s="1" t="s">
        <v>21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17" x14ac:dyDescent="0.3">
      <c r="A30" s="1" t="s">
        <v>22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17" x14ac:dyDescent="0.3">
      <c r="A31" s="1" t="s">
        <v>23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17" x14ac:dyDescent="0.3">
      <c r="A32" s="1" t="s">
        <v>24</v>
      </c>
      <c r="C32" s="1">
        <f>C34</f>
        <v>160</v>
      </c>
      <c r="D32" s="1">
        <f>AVERAGE(D34,C35)</f>
        <v>169</v>
      </c>
      <c r="E32" s="1">
        <f t="shared" ref="E32:G32" si="3">AVERAGE(E34,D35)</f>
        <v>176.5</v>
      </c>
      <c r="F32" s="1">
        <f t="shared" si="3"/>
        <v>184</v>
      </c>
      <c r="G32" s="1">
        <f t="shared" si="3"/>
        <v>191.5</v>
      </c>
    </row>
    <row r="33" spans="1:12" x14ac:dyDescent="0.3">
      <c r="A33" s="1" t="s">
        <v>25</v>
      </c>
      <c r="C33" s="1">
        <f>D32</f>
        <v>169</v>
      </c>
      <c r="D33" s="1">
        <f t="shared" ref="D33:F33" si="4">E32</f>
        <v>176.5</v>
      </c>
      <c r="E33" s="1">
        <f t="shared" si="4"/>
        <v>184</v>
      </c>
      <c r="F33" s="1">
        <f t="shared" si="4"/>
        <v>191.5</v>
      </c>
      <c r="G33" s="1">
        <f t="shared" ref="G33" si="5">G35</f>
        <v>200</v>
      </c>
    </row>
    <row r="34" spans="1:12" x14ac:dyDescent="0.3">
      <c r="C34" s="1">
        <v>160</v>
      </c>
      <c r="D34" s="1">
        <v>168</v>
      </c>
      <c r="E34" s="1">
        <v>175</v>
      </c>
      <c r="F34" s="1">
        <v>183</v>
      </c>
      <c r="G34" s="1">
        <v>190</v>
      </c>
      <c r="L34" s="6"/>
    </row>
    <row r="35" spans="1:12" x14ac:dyDescent="0.3">
      <c r="C35" s="1">
        <v>170</v>
      </c>
      <c r="D35" s="1">
        <v>178</v>
      </c>
      <c r="E35" s="1">
        <v>185</v>
      </c>
      <c r="F35" s="1">
        <v>193</v>
      </c>
      <c r="G35" s="1">
        <v>200</v>
      </c>
      <c r="K35"/>
    </row>
    <row r="36" spans="1:12" x14ac:dyDescent="0.3">
      <c r="A36" t="s">
        <v>107</v>
      </c>
      <c r="B36" s="3"/>
    </row>
    <row r="37" spans="1:12" x14ac:dyDescent="0.3">
      <c r="A3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Propain Terrel CF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2025-07-14T00:09:37Z</dcterms:modified>
</cp:coreProperties>
</file>