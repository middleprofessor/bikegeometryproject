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113FB93-56E9-1C4B-AA34-CB834B6A1C93}" xr6:coauthVersionLast="47" xr6:coauthVersionMax="47" xr10:uidLastSave="{00000000-0000-0000-0000-000000000000}"/>
  <bookViews>
    <workbookView xWindow="3060" yWindow="500" windowWidth="257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D17" i="1"/>
  <c r="E17" i="1"/>
  <c r="F17" i="1"/>
  <c r="G17" i="1"/>
  <c r="C17" i="1"/>
  <c r="D35" i="1"/>
  <c r="E35" i="1"/>
  <c r="F35" i="1"/>
  <c r="G35" i="1"/>
  <c r="C35" i="1"/>
  <c r="D36" i="1"/>
  <c r="E36" i="1"/>
  <c r="F36" i="1"/>
  <c r="G36" i="1"/>
  <c r="C36" i="1"/>
  <c r="G38" i="1"/>
  <c r="B49" i="1"/>
  <c r="C37" i="1"/>
  <c r="G37" i="1"/>
  <c r="F38" i="1" s="1"/>
  <c r="F37" i="1"/>
  <c r="E38" i="1" s="1"/>
  <c r="E37" i="1"/>
  <c r="D38" i="1" s="1"/>
  <c r="D37" i="1"/>
  <c r="C38" i="1" s="1"/>
</calcChain>
</file>

<file path=xl/sharedStrings.xml><?xml version="1.0" encoding="utf-8"?>
<sst xmlns="http://schemas.openxmlformats.org/spreadsheetml/2006/main" count="146" uniqueCount="138">
  <si>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</si>
  <si>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</si>
  <si>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</si>
  <si>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</si>
  <si>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</si>
  <si>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</si>
  <si>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</si>
  <si>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</si>
  <si>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</si>
  <si>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</si>
  <si>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</si>
  <si>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</si>
  <si>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</si>
  <si>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</si>
  <si>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</si>
  <si>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</si>
  <si>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</si>
  <si>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</si>
  <si>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</si>
  <si>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</si>
  <si>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</si>
  <si>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</si>
  <si>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</si>
  <si>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</si>
  <si>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</si>
  <si>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</si>
  <si>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</si>
  <si>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</si>
  <si>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</si>
  <si>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</si>
  <si>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</si>
  <si>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</si>
  <si>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</si>
  <si>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</si>
  <si>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</si>
  <si>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</si>
  <si>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</si>
  <si>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</si>
  <si>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</si>
  <si>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</si>
  <si>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</si>
  <si>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</si>
  <si>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</si>
  <si>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</si>
  <si>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</si>
  <si>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</si>
  <si>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</si>
  <si>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</si>
  <si>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</si>
  <si>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</si>
  <si>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</si>
  <si>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</si>
  <si>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</si>
  <si>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</si>
  <si>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</si>
  <si>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</si>
  <si>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</si>
  <si>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</si>
  <si>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</si>
  <si>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</si>
  <si>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</si>
  <si>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</si>
  <si>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</si>
  <si>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</si>
  <si>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</si>
  <si>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</si>
  <si>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</si>
  <si>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</si>
  <si>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</si>
  <si>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</si>
  <si>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</si>
  <si>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</si>
  <si>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</si>
  <si>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</si>
  <si>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threaded</t>
  </si>
  <si>
    <t>Mason</t>
  </si>
  <si>
    <t>50CM</t>
  </si>
  <si>
    <t>54CM</t>
  </si>
  <si>
    <t>58CM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</si>
  <si>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</si>
  <si>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</si>
  <si>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</si>
  <si>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</si>
  <si>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</si>
  <si>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</si>
  <si>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</si>
  <si>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</si>
  <si>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</si>
  <si>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</si>
  <si>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</si>
  <si>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</si>
  <si>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</si>
  <si>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</si>
  <si>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</si>
  <si>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</si>
  <si>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</si>
  <si>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</si>
  <si>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RIDER HEIGHT GUIDE CM</t>
  </si>
  <si>
    <t>188-198</t>
  </si>
  <si>
    <t>STEM</t>
  </si>
  <si>
    <t>CRANKARM</t>
  </si>
  <si>
    <t>seat_tube_ct</t>
  </si>
  <si>
    <t>top_tube_actual</t>
  </si>
  <si>
    <t>trail</t>
  </si>
  <si>
    <t>fork_weight</t>
  </si>
  <si>
    <t>rider_min_spec</t>
  </si>
  <si>
    <t>rider_max_spec</t>
  </si>
  <si>
    <t>FRAME WEIGHT</t>
  </si>
  <si>
    <t>frame size</t>
  </si>
  <si>
    <t>steel</t>
  </si>
  <si>
    <t>internal</t>
  </si>
  <si>
    <t>42CM</t>
  </si>
  <si>
    <t>46CM</t>
  </si>
  <si>
    <t>S/O - 27.5 X 2.8</t>
  </si>
  <si>
    <t>S/O - 29 X 2.4</t>
  </si>
  <si>
    <t>TRAIL: 29 X 2.4"</t>
  </si>
  <si>
    <t>FORK WEIGHT</t>
  </si>
  <si>
    <t>151-163</t>
  </si>
  <si>
    <t>162-174</t>
  </si>
  <si>
    <t>170-183</t>
  </si>
  <si>
    <t>180-190</t>
  </si>
  <si>
    <t>standover_27.5</t>
  </si>
  <si>
    <t>trail_29x2.4</t>
  </si>
  <si>
    <t>https://masoncycles.cc/shop/categories/insearchof-bikes</t>
  </si>
  <si>
    <t>no</t>
  </si>
  <si>
    <t>ISO</t>
  </si>
  <si>
    <t>a8:g40</t>
  </si>
  <si>
    <t>rear_axle_spec</t>
  </si>
  <si>
    <t>GBP</t>
  </si>
  <si>
    <t>https://masoncycles.cc/images/000/003/089/medium/ISO2_FY_Side_GX_Web-InSitu.jpg?1740566379</t>
  </si>
  <si>
    <t>location</t>
  </si>
  <si>
    <t>Lancing, West Sussex, United Kingdom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</si>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</sst>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  <font>
      <sz val="14"/>
      <color rgb="FFFD4722"/>
      <name val="Futura Medium"/>
    </font>
    <font>
      <sz val="14"/>
      <color rgb="FF020203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topLeftCell="A6" zoomScale="101" workbookViewId="0">
      <selection activeCell="I24" sqref="I2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75</v>
      </c>
    </row>
    <row r="2" spans="1:16" x14ac:dyDescent="0.3">
      <c r="A2" t="s">
        <v>1</v>
      </c>
      <c r="B2" s="1" t="s">
        <v>125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2">
        <v>45884</v>
      </c>
    </row>
    <row r="5" spans="1:16" x14ac:dyDescent="0.3">
      <c r="A5" t="s">
        <v>4</v>
      </c>
      <c r="B5" t="s">
        <v>123</v>
      </c>
    </row>
    <row r="6" spans="1:16" x14ac:dyDescent="0.3">
      <c r="B6" t="s">
        <v>129</v>
      </c>
    </row>
    <row r="7" spans="1:16" x14ac:dyDescent="0.3">
      <c r="A7" s="1" t="s">
        <v>5</v>
      </c>
      <c r="B7" s="1" t="s">
        <v>126</v>
      </c>
      <c r="C7" s="1"/>
      <c r="D7" s="1"/>
      <c r="E7" s="1"/>
      <c r="F7" s="1"/>
      <c r="G7" s="1"/>
    </row>
    <row r="8" spans="1:16" x14ac:dyDescent="0.3">
      <c r="A8" s="1" t="s">
        <v>6</v>
      </c>
      <c r="B8" s="4" t="s">
        <v>108</v>
      </c>
      <c r="C8" s="4" t="s">
        <v>111</v>
      </c>
      <c r="D8" s="4" t="s">
        <v>112</v>
      </c>
      <c r="E8" s="4" t="s">
        <v>76</v>
      </c>
      <c r="F8" s="4" t="s">
        <v>77</v>
      </c>
      <c r="G8" s="4" t="s">
        <v>78</v>
      </c>
      <c r="H8" s="4"/>
      <c r="I8" s="4"/>
      <c r="J8" s="4"/>
      <c r="K8" s="4"/>
      <c r="L8" s="4"/>
      <c r="M8" s="4"/>
      <c r="N8" s="4"/>
      <c r="O8" s="4"/>
    </row>
    <row r="9" spans="1:16" x14ac:dyDescent="0.3">
      <c r="A9" s="1" t="s">
        <v>101</v>
      </c>
      <c r="B9" s="9" t="s">
        <v>79</v>
      </c>
      <c r="C9" s="10">
        <v>420</v>
      </c>
      <c r="D9" s="10">
        <v>460</v>
      </c>
      <c r="E9" s="10">
        <v>500</v>
      </c>
      <c r="F9" s="10">
        <v>540</v>
      </c>
      <c r="G9" s="10">
        <v>580</v>
      </c>
      <c r="H9" s="5"/>
      <c r="I9" s="6"/>
      <c r="J9" s="6"/>
      <c r="K9" s="6"/>
      <c r="L9" s="6"/>
      <c r="M9" s="6"/>
      <c r="N9" s="6"/>
      <c r="O9" s="6"/>
      <c r="P9" s="6"/>
    </row>
    <row r="10" spans="1:16" x14ac:dyDescent="0.3">
      <c r="A10" s="1" t="s">
        <v>7</v>
      </c>
      <c r="B10" s="9" t="s">
        <v>80</v>
      </c>
      <c r="C10" s="10">
        <v>380</v>
      </c>
      <c r="D10" s="10">
        <v>415</v>
      </c>
      <c r="E10" s="10">
        <v>445</v>
      </c>
      <c r="F10" s="10">
        <v>490</v>
      </c>
      <c r="G10" s="10">
        <v>530</v>
      </c>
      <c r="H10" s="5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1" t="s">
        <v>14</v>
      </c>
      <c r="B11" s="9" t="s">
        <v>81</v>
      </c>
      <c r="C11" s="10">
        <v>76</v>
      </c>
      <c r="D11" s="10">
        <v>75</v>
      </c>
      <c r="E11" s="10">
        <v>75</v>
      </c>
      <c r="F11" s="10">
        <v>75</v>
      </c>
      <c r="G11" s="10">
        <v>73</v>
      </c>
      <c r="H11" s="5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1" t="s">
        <v>12</v>
      </c>
      <c r="B12" s="9" t="s">
        <v>82</v>
      </c>
      <c r="C12" s="10">
        <v>445</v>
      </c>
      <c r="D12" s="10">
        <v>445</v>
      </c>
      <c r="E12" s="10">
        <v>445</v>
      </c>
      <c r="F12" s="10">
        <v>445</v>
      </c>
      <c r="G12" s="10">
        <v>445</v>
      </c>
      <c r="H12" s="5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1" t="s">
        <v>8</v>
      </c>
      <c r="B13" s="9" t="s">
        <v>83</v>
      </c>
      <c r="C13" s="10">
        <v>542.70000000000005</v>
      </c>
      <c r="D13" s="10">
        <v>554.1</v>
      </c>
      <c r="E13" s="10">
        <v>560.5</v>
      </c>
      <c r="F13" s="10">
        <v>567.6</v>
      </c>
      <c r="G13" s="10">
        <v>587</v>
      </c>
      <c r="H13" s="5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1" t="s">
        <v>102</v>
      </c>
      <c r="B14" s="9" t="s">
        <v>84</v>
      </c>
      <c r="C14" s="10">
        <v>527.29999999999995</v>
      </c>
      <c r="D14" s="10">
        <v>534.70000000000005</v>
      </c>
      <c r="E14" s="10">
        <v>539</v>
      </c>
      <c r="F14" s="10">
        <v>545.70000000000005</v>
      </c>
      <c r="G14" s="10">
        <v>565.20000000000005</v>
      </c>
      <c r="H14" s="5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1" t="s">
        <v>20</v>
      </c>
      <c r="B15" s="9" t="s">
        <v>85</v>
      </c>
      <c r="C15" s="10">
        <v>606</v>
      </c>
      <c r="D15" s="10">
        <v>614.4</v>
      </c>
      <c r="E15" s="10">
        <v>623.79999999999995</v>
      </c>
      <c r="F15" s="10">
        <v>633.1</v>
      </c>
      <c r="G15" s="10">
        <v>654.5</v>
      </c>
      <c r="H15" s="5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1" t="s">
        <v>21</v>
      </c>
      <c r="B16" s="9" t="s">
        <v>86</v>
      </c>
      <c r="C16" s="10">
        <v>366.6</v>
      </c>
      <c r="D16" s="10">
        <v>375.7</v>
      </c>
      <c r="E16" s="10">
        <v>379.4</v>
      </c>
      <c r="F16" s="10">
        <v>384</v>
      </c>
      <c r="G16" s="10">
        <v>397.4</v>
      </c>
      <c r="H16" s="5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1" t="s">
        <v>121</v>
      </c>
      <c r="B17" s="9" t="s">
        <v>113</v>
      </c>
      <c r="C17" s="10">
        <f>I17*10</f>
        <v>740</v>
      </c>
      <c r="D17" s="10">
        <f t="shared" ref="D17:G17" si="0">J17*10</f>
        <v>765</v>
      </c>
      <c r="E17" s="10">
        <f t="shared" si="0"/>
        <v>790</v>
      </c>
      <c r="F17" s="10">
        <f t="shared" si="0"/>
        <v>825</v>
      </c>
      <c r="G17" s="10">
        <f t="shared" si="0"/>
        <v>865</v>
      </c>
      <c r="H17" s="5"/>
      <c r="I17" s="10">
        <v>74</v>
      </c>
      <c r="J17" s="10">
        <v>76.5</v>
      </c>
      <c r="K17" s="10">
        <v>79</v>
      </c>
      <c r="L17" s="10">
        <v>82.5</v>
      </c>
      <c r="M17" s="10">
        <v>86.5</v>
      </c>
      <c r="N17" s="6"/>
      <c r="O17" s="6"/>
      <c r="P17" s="6"/>
    </row>
    <row r="18" spans="1:16" x14ac:dyDescent="0.3">
      <c r="A18" s="1" t="s">
        <v>26</v>
      </c>
      <c r="B18" s="9" t="s">
        <v>114</v>
      </c>
      <c r="C18" s="10">
        <f>I18*10</f>
        <v>760</v>
      </c>
      <c r="D18" s="10">
        <f t="shared" ref="D18" si="1">J18*10</f>
        <v>785</v>
      </c>
      <c r="E18" s="10">
        <f t="shared" ref="E18" si="2">K18*10</f>
        <v>810</v>
      </c>
      <c r="F18" s="10">
        <f t="shared" ref="F18" si="3">L18*10</f>
        <v>845</v>
      </c>
      <c r="G18" s="10">
        <f t="shared" ref="G18" si="4">M18*10</f>
        <v>885</v>
      </c>
      <c r="H18" s="5"/>
      <c r="I18" s="10">
        <v>76</v>
      </c>
      <c r="J18" s="10">
        <v>78.5</v>
      </c>
      <c r="K18" s="10">
        <v>81</v>
      </c>
      <c r="L18" s="10">
        <v>84.5</v>
      </c>
      <c r="M18" s="10">
        <v>88.5</v>
      </c>
      <c r="N18" s="6"/>
      <c r="O18" s="6"/>
      <c r="P18" s="6"/>
    </row>
    <row r="19" spans="1:16" x14ac:dyDescent="0.3">
      <c r="A19" s="1" t="s">
        <v>16</v>
      </c>
      <c r="B19" s="9" t="s">
        <v>87</v>
      </c>
      <c r="C19" s="10">
        <v>50</v>
      </c>
      <c r="D19" s="10">
        <v>50</v>
      </c>
      <c r="E19" s="10">
        <v>50</v>
      </c>
      <c r="F19" s="10">
        <v>50</v>
      </c>
      <c r="G19" s="10">
        <v>50</v>
      </c>
      <c r="H19" s="5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1" t="s">
        <v>103</v>
      </c>
      <c r="B20" s="9" t="s">
        <v>88</v>
      </c>
      <c r="C20" s="10">
        <v>89.6</v>
      </c>
      <c r="D20" s="10">
        <v>89.6</v>
      </c>
      <c r="E20" s="10">
        <v>89.6</v>
      </c>
      <c r="F20" s="10">
        <v>89.6</v>
      </c>
      <c r="G20" s="10">
        <v>82.6</v>
      </c>
      <c r="H20" s="5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1" t="s">
        <v>122</v>
      </c>
      <c r="B21" s="9" t="s">
        <v>115</v>
      </c>
      <c r="C21" s="10">
        <v>89.6</v>
      </c>
      <c r="D21" s="10">
        <v>89.6</v>
      </c>
      <c r="E21" s="10">
        <v>89.6</v>
      </c>
      <c r="F21" s="10">
        <v>89.6</v>
      </c>
      <c r="G21" s="10">
        <v>82.6</v>
      </c>
      <c r="H21" s="5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1" t="s">
        <v>15</v>
      </c>
      <c r="B22" s="9" t="s">
        <v>89</v>
      </c>
      <c r="C22" s="10">
        <v>483</v>
      </c>
      <c r="D22" s="10">
        <v>483</v>
      </c>
      <c r="E22" s="10">
        <v>483</v>
      </c>
      <c r="F22" s="10">
        <v>483</v>
      </c>
      <c r="G22" s="10">
        <v>483</v>
      </c>
      <c r="H22" s="7"/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1" t="s">
        <v>11</v>
      </c>
      <c r="B23" s="9" t="s">
        <v>90</v>
      </c>
      <c r="C23" s="10">
        <v>69</v>
      </c>
      <c r="D23" s="10">
        <v>69</v>
      </c>
      <c r="E23" s="10">
        <v>69</v>
      </c>
      <c r="F23" s="10">
        <v>69</v>
      </c>
      <c r="G23" s="10">
        <v>70</v>
      </c>
      <c r="H23" s="5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1" t="s">
        <v>9</v>
      </c>
      <c r="B24" s="9" t="s">
        <v>91</v>
      </c>
      <c r="C24" s="10">
        <v>100</v>
      </c>
      <c r="D24" s="10">
        <v>110</v>
      </c>
      <c r="E24" s="10">
        <v>120</v>
      </c>
      <c r="F24" s="10">
        <v>130</v>
      </c>
      <c r="G24" s="10">
        <v>150</v>
      </c>
      <c r="H24" s="5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1" t="s">
        <v>10</v>
      </c>
      <c r="B25" s="9" t="s">
        <v>92</v>
      </c>
      <c r="C25" s="10">
        <v>74</v>
      </c>
      <c r="D25" s="10">
        <v>74</v>
      </c>
      <c r="E25" s="10">
        <v>74</v>
      </c>
      <c r="F25" s="10">
        <v>74</v>
      </c>
      <c r="G25" s="10">
        <v>74</v>
      </c>
      <c r="H25" s="5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1" t="s">
        <v>13</v>
      </c>
      <c r="B26" s="9" t="s">
        <v>93</v>
      </c>
      <c r="C26" s="10">
        <v>1062.0999999999999</v>
      </c>
      <c r="D26" s="10">
        <v>1075</v>
      </c>
      <c r="E26" s="10">
        <v>1082.3</v>
      </c>
      <c r="F26" s="10">
        <v>1090.2</v>
      </c>
      <c r="G26" s="10">
        <v>1101.3</v>
      </c>
      <c r="H26" s="5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1" t="s">
        <v>19</v>
      </c>
      <c r="B27" s="9" t="s">
        <v>94</v>
      </c>
      <c r="C27" s="10">
        <v>420</v>
      </c>
      <c r="D27" s="10">
        <v>440</v>
      </c>
      <c r="E27" s="10">
        <v>460</v>
      </c>
      <c r="F27" s="10">
        <v>460</v>
      </c>
      <c r="G27" s="10">
        <v>480</v>
      </c>
      <c r="H27" s="5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1" t="s">
        <v>73</v>
      </c>
      <c r="B28" s="9" t="s">
        <v>95</v>
      </c>
      <c r="C28" s="10">
        <v>628.29999999999995</v>
      </c>
      <c r="D28" s="10">
        <v>640.70000000000005</v>
      </c>
      <c r="E28" s="10">
        <v>648</v>
      </c>
      <c r="F28" s="10">
        <v>656</v>
      </c>
      <c r="G28" s="10">
        <v>666.3</v>
      </c>
      <c r="H28" s="5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1" t="s">
        <v>127</v>
      </c>
      <c r="B29" s="9" t="s">
        <v>96</v>
      </c>
      <c r="C29" s="10">
        <v>148</v>
      </c>
      <c r="D29" s="10">
        <v>148</v>
      </c>
      <c r="E29" s="10">
        <v>148</v>
      </c>
      <c r="F29" s="10">
        <v>148</v>
      </c>
      <c r="G29" s="10">
        <v>148</v>
      </c>
      <c r="H29" s="5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1" t="s">
        <v>22</v>
      </c>
      <c r="B30" s="9" t="s">
        <v>107</v>
      </c>
      <c r="C30" s="10">
        <v>2100</v>
      </c>
      <c r="D30" s="10">
        <v>2180</v>
      </c>
      <c r="E30" s="10">
        <v>2260</v>
      </c>
      <c r="F30" s="10">
        <v>2400</v>
      </c>
      <c r="G30" s="10">
        <v>2480</v>
      </c>
      <c r="H30" s="5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1" t="s">
        <v>104</v>
      </c>
      <c r="B31" s="9" t="s">
        <v>116</v>
      </c>
      <c r="C31" s="10">
        <v>700</v>
      </c>
      <c r="D31" s="10">
        <v>700</v>
      </c>
      <c r="E31" s="10">
        <v>700</v>
      </c>
      <c r="F31" s="10">
        <v>700</v>
      </c>
      <c r="G31" s="10">
        <v>700</v>
      </c>
      <c r="H31" s="5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1" t="s">
        <v>18</v>
      </c>
      <c r="B32" s="9" t="s">
        <v>99</v>
      </c>
      <c r="C32" s="10">
        <v>70</v>
      </c>
      <c r="D32" s="10">
        <v>70</v>
      </c>
      <c r="E32" s="10">
        <v>80</v>
      </c>
      <c r="F32" s="10">
        <v>90</v>
      </c>
      <c r="G32" s="10">
        <v>100</v>
      </c>
      <c r="H32" s="5"/>
      <c r="I32" s="6"/>
      <c r="J32" s="6"/>
      <c r="K32" s="6"/>
      <c r="L32" s="6"/>
      <c r="M32" s="6"/>
      <c r="N32" s="6"/>
      <c r="O32" s="6"/>
      <c r="P32" s="6"/>
    </row>
    <row r="33" spans="1:8" x14ac:dyDescent="0.3">
      <c r="A33" s="1" t="s">
        <v>17</v>
      </c>
      <c r="B33" s="9" t="s">
        <v>100</v>
      </c>
      <c r="C33" s="10">
        <v>170</v>
      </c>
      <c r="D33" s="10">
        <v>170</v>
      </c>
      <c r="E33" s="10">
        <v>170</v>
      </c>
      <c r="F33" s="10">
        <v>170</v>
      </c>
      <c r="G33" s="10">
        <v>175</v>
      </c>
    </row>
    <row r="34" spans="1:8" x14ac:dyDescent="0.3">
      <c r="A34" s="1" t="s">
        <v>23</v>
      </c>
      <c r="B34" s="11"/>
      <c r="C34" s="10">
        <v>700</v>
      </c>
      <c r="D34" s="10">
        <v>700</v>
      </c>
      <c r="E34" s="10">
        <v>700</v>
      </c>
      <c r="F34" s="10">
        <v>700</v>
      </c>
      <c r="G34" s="10">
        <v>700</v>
      </c>
    </row>
    <row r="35" spans="1:8" x14ac:dyDescent="0.3">
      <c r="A35" s="1" t="s">
        <v>24</v>
      </c>
      <c r="B35" s="9"/>
      <c r="C35" s="10">
        <f>2.4*25.4</f>
        <v>60.959999999999994</v>
      </c>
      <c r="D35" s="10">
        <f t="shared" ref="D35:G35" si="5">2.4*25.4</f>
        <v>60.959999999999994</v>
      </c>
      <c r="E35" s="10">
        <f t="shared" si="5"/>
        <v>60.959999999999994</v>
      </c>
      <c r="F35" s="10">
        <f t="shared" si="5"/>
        <v>60.959999999999994</v>
      </c>
      <c r="G35" s="10">
        <f t="shared" si="5"/>
        <v>60.959999999999994</v>
      </c>
    </row>
    <row r="36" spans="1:8" x14ac:dyDescent="0.3">
      <c r="A36" s="1" t="s">
        <v>25</v>
      </c>
      <c r="B36" s="9"/>
      <c r="C36" s="11">
        <f>2.6*24.5</f>
        <v>63.7</v>
      </c>
      <c r="D36" s="11">
        <f t="shared" ref="D36:G36" si="6">2.6*24.5</f>
        <v>63.7</v>
      </c>
      <c r="E36" s="11">
        <f t="shared" si="6"/>
        <v>63.7</v>
      </c>
      <c r="F36" s="11">
        <f t="shared" si="6"/>
        <v>63.7</v>
      </c>
      <c r="G36" s="11">
        <f t="shared" si="6"/>
        <v>63.7</v>
      </c>
    </row>
    <row r="37" spans="1:8" x14ac:dyDescent="0.3">
      <c r="A37" s="1" t="s">
        <v>27</v>
      </c>
      <c r="B37" s="9"/>
      <c r="C37" s="11">
        <f>C39</f>
        <v>151</v>
      </c>
      <c r="D37" s="11">
        <f>AVERAGE(D39,C40)</f>
        <v>162.5</v>
      </c>
      <c r="E37" s="11">
        <f t="shared" ref="E37:G37" si="7">AVERAGE(E39,D40)</f>
        <v>172</v>
      </c>
      <c r="F37" s="11">
        <f t="shared" si="7"/>
        <v>181.5</v>
      </c>
      <c r="G37" s="11">
        <f t="shared" si="7"/>
        <v>189</v>
      </c>
    </row>
    <row r="38" spans="1:8" x14ac:dyDescent="0.3">
      <c r="A38" s="1" t="s">
        <v>28</v>
      </c>
      <c r="B38" s="9"/>
      <c r="C38" s="11">
        <f>D37</f>
        <v>162.5</v>
      </c>
      <c r="D38" s="11">
        <f t="shared" ref="D38:F38" si="8">E37</f>
        <v>172</v>
      </c>
      <c r="E38" s="11">
        <f t="shared" si="8"/>
        <v>181.5</v>
      </c>
      <c r="F38" s="11">
        <f t="shared" si="8"/>
        <v>189</v>
      </c>
      <c r="G38" s="11">
        <f>G40</f>
        <v>198</v>
      </c>
    </row>
    <row r="39" spans="1:8" x14ac:dyDescent="0.3">
      <c r="A39" s="1" t="s">
        <v>105</v>
      </c>
      <c r="B39" s="9"/>
      <c r="C39" s="11">
        <v>151</v>
      </c>
      <c r="D39" s="11">
        <v>162</v>
      </c>
      <c r="E39" s="11">
        <v>170</v>
      </c>
      <c r="F39" s="11">
        <v>180</v>
      </c>
      <c r="G39" s="11">
        <v>188</v>
      </c>
    </row>
    <row r="40" spans="1:8" x14ac:dyDescent="0.3">
      <c r="A40" s="1" t="s">
        <v>106</v>
      </c>
      <c r="B40" s="9"/>
      <c r="C40" s="11">
        <v>163</v>
      </c>
      <c r="D40" s="11">
        <v>174</v>
      </c>
      <c r="E40" s="11">
        <v>183</v>
      </c>
      <c r="F40" s="11">
        <v>190</v>
      </c>
      <c r="G40" s="11">
        <v>198</v>
      </c>
    </row>
    <row r="41" spans="1:8" x14ac:dyDescent="0.3">
      <c r="A41" s="1"/>
      <c r="B41" s="1"/>
      <c r="C41" s="1"/>
      <c r="D41" s="1"/>
      <c r="E41" s="1"/>
      <c r="F41" s="1"/>
      <c r="G41" s="1"/>
    </row>
    <row r="42" spans="1:8" x14ac:dyDescent="0.3">
      <c r="A42" s="1" t="s">
        <v>29</v>
      </c>
      <c r="B42" s="1" t="s">
        <v>30</v>
      </c>
      <c r="C42" s="1"/>
      <c r="D42" s="1"/>
      <c r="E42" s="1"/>
      <c r="F42" s="1"/>
      <c r="G42" s="1"/>
    </row>
    <row r="43" spans="1:8" x14ac:dyDescent="0.3">
      <c r="A43" s="1" t="s">
        <v>66</v>
      </c>
      <c r="B43" s="1" t="s">
        <v>67</v>
      </c>
      <c r="C43" s="6" t="s">
        <v>117</v>
      </c>
      <c r="D43" s="6" t="s">
        <v>118</v>
      </c>
      <c r="E43" s="6" t="s">
        <v>119</v>
      </c>
      <c r="F43" s="6" t="s">
        <v>120</v>
      </c>
      <c r="G43" s="6" t="s">
        <v>98</v>
      </c>
      <c r="H43" s="5" t="s">
        <v>97</v>
      </c>
    </row>
    <row r="44" spans="1:8" x14ac:dyDescent="0.3">
      <c r="A44" s="1" t="s">
        <v>68</v>
      </c>
      <c r="B44" s="1" t="s">
        <v>69</v>
      </c>
      <c r="C44" s="1"/>
      <c r="D44" s="1"/>
      <c r="E44" s="1"/>
      <c r="F44" s="1"/>
      <c r="G44" s="1"/>
    </row>
    <row r="45" spans="1:8" x14ac:dyDescent="0.3">
      <c r="A45" s="1" t="s">
        <v>70</v>
      </c>
      <c r="B45" s="1" t="s">
        <v>71</v>
      </c>
      <c r="C45" s="3"/>
      <c r="D45" s="3"/>
      <c r="E45" s="3"/>
      <c r="F45" s="3"/>
      <c r="G45" s="3"/>
    </row>
    <row r="46" spans="1:8" x14ac:dyDescent="0.3">
      <c r="A46" s="1" t="s">
        <v>31</v>
      </c>
      <c r="B46" s="1" t="s">
        <v>109</v>
      </c>
      <c r="C46" s="1"/>
      <c r="D46" s="1"/>
      <c r="E46" s="1"/>
      <c r="F46" s="1"/>
      <c r="G46" s="1"/>
    </row>
    <row r="47" spans="1:8" x14ac:dyDescent="0.3">
      <c r="A47" s="1" t="s">
        <v>32</v>
      </c>
      <c r="B47" s="1" t="s">
        <v>72</v>
      </c>
      <c r="C47" s="1"/>
      <c r="D47" s="1"/>
      <c r="E47" s="1"/>
      <c r="F47" s="1"/>
      <c r="G47" s="1"/>
    </row>
    <row r="48" spans="1:8" x14ac:dyDescent="0.3">
      <c r="A48" s="1" t="s">
        <v>33</v>
      </c>
      <c r="B48" s="1"/>
      <c r="C48" s="1"/>
      <c r="D48" s="1"/>
      <c r="E48" s="1"/>
      <c r="F48" s="1"/>
      <c r="G48" s="1"/>
    </row>
    <row r="49" spans="1:7" x14ac:dyDescent="0.3">
      <c r="A49" s="1" t="s">
        <v>34</v>
      </c>
      <c r="B49" s="1">
        <f>2.6*24.5</f>
        <v>63.7</v>
      </c>
      <c r="C49" s="1"/>
      <c r="D49" s="1"/>
      <c r="E49" s="1"/>
      <c r="F49" s="1"/>
      <c r="G49" s="1"/>
    </row>
    <row r="50" spans="1:7" x14ac:dyDescent="0.3">
      <c r="A50" s="1" t="s">
        <v>35</v>
      </c>
      <c r="B50" s="1">
        <v>2.9</v>
      </c>
      <c r="C50" s="1"/>
      <c r="D50" s="1"/>
      <c r="E50" s="1"/>
      <c r="F50" s="1"/>
      <c r="G50" s="1"/>
    </row>
    <row r="51" spans="1:7" x14ac:dyDescent="0.3">
      <c r="A51" s="1" t="s">
        <v>36</v>
      </c>
      <c r="B51" s="1">
        <v>100</v>
      </c>
      <c r="C51" s="1"/>
      <c r="D51" s="1"/>
      <c r="E51" s="1"/>
      <c r="F51" s="1"/>
      <c r="G51" s="1"/>
    </row>
    <row r="52" spans="1:7" x14ac:dyDescent="0.3">
      <c r="A52" s="1" t="s">
        <v>37</v>
      </c>
      <c r="B52" s="1"/>
      <c r="C52" s="1"/>
      <c r="D52" s="1"/>
      <c r="E52" s="3"/>
      <c r="F52" s="3"/>
      <c r="G52" s="3"/>
    </row>
    <row r="53" spans="1:7" x14ac:dyDescent="0.3">
      <c r="A53" s="1" t="s">
        <v>38</v>
      </c>
      <c r="B53" s="1"/>
      <c r="C53" s="3"/>
      <c r="D53" s="3"/>
      <c r="E53" s="1"/>
      <c r="F53" s="1"/>
      <c r="G53" s="1"/>
    </row>
    <row r="54" spans="1:7" x14ac:dyDescent="0.3">
      <c r="A54" s="1" t="s">
        <v>39</v>
      </c>
      <c r="B54" s="1"/>
      <c r="C54" s="1"/>
      <c r="D54" s="1"/>
      <c r="E54" s="1"/>
      <c r="F54" s="1"/>
      <c r="G54" s="1"/>
    </row>
    <row r="55" spans="1:7" x14ac:dyDescent="0.3">
      <c r="A55" s="1" t="s">
        <v>40</v>
      </c>
      <c r="B55" s="1">
        <v>148</v>
      </c>
      <c r="C55" s="1"/>
      <c r="D55" s="1"/>
      <c r="E55" s="1"/>
      <c r="F55" s="1"/>
      <c r="G55" s="1"/>
    </row>
    <row r="56" spans="1:7" x14ac:dyDescent="0.3">
      <c r="A56" s="1" t="s">
        <v>41</v>
      </c>
      <c r="B56" s="1">
        <v>110</v>
      </c>
      <c r="C56" s="1"/>
      <c r="D56" s="1"/>
      <c r="E56" s="1"/>
      <c r="F56" s="1"/>
      <c r="G56" s="1"/>
    </row>
    <row r="57" spans="1:7" x14ac:dyDescent="0.3">
      <c r="A57" s="1" t="s">
        <v>132</v>
      </c>
      <c r="B57" s="1"/>
      <c r="C57" s="1"/>
      <c r="D57" s="1"/>
      <c r="E57" s="1"/>
      <c r="F57" s="1"/>
      <c r="G57" s="1"/>
    </row>
    <row r="58" spans="1:7" x14ac:dyDescent="0.3">
      <c r="A58" s="1" t="s">
        <v>133</v>
      </c>
      <c r="B58" s="1"/>
      <c r="C58" s="1"/>
      <c r="D58" s="1"/>
      <c r="E58" s="1"/>
      <c r="F58" s="1"/>
      <c r="G58" s="1"/>
    </row>
    <row r="59" spans="1:7" x14ac:dyDescent="0.3">
      <c r="A59" s="1" t="s">
        <v>134</v>
      </c>
      <c r="B59" s="1"/>
      <c r="C59" s="1"/>
      <c r="D59" s="1"/>
      <c r="E59" s="1"/>
      <c r="F59" s="1"/>
      <c r="G59" s="1"/>
    </row>
    <row r="60" spans="1:7" x14ac:dyDescent="0.3">
      <c r="A60" s="1" t="s">
        <v>135</v>
      </c>
      <c r="B60" s="1"/>
      <c r="C60" s="1"/>
      <c r="D60" s="1"/>
      <c r="E60" s="1"/>
      <c r="F60" s="1"/>
      <c r="G60" s="1"/>
    </row>
    <row r="61" spans="1:7" x14ac:dyDescent="0.3">
      <c r="A61" s="1" t="s">
        <v>136</v>
      </c>
      <c r="B61" s="1"/>
      <c r="C61" s="1"/>
      <c r="D61" s="1"/>
      <c r="E61" s="1"/>
      <c r="F61" s="1"/>
      <c r="G61" s="1"/>
    </row>
    <row r="62" spans="1:7" x14ac:dyDescent="0.3">
      <c r="A62" s="1" t="s">
        <v>137</v>
      </c>
      <c r="B62" s="1"/>
      <c r="C62" s="1"/>
      <c r="D62" s="1"/>
      <c r="E62" s="1"/>
      <c r="F62" s="1"/>
      <c r="G62" s="1"/>
    </row>
    <row r="63" spans="1:7" x14ac:dyDescent="0.3">
      <c r="A63" s="1" t="s">
        <v>42</v>
      </c>
      <c r="B63" s="1" t="s">
        <v>74</v>
      </c>
      <c r="C63" s="1"/>
      <c r="D63" s="1"/>
      <c r="E63" s="1"/>
      <c r="F63" s="1"/>
      <c r="G63" s="1"/>
    </row>
    <row r="64" spans="1:7" x14ac:dyDescent="0.3">
      <c r="A64" s="1" t="s">
        <v>43</v>
      </c>
      <c r="B64" s="1"/>
      <c r="C64" s="1"/>
      <c r="D64" s="1"/>
      <c r="E64" s="1"/>
      <c r="F64" s="1"/>
      <c r="G64" s="1"/>
    </row>
    <row r="65" spans="1:7" x14ac:dyDescent="0.3">
      <c r="A65" s="1" t="s">
        <v>44</v>
      </c>
      <c r="B65" s="1">
        <v>31.6</v>
      </c>
      <c r="C65" s="1"/>
      <c r="D65" s="1"/>
      <c r="E65" s="1"/>
      <c r="F65" s="1"/>
      <c r="G65" s="1"/>
    </row>
    <row r="66" spans="1:7" x14ac:dyDescent="0.3">
      <c r="A66" s="1" t="s">
        <v>45</v>
      </c>
      <c r="B66" s="1" t="s">
        <v>124</v>
      </c>
      <c r="C66" s="1"/>
      <c r="D66" s="1"/>
      <c r="E66" s="1"/>
      <c r="F66" s="1"/>
      <c r="G66" s="1"/>
    </row>
    <row r="67" spans="1:7" x14ac:dyDescent="0.3">
      <c r="A67" s="1" t="s">
        <v>46</v>
      </c>
      <c r="B67" s="1">
        <v>36</v>
      </c>
      <c r="C67" s="1"/>
      <c r="D67" s="1"/>
      <c r="E67" s="1"/>
      <c r="F67" s="1"/>
      <c r="G67" s="1"/>
    </row>
    <row r="68" spans="1:7" x14ac:dyDescent="0.3">
      <c r="A68" s="1" t="s">
        <v>47</v>
      </c>
      <c r="B68" s="1"/>
      <c r="C68" s="1"/>
      <c r="D68" s="1"/>
      <c r="E68" s="1"/>
      <c r="F68" s="1"/>
      <c r="G68" s="1"/>
    </row>
    <row r="69" spans="1:7" x14ac:dyDescent="0.3">
      <c r="A69" s="1" t="s">
        <v>48</v>
      </c>
      <c r="B69" s="1">
        <v>180</v>
      </c>
      <c r="C69" s="1"/>
      <c r="D69" s="1"/>
      <c r="E69" s="1"/>
      <c r="F69" s="1"/>
      <c r="G69" s="1"/>
    </row>
    <row r="70" spans="1:7" x14ac:dyDescent="0.3">
      <c r="A70" s="1" t="s">
        <v>49</v>
      </c>
      <c r="B70" s="1">
        <v>160</v>
      </c>
      <c r="C70" s="1"/>
      <c r="D70" s="1"/>
      <c r="E70" s="1"/>
      <c r="F70" s="1"/>
      <c r="G70" s="1"/>
    </row>
    <row r="71" spans="1:7" x14ac:dyDescent="0.3">
      <c r="A71" s="1" t="s">
        <v>50</v>
      </c>
      <c r="B71" s="1"/>
      <c r="C71" s="1"/>
      <c r="D71" s="1"/>
      <c r="E71" s="1"/>
      <c r="F71" s="1"/>
      <c r="G71" s="1"/>
    </row>
    <row r="72" spans="1:7" x14ac:dyDescent="0.3">
      <c r="A72" s="1" t="s">
        <v>51</v>
      </c>
      <c r="B72" s="1" t="s">
        <v>110</v>
      </c>
      <c r="C72" s="1"/>
      <c r="D72" s="1"/>
      <c r="E72" s="1"/>
      <c r="F72" s="1"/>
      <c r="G72" s="1"/>
    </row>
    <row r="73" spans="1:7" x14ac:dyDescent="0.3">
      <c r="A73" s="1" t="s">
        <v>52</v>
      </c>
      <c r="B73" s="1" t="s">
        <v>110</v>
      </c>
      <c r="C73" s="1"/>
      <c r="D73" s="1"/>
      <c r="E73" s="1"/>
      <c r="F73" s="1"/>
      <c r="G73" s="1"/>
    </row>
    <row r="74" spans="1:7" x14ac:dyDescent="0.3">
      <c r="A74" s="1" t="s">
        <v>53</v>
      </c>
      <c r="B74" s="1" t="s">
        <v>72</v>
      </c>
      <c r="C74" s="1"/>
      <c r="D74" s="1"/>
      <c r="E74" s="1"/>
      <c r="F74" s="1"/>
      <c r="G74" s="1"/>
    </row>
    <row r="75" spans="1:7" x14ac:dyDescent="0.3">
      <c r="A75" s="1" t="s">
        <v>54</v>
      </c>
      <c r="B75" s="1"/>
      <c r="C75" s="1"/>
      <c r="D75" s="1"/>
      <c r="E75" s="1"/>
      <c r="F75" s="1"/>
      <c r="G75" s="1"/>
    </row>
    <row r="76" spans="1:7" x14ac:dyDescent="0.3">
      <c r="A76" s="1" t="s">
        <v>55</v>
      </c>
      <c r="B76" s="1">
        <v>2</v>
      </c>
      <c r="C76" s="1"/>
      <c r="D76" s="1"/>
      <c r="E76" s="1"/>
      <c r="F76" s="1"/>
      <c r="G76" s="1"/>
    </row>
    <row r="77" spans="1:7" x14ac:dyDescent="0.3">
      <c r="A77" s="1" t="s">
        <v>56</v>
      </c>
      <c r="B77" s="1">
        <v>1</v>
      </c>
      <c r="C77" s="1"/>
      <c r="D77" s="1"/>
      <c r="E77" s="1"/>
      <c r="F77" s="1"/>
      <c r="G77" s="1"/>
    </row>
    <row r="78" spans="1:7" x14ac:dyDescent="0.3">
      <c r="A78" s="1" t="s">
        <v>57</v>
      </c>
      <c r="B78" s="1" t="s">
        <v>72</v>
      </c>
      <c r="C78" s="1"/>
      <c r="D78" s="1"/>
      <c r="E78" s="1"/>
      <c r="F78" s="1"/>
      <c r="G78" s="1"/>
    </row>
    <row r="79" spans="1:7" x14ac:dyDescent="0.3">
      <c r="A79" s="1" t="s">
        <v>58</v>
      </c>
      <c r="B79" s="1" t="s">
        <v>72</v>
      </c>
      <c r="C79" s="1"/>
      <c r="D79" s="1"/>
      <c r="E79" s="1"/>
      <c r="F79" s="1"/>
      <c r="G79" s="1"/>
    </row>
    <row r="80" spans="1:7" x14ac:dyDescent="0.3">
      <c r="A80" s="1" t="s">
        <v>59</v>
      </c>
      <c r="B80" s="1" t="s">
        <v>72</v>
      </c>
      <c r="C80" s="1"/>
      <c r="D80" s="1"/>
      <c r="E80" s="1"/>
      <c r="F80" s="1"/>
      <c r="G80" s="1"/>
    </row>
    <row r="81" spans="1:7" x14ac:dyDescent="0.3">
      <c r="A81" s="1" t="s">
        <v>60</v>
      </c>
      <c r="B81" s="1" t="s">
        <v>72</v>
      </c>
      <c r="C81" s="1"/>
      <c r="D81" s="1"/>
      <c r="E81" s="1"/>
      <c r="F81" s="1"/>
      <c r="G81" s="1"/>
    </row>
    <row r="82" spans="1:7" x14ac:dyDescent="0.3">
      <c r="A82" s="1" t="s">
        <v>61</v>
      </c>
      <c r="B82" s="1" t="s">
        <v>72</v>
      </c>
      <c r="C82" s="1"/>
      <c r="D82" s="1"/>
      <c r="E82" s="1"/>
      <c r="F82" s="1"/>
      <c r="G82" s="1"/>
    </row>
    <row r="83" spans="1:7" x14ac:dyDescent="0.3">
      <c r="A83" s="1" t="s">
        <v>62</v>
      </c>
      <c r="B83" s="1">
        <v>1795</v>
      </c>
      <c r="C83" s="1"/>
      <c r="D83" s="1"/>
      <c r="E83" s="1"/>
      <c r="F83" s="1"/>
      <c r="G83" s="1"/>
    </row>
    <row r="84" spans="1:7" x14ac:dyDescent="0.3">
      <c r="A84" s="1" t="s">
        <v>63</v>
      </c>
      <c r="B84" s="1">
        <v>3000</v>
      </c>
      <c r="C84" s="1"/>
      <c r="D84" s="1"/>
      <c r="E84" s="1"/>
      <c r="F84" s="1"/>
      <c r="G84" s="1"/>
    </row>
    <row r="85" spans="1:7" x14ac:dyDescent="0.3">
      <c r="A85" s="1" t="s">
        <v>64</v>
      </c>
      <c r="B85" s="1" t="s">
        <v>72</v>
      </c>
      <c r="C85" s="1"/>
      <c r="D85" s="1"/>
      <c r="E85" s="1"/>
      <c r="F85" s="1"/>
      <c r="G85" s="1"/>
    </row>
    <row r="86" spans="1:7" x14ac:dyDescent="0.3">
      <c r="A86" s="1" t="s">
        <v>65</v>
      </c>
      <c r="B86" s="1" t="s">
        <v>128</v>
      </c>
      <c r="C86" s="1"/>
      <c r="D86" s="1"/>
      <c r="E86" s="1"/>
      <c r="F86" s="1"/>
      <c r="G86" s="1"/>
    </row>
    <row r="87" spans="1:7" x14ac:dyDescent="0.3">
      <c r="A87" t="s">
        <v>130</v>
      </c>
      <c r="B87" t="s">
        <v>131</v>
      </c>
    </row>
  </sheetData>
  <mergeCells count="8">
    <mergeCell ref="O21:O22"/>
    <mergeCell ref="P21:P22"/>
    <mergeCell ref="I21:I22"/>
    <mergeCell ref="J21:J22"/>
    <mergeCell ref="K21:K22"/>
    <mergeCell ref="L21:L22"/>
    <mergeCell ref="M21:M22"/>
    <mergeCell ref="N21:N2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2025-11-16T00:36:07Z</dcterms:modified>
</cp:coreProperties>
</file>