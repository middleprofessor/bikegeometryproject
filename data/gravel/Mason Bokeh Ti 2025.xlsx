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D628C1D-63CA-B84F-BD48-53A512D84BC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D36" i="1"/>
  <c r="E36" i="1"/>
  <c r="F36" i="1"/>
  <c r="G36" i="1"/>
  <c r="H36" i="1"/>
  <c r="I36" i="1"/>
  <c r="C36" i="1"/>
  <c r="J35" i="1"/>
  <c r="E35" i="1"/>
  <c r="F35" i="1"/>
  <c r="G35" i="1"/>
  <c r="H35" i="1"/>
  <c r="I35" i="1"/>
  <c r="D35" i="1"/>
  <c r="C35" i="1"/>
</calcChain>
</file>

<file path=xl/sharedStrings.xml><?xml version="1.0" encoding="utf-8"?>
<sst xmlns="http://schemas.openxmlformats.org/spreadsheetml/2006/main" count="144" uniqueCount="133">
  <si>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</si>
  <si>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</si>
  <si>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</si>
  <si>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</si>
  <si>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</si>
  <si>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</si>
  <si>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</si>
  <si>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</si>
  <si>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</si>
  <si>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</si>
  <si>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</si>
  <si>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</si>
  <si>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</si>
  <si>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</si>
  <si>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</si>
  <si>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</si>
  <si>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</si>
  <si>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</si>
  <si>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</si>
  <si>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</si>
  <si>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</si>
  <si>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</si>
  <si>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</si>
  <si>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</si>
  <si>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</si>
  <si>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</si>
  <si>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</si>
  <si>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</si>
  <si>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</si>
  <si>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</si>
  <si>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</si>
  <si>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</si>
  <si>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</si>
  <si>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</si>
  <si>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</si>
  <si>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</si>
  <si>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</si>
  <si>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</si>
  <si>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</si>
  <si>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</si>
  <si>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</si>
  <si>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</si>
  <si>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</si>
  <si>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</si>
  <si>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</si>
  <si>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</si>
  <si>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</si>
  <si>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</si>
  <si>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</si>
  <si>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</si>
  <si>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</si>
  <si>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</si>
  <si>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</si>
  <si>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</si>
  <si>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</si>
  <si>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</si>
  <si>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</si>
  <si>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</si>
  <si>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</si>
  <si>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</si>
  <si>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</si>
  <si>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</si>
  <si>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</si>
  <si>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</si>
  <si>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</si>
  <si>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</si>
  <si>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</si>
  <si>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</si>
  <si>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</si>
  <si>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</si>
  <si>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</si>
  <si>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</si>
  <si>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</si>
  <si>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</si>
  <si>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</si>
  <si>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front_center</t>
  </si>
  <si>
    <t>threaded</t>
  </si>
  <si>
    <t>https://masoncycles.cc/shop/categories/bokeh-ti-bikes</t>
  </si>
  <si>
    <t>Mason</t>
  </si>
  <si>
    <t>Bokeh Ti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</si>
  <si>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</si>
  <si>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</si>
  <si>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</si>
  <si>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</si>
  <si>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</si>
  <si>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</si>
  <si>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</si>
  <si>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</si>
  <si>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</si>
  <si>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</si>
  <si>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</si>
  <si>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</si>
  <si>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</si>
  <si>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</si>
  <si>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</si>
  <si>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</si>
  <si>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</si>
  <si>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</si>
  <si>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</si>
  <si>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</si>
  <si>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</si>
  <si>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</si>
  <si>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</si>
  <si>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</si>
  <si>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</si>
  <si>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</si>
  <si>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</si>
  <si>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</si>
  <si>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</si>
  <si>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</si>
  <si>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</si>
  <si>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</si>
  <si>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</si>
  <si>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</si>
  <si>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</si>
  <si>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</si>
  <si>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</si>
  <si>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</si>
  <si>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</si>
  <si>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Frame Size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</si>
  <si>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</si>
  <si>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</si>
  <si>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</si>
  <si>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</si>
  <si>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</si>
  <si>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</si>
  <si>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</si>
  <si>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a8:j38</t>
  </si>
  <si>
    <t>rear_axle_spec</t>
  </si>
  <si>
    <t>GBP</t>
  </si>
  <si>
    <t>https://masoncycles.cc/images/000/009/531/large/BokehTi2_GRX-Di2-2x_Side_Web.jpg?1744725585</t>
  </si>
  <si>
    <t>location</t>
  </si>
  <si>
    <t>Lancing, West Sussex,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</si>
</sst>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"/>
  <sheetViews>
    <sheetView tabSelected="1" topLeftCell="A54" zoomScale="101" workbookViewId="0">
      <selection activeCell="A79" sqref="A79:B79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78</v>
      </c>
    </row>
    <row r="2" spans="1:19" x14ac:dyDescent="0.3">
      <c r="A2" t="s">
        <v>1</v>
      </c>
      <c r="B2" s="1" t="s">
        <v>79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77</v>
      </c>
    </row>
    <row r="6" spans="1:19" x14ac:dyDescent="0.3">
      <c r="B6" t="s">
        <v>130</v>
      </c>
    </row>
    <row r="7" spans="1:19" x14ac:dyDescent="0.3">
      <c r="A7" s="1" t="s">
        <v>5</v>
      </c>
      <c r="B7" s="1" t="s">
        <v>127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1" t="s">
        <v>119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 t="s">
        <v>85</v>
      </c>
      <c r="I8" s="4" t="s">
        <v>86</v>
      </c>
      <c r="J8" s="4" t="s">
        <v>87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120</v>
      </c>
      <c r="B9" s="5" t="s">
        <v>88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89</v>
      </c>
      <c r="C10" s="6">
        <v>433</v>
      </c>
      <c r="D10" s="6">
        <v>453</v>
      </c>
      <c r="E10" s="6">
        <v>473.5</v>
      </c>
      <c r="F10" s="6">
        <v>494</v>
      </c>
      <c r="G10" s="6">
        <v>512</v>
      </c>
      <c r="H10" s="6">
        <v>534</v>
      </c>
      <c r="I10" s="6">
        <v>554</v>
      </c>
      <c r="J10" s="6">
        <v>574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90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91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92</v>
      </c>
      <c r="C13" s="6">
        <v>517</v>
      </c>
      <c r="D13" s="6">
        <v>521</v>
      </c>
      <c r="E13" s="6">
        <v>536</v>
      </c>
      <c r="F13" s="6">
        <v>554</v>
      </c>
      <c r="G13" s="6">
        <v>562</v>
      </c>
      <c r="H13" s="6">
        <v>584.5</v>
      </c>
      <c r="I13" s="6">
        <v>595</v>
      </c>
      <c r="J13" s="6">
        <v>607.5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121</v>
      </c>
      <c r="B14" s="5" t="s">
        <v>93</v>
      </c>
      <c r="C14" s="6">
        <v>500</v>
      </c>
      <c r="D14" s="6">
        <v>505</v>
      </c>
      <c r="E14" s="6">
        <v>520</v>
      </c>
      <c r="F14" s="6">
        <v>537</v>
      </c>
      <c r="G14" s="6">
        <v>547.6</v>
      </c>
      <c r="H14" s="6">
        <v>569.70000000000005</v>
      </c>
      <c r="I14" s="6">
        <v>581.5</v>
      </c>
      <c r="J14" s="6">
        <v>592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94</v>
      </c>
      <c r="C15" s="6">
        <v>525</v>
      </c>
      <c r="D15" s="6">
        <v>539</v>
      </c>
      <c r="E15" s="6">
        <v>555</v>
      </c>
      <c r="F15" s="6">
        <v>567</v>
      </c>
      <c r="G15" s="6">
        <v>578.5</v>
      </c>
      <c r="H15" s="6">
        <v>592.70000000000005</v>
      </c>
      <c r="I15" s="6">
        <v>607</v>
      </c>
      <c r="J15" s="6">
        <v>632.5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95</v>
      </c>
      <c r="C16" s="6">
        <v>364</v>
      </c>
      <c r="D16" s="6">
        <v>364</v>
      </c>
      <c r="E16" s="6">
        <v>374</v>
      </c>
      <c r="F16" s="6">
        <v>379</v>
      </c>
      <c r="G16" s="6">
        <v>384</v>
      </c>
      <c r="H16" s="6">
        <v>397</v>
      </c>
      <c r="I16" s="6">
        <v>403</v>
      </c>
      <c r="J16" s="6">
        <v>407.5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96</v>
      </c>
      <c r="C17" s="6">
        <v>723</v>
      </c>
      <c r="D17" s="6">
        <v>748</v>
      </c>
      <c r="E17" s="6">
        <v>766.5</v>
      </c>
      <c r="F17" s="6">
        <v>785</v>
      </c>
      <c r="G17" s="6">
        <v>800</v>
      </c>
      <c r="H17" s="6">
        <v>822</v>
      </c>
      <c r="I17" s="6">
        <v>837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97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122</v>
      </c>
      <c r="B19" s="5" t="s">
        <v>98</v>
      </c>
      <c r="C19" s="6">
        <v>74.7</v>
      </c>
      <c r="D19" s="6">
        <v>77.7</v>
      </c>
      <c r="E19" s="6">
        <v>74.400000000000006</v>
      </c>
      <c r="F19" s="6">
        <v>74.400000000000006</v>
      </c>
      <c r="G19" s="6">
        <v>71.099999999999994</v>
      </c>
      <c r="H19" s="6">
        <v>71</v>
      </c>
      <c r="I19" s="6">
        <v>71</v>
      </c>
      <c r="J19" s="6">
        <v>64.599999999999994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15</v>
      </c>
      <c r="B20" s="5" t="s">
        <v>99</v>
      </c>
      <c r="C20" s="6">
        <v>398</v>
      </c>
      <c r="D20" s="6">
        <v>398</v>
      </c>
      <c r="E20" s="6">
        <v>398</v>
      </c>
      <c r="F20" s="6">
        <v>398</v>
      </c>
      <c r="G20" s="6">
        <v>398</v>
      </c>
      <c r="H20" s="6">
        <v>398</v>
      </c>
      <c r="I20" s="6">
        <v>398</v>
      </c>
      <c r="J20" s="6">
        <v>398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11</v>
      </c>
      <c r="B21" s="5" t="s">
        <v>100</v>
      </c>
      <c r="C21" s="6">
        <v>69.5</v>
      </c>
      <c r="D21" s="6">
        <v>69.5</v>
      </c>
      <c r="E21" s="6">
        <v>70</v>
      </c>
      <c r="F21" s="6">
        <v>70</v>
      </c>
      <c r="G21" s="6">
        <v>70.5</v>
      </c>
      <c r="H21" s="6">
        <v>71</v>
      </c>
      <c r="I21" s="6">
        <v>71</v>
      </c>
      <c r="J21" s="6">
        <v>71.5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9</v>
      </c>
      <c r="B22" s="5" t="s">
        <v>101</v>
      </c>
      <c r="C22" s="6">
        <v>100</v>
      </c>
      <c r="D22" s="6">
        <v>115</v>
      </c>
      <c r="E22" s="6">
        <v>130</v>
      </c>
      <c r="F22" s="6">
        <v>145</v>
      </c>
      <c r="G22" s="6">
        <v>155</v>
      </c>
      <c r="H22" s="6">
        <v>170</v>
      </c>
      <c r="I22" s="6">
        <v>185</v>
      </c>
      <c r="J22" s="6">
        <v>210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10</v>
      </c>
      <c r="B23" s="5" t="s">
        <v>102</v>
      </c>
      <c r="C23" s="6">
        <v>74</v>
      </c>
      <c r="D23" s="6">
        <v>74</v>
      </c>
      <c r="E23" s="6">
        <v>74</v>
      </c>
      <c r="F23" s="6">
        <v>73</v>
      </c>
      <c r="G23" s="6">
        <v>73</v>
      </c>
      <c r="H23" s="6">
        <v>72.5</v>
      </c>
      <c r="I23" s="6">
        <v>72.5</v>
      </c>
      <c r="J23" s="6">
        <v>72.5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</v>
      </c>
      <c r="B24" s="5" t="s">
        <v>103</v>
      </c>
      <c r="C24" s="6">
        <v>1013</v>
      </c>
      <c r="D24" s="6">
        <v>1018.5</v>
      </c>
      <c r="E24" s="6">
        <v>1030</v>
      </c>
      <c r="F24" s="6">
        <v>1040</v>
      </c>
      <c r="G24" s="6">
        <v>1044</v>
      </c>
      <c r="H24" s="6">
        <v>1057.5</v>
      </c>
      <c r="I24" s="6">
        <v>1068.5999999999999</v>
      </c>
      <c r="J24" s="6">
        <v>1076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19</v>
      </c>
      <c r="B25" s="5" t="s">
        <v>104</v>
      </c>
      <c r="C25" s="6">
        <v>40</v>
      </c>
      <c r="D25" s="6">
        <v>40</v>
      </c>
      <c r="E25" s="6">
        <v>42</v>
      </c>
      <c r="F25" s="6">
        <v>44</v>
      </c>
      <c r="G25" s="6">
        <v>44</v>
      </c>
      <c r="H25" s="6">
        <v>46</v>
      </c>
      <c r="I25" s="6">
        <v>46</v>
      </c>
      <c r="J25" s="6">
        <v>46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75</v>
      </c>
      <c r="B26" s="5" t="s">
        <v>105</v>
      </c>
      <c r="C26" s="6">
        <v>590</v>
      </c>
      <c r="D26" s="6">
        <v>595.5</v>
      </c>
      <c r="E26" s="6">
        <v>607</v>
      </c>
      <c r="F26" s="6">
        <v>616</v>
      </c>
      <c r="G26" s="6">
        <v>620</v>
      </c>
      <c r="H26" s="6">
        <v>633</v>
      </c>
      <c r="I26" s="6">
        <v>644</v>
      </c>
      <c r="J26" s="6">
        <v>651.5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128</v>
      </c>
      <c r="B27" s="5" t="s">
        <v>106</v>
      </c>
      <c r="C27" s="6">
        <v>142</v>
      </c>
      <c r="D27" s="6">
        <v>142</v>
      </c>
      <c r="E27" s="6">
        <v>142</v>
      </c>
      <c r="F27" s="6">
        <v>142</v>
      </c>
      <c r="G27" s="6">
        <v>142</v>
      </c>
      <c r="H27" s="6">
        <v>142</v>
      </c>
      <c r="I27" s="6">
        <v>142</v>
      </c>
      <c r="J27" s="6">
        <v>142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22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123</v>
      </c>
      <c r="B29" s="5" t="s">
        <v>107</v>
      </c>
      <c r="C29" s="6">
        <v>515</v>
      </c>
      <c r="D29" s="6">
        <v>515</v>
      </c>
      <c r="E29" s="6">
        <v>515</v>
      </c>
      <c r="F29" s="6">
        <v>515</v>
      </c>
      <c r="G29" s="6">
        <v>515</v>
      </c>
      <c r="H29" s="6">
        <v>515</v>
      </c>
      <c r="I29" s="6">
        <v>515</v>
      </c>
      <c r="J29" s="6">
        <v>515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18</v>
      </c>
      <c r="B30" s="5" t="s">
        <v>117</v>
      </c>
      <c r="C30" s="6">
        <v>70</v>
      </c>
      <c r="D30" s="6">
        <v>80</v>
      </c>
      <c r="E30" s="6">
        <v>90</v>
      </c>
      <c r="F30" s="6">
        <v>90</v>
      </c>
      <c r="G30" s="6">
        <v>100</v>
      </c>
      <c r="H30" s="6">
        <v>100</v>
      </c>
      <c r="I30" s="6">
        <v>110</v>
      </c>
      <c r="J30" s="6">
        <v>110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17</v>
      </c>
      <c r="B31" s="5" t="s">
        <v>118</v>
      </c>
      <c r="C31" s="6">
        <v>165</v>
      </c>
      <c r="D31" s="6">
        <v>165</v>
      </c>
      <c r="E31" s="6">
        <v>170</v>
      </c>
      <c r="F31" s="6">
        <v>170</v>
      </c>
      <c r="G31" s="6">
        <v>172.5</v>
      </c>
      <c r="H31" s="6">
        <v>172.5</v>
      </c>
      <c r="I31" s="6">
        <v>175</v>
      </c>
      <c r="J31" s="6">
        <v>175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23</v>
      </c>
      <c r="B32" s="1" t="s">
        <v>23</v>
      </c>
      <c r="C32" s="1">
        <v>700</v>
      </c>
      <c r="D32" s="1">
        <v>700</v>
      </c>
      <c r="E32" s="1">
        <v>700</v>
      </c>
      <c r="F32" s="1">
        <v>700</v>
      </c>
      <c r="G32" s="1">
        <v>700</v>
      </c>
      <c r="H32" s="1">
        <v>700</v>
      </c>
      <c r="I32" s="1">
        <v>700</v>
      </c>
      <c r="J32" s="1">
        <v>700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24</v>
      </c>
      <c r="B33" s="1" t="s">
        <v>24</v>
      </c>
      <c r="C33" s="1">
        <v>50</v>
      </c>
      <c r="D33" s="1">
        <v>50</v>
      </c>
      <c r="E33" s="1">
        <v>50</v>
      </c>
      <c r="F33" s="1">
        <v>50</v>
      </c>
      <c r="G33" s="1">
        <v>50</v>
      </c>
      <c r="H33" s="1">
        <v>50</v>
      </c>
      <c r="I33" s="1">
        <v>50</v>
      </c>
      <c r="J33" s="1">
        <v>50</v>
      </c>
    </row>
    <row r="34" spans="1:11" x14ac:dyDescent="0.3">
      <c r="A34" s="1" t="s">
        <v>25</v>
      </c>
      <c r="B34" s="1" t="s">
        <v>25</v>
      </c>
      <c r="C34" s="1">
        <v>50</v>
      </c>
      <c r="D34" s="1">
        <v>50</v>
      </c>
      <c r="E34" s="1">
        <v>50</v>
      </c>
      <c r="F34" s="1">
        <v>50</v>
      </c>
      <c r="G34" s="1">
        <v>50</v>
      </c>
      <c r="H34" s="1">
        <v>50</v>
      </c>
      <c r="I34" s="1">
        <v>50</v>
      </c>
      <c r="J34" s="1">
        <v>50</v>
      </c>
    </row>
    <row r="35" spans="1:11" x14ac:dyDescent="0.3">
      <c r="A35" s="1" t="s">
        <v>27</v>
      </c>
      <c r="B35" s="1"/>
      <c r="C35" s="1">
        <f>C37</f>
        <v>151</v>
      </c>
      <c r="D35" s="1">
        <f>AVERAGE(D37,C38)</f>
        <v>158.5</v>
      </c>
      <c r="E35" s="1">
        <f t="shared" ref="E35:I35" si="0">AVERAGE(E37,D38)</f>
        <v>165.5</v>
      </c>
      <c r="F35" s="1">
        <f t="shared" si="0"/>
        <v>171</v>
      </c>
      <c r="G35" s="1">
        <f t="shared" si="0"/>
        <v>177.5</v>
      </c>
      <c r="H35" s="1">
        <f t="shared" si="0"/>
        <v>182.5</v>
      </c>
      <c r="I35" s="1">
        <f t="shared" si="0"/>
        <v>186.5</v>
      </c>
      <c r="J35" s="1">
        <f>AVERAGE(J37,I38)</f>
        <v>190.5</v>
      </c>
    </row>
    <row r="36" spans="1:11" x14ac:dyDescent="0.3">
      <c r="A36" s="1" t="s">
        <v>28</v>
      </c>
      <c r="C36">
        <f>D35</f>
        <v>158.5</v>
      </c>
      <c r="D36">
        <f t="shared" ref="D36:I36" si="1">E35</f>
        <v>165.5</v>
      </c>
      <c r="E36">
        <f t="shared" si="1"/>
        <v>171</v>
      </c>
      <c r="F36">
        <f t="shared" si="1"/>
        <v>177.5</v>
      </c>
      <c r="G36">
        <f t="shared" si="1"/>
        <v>182.5</v>
      </c>
      <c r="H36">
        <f t="shared" si="1"/>
        <v>186.5</v>
      </c>
      <c r="I36">
        <f t="shared" si="1"/>
        <v>190.5</v>
      </c>
      <c r="J36" s="1">
        <f>J38</f>
        <v>198</v>
      </c>
    </row>
    <row r="37" spans="1:11" x14ac:dyDescent="0.3">
      <c r="A37" s="1" t="s">
        <v>124</v>
      </c>
      <c r="C37">
        <v>151</v>
      </c>
      <c r="D37">
        <v>157</v>
      </c>
      <c r="E37">
        <v>163</v>
      </c>
      <c r="F37">
        <v>170</v>
      </c>
      <c r="G37">
        <v>175</v>
      </c>
      <c r="H37">
        <v>180</v>
      </c>
      <c r="I37">
        <v>185</v>
      </c>
      <c r="J37" s="3">
        <v>188</v>
      </c>
    </row>
    <row r="38" spans="1:11" x14ac:dyDescent="0.3">
      <c r="A38" s="1" t="s">
        <v>125</v>
      </c>
      <c r="C38">
        <v>160</v>
      </c>
      <c r="D38">
        <v>168</v>
      </c>
      <c r="E38">
        <v>172</v>
      </c>
      <c r="F38">
        <v>180</v>
      </c>
      <c r="G38">
        <v>185</v>
      </c>
      <c r="H38">
        <v>188</v>
      </c>
      <c r="I38">
        <v>193</v>
      </c>
      <c r="J38" s="1">
        <v>198</v>
      </c>
    </row>
    <row r="39" spans="1:1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1" x14ac:dyDescent="0.3">
      <c r="A40" s="1" t="s">
        <v>29</v>
      </c>
      <c r="B40" s="1" t="s">
        <v>30</v>
      </c>
      <c r="C40" s="1"/>
      <c r="D40" s="1"/>
      <c r="E40" s="1"/>
      <c r="F40" s="1"/>
      <c r="G40" s="1"/>
      <c r="H40" s="1"/>
      <c r="I40" s="1"/>
      <c r="J40" s="1"/>
    </row>
    <row r="41" spans="1:11" x14ac:dyDescent="0.3">
      <c r="A41" s="1" t="s">
        <v>67</v>
      </c>
      <c r="B41" s="1" t="s">
        <v>68</v>
      </c>
      <c r="C41" s="6" t="s">
        <v>109</v>
      </c>
      <c r="D41" s="6" t="s">
        <v>110</v>
      </c>
      <c r="E41" s="6" t="s">
        <v>111</v>
      </c>
      <c r="F41" s="6" t="s">
        <v>112</v>
      </c>
      <c r="G41" s="6" t="s">
        <v>113</v>
      </c>
      <c r="H41" s="6" t="s">
        <v>114</v>
      </c>
      <c r="I41" s="6" t="s">
        <v>115</v>
      </c>
      <c r="J41" s="6" t="s">
        <v>116</v>
      </c>
      <c r="K41" s="5" t="s">
        <v>108</v>
      </c>
    </row>
    <row r="42" spans="1:11" x14ac:dyDescent="0.3">
      <c r="A42" s="1" t="s">
        <v>69</v>
      </c>
      <c r="B42" s="1" t="s">
        <v>70</v>
      </c>
      <c r="C42" s="1"/>
      <c r="D42" s="1"/>
      <c r="E42" s="1"/>
      <c r="F42" s="1"/>
      <c r="G42" s="1"/>
      <c r="H42" s="1"/>
      <c r="I42" s="1"/>
      <c r="J42" s="1"/>
    </row>
    <row r="43" spans="1:11" x14ac:dyDescent="0.3">
      <c r="A43" s="1" t="s">
        <v>71</v>
      </c>
      <c r="B43" s="1" t="s">
        <v>72</v>
      </c>
      <c r="C43" s="3"/>
      <c r="D43" s="3"/>
      <c r="E43" s="3"/>
      <c r="F43" s="3"/>
      <c r="G43" s="3"/>
      <c r="H43" s="3"/>
      <c r="I43" s="3"/>
      <c r="J43" s="1"/>
    </row>
    <row r="44" spans="1:11" x14ac:dyDescent="0.3">
      <c r="A44" s="1" t="s">
        <v>31</v>
      </c>
      <c r="B44" s="1" t="s">
        <v>32</v>
      </c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33</v>
      </c>
      <c r="B45" s="1" t="s">
        <v>73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34</v>
      </c>
      <c r="B46" s="1"/>
      <c r="C46" s="1"/>
      <c r="D46" s="1"/>
      <c r="E46" s="1"/>
      <c r="F46" s="1"/>
      <c r="G46" s="1"/>
      <c r="H46" s="1"/>
      <c r="I46" s="1"/>
      <c r="J46" s="1"/>
    </row>
    <row r="47" spans="1:11" x14ac:dyDescent="0.3">
      <c r="A47" s="1" t="s">
        <v>35</v>
      </c>
      <c r="B47" s="1">
        <v>50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36</v>
      </c>
      <c r="B48" s="1">
        <v>2.1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37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38</v>
      </c>
      <c r="B50" s="1"/>
      <c r="C50" s="1"/>
      <c r="D50" s="1"/>
      <c r="E50" s="3"/>
      <c r="F50" s="3"/>
      <c r="G50" s="3"/>
      <c r="H50" s="3"/>
      <c r="I50" s="3"/>
      <c r="J50" s="1"/>
    </row>
    <row r="51" spans="1:10" x14ac:dyDescent="0.3">
      <c r="A51" s="1" t="s">
        <v>39</v>
      </c>
      <c r="B51" s="1"/>
      <c r="C51" s="3"/>
      <c r="D51" s="3"/>
      <c r="E51" s="1"/>
      <c r="F51" s="1"/>
      <c r="G51" s="1"/>
      <c r="H51" s="1"/>
      <c r="I51" s="1"/>
      <c r="J51" s="1"/>
    </row>
    <row r="52" spans="1:10" x14ac:dyDescent="0.3">
      <c r="A52" s="1" t="s">
        <v>40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41</v>
      </c>
      <c r="B53" s="1">
        <v>142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42</v>
      </c>
      <c r="B54" s="1">
        <v>100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43</v>
      </c>
      <c r="B55" s="1" t="s">
        <v>76</v>
      </c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44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45</v>
      </c>
      <c r="B57" s="1">
        <v>31.6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46</v>
      </c>
      <c r="B58" s="1" t="s">
        <v>73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47</v>
      </c>
      <c r="B59" s="1">
        <v>42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48</v>
      </c>
      <c r="B60" s="1" t="s">
        <v>126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49</v>
      </c>
      <c r="B61" s="1">
        <v>160</v>
      </c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50</v>
      </c>
      <c r="B62" s="1">
        <v>160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51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52</v>
      </c>
      <c r="B64" s="1" t="s">
        <v>74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53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54</v>
      </c>
      <c r="B66" s="1" t="s">
        <v>73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55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56</v>
      </c>
      <c r="B68" s="1">
        <v>2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57</v>
      </c>
      <c r="B69" s="1">
        <v>1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58</v>
      </c>
      <c r="B70" s="1" t="s">
        <v>73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59</v>
      </c>
      <c r="B71" s="1" t="s">
        <v>73</v>
      </c>
      <c r="C71" s="1"/>
      <c r="D71" s="1"/>
      <c r="E71" s="1"/>
      <c r="F71" s="1"/>
      <c r="G71" s="1"/>
      <c r="H71" s="1"/>
      <c r="I71" s="1"/>
    </row>
    <row r="72" spans="1:10" x14ac:dyDescent="0.3">
      <c r="A72" s="1" t="s">
        <v>60</v>
      </c>
      <c r="B72" s="1" t="s">
        <v>73</v>
      </c>
      <c r="C72" s="1"/>
      <c r="D72" s="1"/>
      <c r="E72" s="1"/>
      <c r="F72" s="1"/>
      <c r="G72" s="1"/>
      <c r="H72" s="1"/>
      <c r="I72" s="1"/>
    </row>
    <row r="73" spans="1:10" x14ac:dyDescent="0.3">
      <c r="A73" s="1" t="s">
        <v>61</v>
      </c>
      <c r="B73" s="1" t="s">
        <v>73</v>
      </c>
      <c r="C73" s="1"/>
      <c r="D73" s="1"/>
      <c r="E73" s="1"/>
      <c r="F73" s="1"/>
      <c r="G73" s="1"/>
      <c r="H73" s="1"/>
      <c r="I73" s="1"/>
    </row>
    <row r="74" spans="1:10" x14ac:dyDescent="0.3">
      <c r="A74" s="1" t="s">
        <v>62</v>
      </c>
      <c r="B74" s="1" t="s">
        <v>73</v>
      </c>
      <c r="C74" s="1"/>
      <c r="D74" s="1"/>
      <c r="E74" s="1"/>
      <c r="F74" s="1"/>
      <c r="G74" s="1"/>
      <c r="H74" s="1"/>
      <c r="I74" s="1"/>
    </row>
    <row r="75" spans="1:10" x14ac:dyDescent="0.3">
      <c r="A75" s="1" t="s">
        <v>63</v>
      </c>
      <c r="B75" s="1">
        <v>3800</v>
      </c>
      <c r="C75" s="1"/>
      <c r="D75" s="1"/>
      <c r="E75" s="1"/>
      <c r="F75" s="1"/>
      <c r="G75" s="1"/>
      <c r="H75" s="1"/>
      <c r="I75" s="1"/>
    </row>
    <row r="76" spans="1:10" x14ac:dyDescent="0.3">
      <c r="A76" s="1" t="s">
        <v>64</v>
      </c>
      <c r="B76" s="1">
        <v>5250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65</v>
      </c>
      <c r="B77" s="1" t="s">
        <v>73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66</v>
      </c>
      <c r="B78" s="1" t="s">
        <v>129</v>
      </c>
      <c r="C78" s="1"/>
      <c r="D78" s="1"/>
      <c r="E78" s="1"/>
      <c r="F78" s="1"/>
      <c r="G78" s="1"/>
      <c r="H78" s="1"/>
      <c r="I78" s="1"/>
    </row>
    <row r="79" spans="1:10" x14ac:dyDescent="0.3">
      <c r="A79" t="s">
        <v>131</v>
      </c>
      <c r="B79" t="s">
        <v>132</v>
      </c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2025-10-17T21:40:16Z</dcterms:modified>
</cp:coreProperties>
</file>