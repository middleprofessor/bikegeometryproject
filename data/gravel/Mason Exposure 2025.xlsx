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78D5187-7006-4D4A-9247-F5533164F730}" xr6:coauthVersionLast="47" xr6:coauthVersionMax="47" xr10:uidLastSave="{00000000-0000-0000-0000-000000000000}"/>
  <bookViews>
    <workbookView xWindow="1960" yWindow="500" windowWidth="204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J41" i="1"/>
  <c r="J40" i="1"/>
  <c r="I41" i="1" s="1"/>
  <c r="I40" i="1"/>
  <c r="H41" i="1" s="1"/>
  <c r="H40" i="1"/>
  <c r="G41" i="1" s="1"/>
  <c r="G40" i="1"/>
  <c r="F41" i="1" s="1"/>
  <c r="F40" i="1"/>
  <c r="E41" i="1" s="1"/>
  <c r="E40" i="1"/>
  <c r="D41" i="1" s="1"/>
  <c r="D40" i="1"/>
  <c r="C41" i="1" s="1"/>
</calcChain>
</file>

<file path=xl/sharedStrings.xml><?xml version="1.0" encoding="utf-8"?>
<sst xmlns="http://schemas.openxmlformats.org/spreadsheetml/2006/main" count="154" uniqueCount="149">
  <si>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</si>
  <si>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</si>
  <si>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</si>
  <si>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</si>
  <si>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</si>
  <si>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</si>
  <si>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</si>
  <si>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</si>
  <si>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</si>
  <si>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</si>
  <si>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</si>
  <si>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</si>
  <si>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</si>
  <si>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</si>
  <si>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</si>
  <si>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</si>
  <si>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</si>
  <si>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</si>
  <si>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</si>
  <si>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</si>
  <si>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</si>
  <si>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</si>
  <si>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</si>
  <si>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</si>
  <si>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</si>
  <si>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</si>
  <si>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</si>
  <si>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</si>
  <si>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</si>
  <si>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</si>
  <si>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</si>
  <si>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</si>
  <si>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</si>
  <si>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</si>
  <si>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</si>
  <si>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</si>
  <si>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</si>
  <si>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</si>
  <si>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</si>
  <si>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</si>
  <si>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</si>
  <si>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</si>
  <si>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</si>
  <si>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</si>
  <si>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</si>
  <si>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</si>
  <si>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</si>
  <si>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</si>
  <si>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</si>
  <si>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</si>
  <si>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</si>
  <si>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</si>
  <si>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</si>
  <si>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</si>
  <si>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</si>
  <si>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</si>
  <si>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</si>
  <si>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</si>
  <si>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</si>
  <si>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</si>
  <si>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</si>
  <si>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</si>
  <si>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</si>
  <si>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</si>
  <si>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</si>
  <si>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</si>
  <si>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</si>
  <si>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</si>
  <si>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</si>
  <si>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</si>
  <si>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</si>
  <si>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</si>
  <si>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</si>
  <si>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</si>
  <si>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</si>
  <si>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</si>
  <si>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</si>
  <si>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</si>
  <si>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</si>
  <si>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</si>
  <si>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</si>
  <si>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</si>
  <si>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</si>
  <si>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</si>
  <si>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</si>
  <si>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</si>
  <si>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</si>
  <si>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</si>
  <si>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</si>
  <si>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</si>
  <si>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</si>
  <si>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</si>
  <si>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</si>
  <si>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</si>
  <si>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</si>
  <si>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</si>
  <si>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</si>
  <si>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</si>
  <si>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</si>
  <si>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</si>
  <si>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</si>
  <si>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</si>
  <si>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</si>
  <si>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</si>
  <si>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</si>
  <si>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</si>
  <si>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</si>
  <si>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</si>
  <si>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</si>
  <si>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</si>
  <si>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</si>
  <si>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</si>
  <si>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</si>
  <si>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</si>
  <si>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</si>
  <si>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</si>
  <si>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</si>
  <si>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</si>
  <si>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</si>
  <si>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</si>
  <si>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</si>
  <si>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</si>
  <si>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https://masoncycles.cc/shop/categories/exposure-bikes</t>
  </si>
  <si>
    <t>TRAIL: 650 X 47</t>
  </si>
  <si>
    <t>TRAIL: 650 X 55</t>
  </si>
  <si>
    <t>TRAIL: 650 X 2.35"</t>
  </si>
  <si>
    <t>TRAIL: 700 X 35</t>
  </si>
  <si>
    <t>TRAIL: 700 X 50</t>
  </si>
  <si>
    <t>FRAME WEIGHT</t>
  </si>
  <si>
    <t>frame size</t>
  </si>
  <si>
    <t>trail_650_x_47</t>
  </si>
  <si>
    <t>trail_700_x_50</t>
  </si>
  <si>
    <t>trail_700_x_35</t>
  </si>
  <si>
    <t>trail_650_x_2.35</t>
  </si>
  <si>
    <t>trail_650_x_55</t>
  </si>
  <si>
    <t>Exposure</t>
  </si>
  <si>
    <t>steel</t>
  </si>
  <si>
    <t>a8:j43</t>
  </si>
  <si>
    <t>rear_axle_spec</t>
  </si>
  <si>
    <t>GBP</t>
  </si>
  <si>
    <t>https://masoncycles.cc/images/000/009/602/large/Exposure_Shimano_GRX1x12spd_OG_Side_Web.jpg?1746546507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</si>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</sst>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0"/>
  <sheetViews>
    <sheetView tabSelected="1" topLeftCell="A58" zoomScale="101" workbookViewId="0">
      <selection activeCell="A84" sqref="A84:B84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75</v>
      </c>
    </row>
    <row r="2" spans="1:19" x14ac:dyDescent="0.3">
      <c r="A2" t="s">
        <v>1</v>
      </c>
      <c r="B2" s="1" t="s">
        <v>135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122</v>
      </c>
    </row>
    <row r="6" spans="1:19" x14ac:dyDescent="0.3">
      <c r="B6" t="s">
        <v>140</v>
      </c>
    </row>
    <row r="7" spans="1:19" x14ac:dyDescent="0.3">
      <c r="A7" s="1" t="s">
        <v>5</v>
      </c>
      <c r="B7" s="1" t="s">
        <v>137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4" t="s">
        <v>129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 t="s">
        <v>81</v>
      </c>
      <c r="I8" s="4" t="s">
        <v>82</v>
      </c>
      <c r="J8" s="4" t="s">
        <v>83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115</v>
      </c>
      <c r="B9" s="5" t="s">
        <v>84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85</v>
      </c>
      <c r="C10" s="6">
        <v>432.3</v>
      </c>
      <c r="D10" s="6">
        <v>452.5</v>
      </c>
      <c r="E10" s="6">
        <v>472.7</v>
      </c>
      <c r="F10" s="6">
        <v>493.5</v>
      </c>
      <c r="G10" s="6">
        <v>513.4</v>
      </c>
      <c r="H10" s="6">
        <v>533.70000000000005</v>
      </c>
      <c r="I10" s="6">
        <v>553.6</v>
      </c>
      <c r="J10" s="6">
        <v>573.9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86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87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88</v>
      </c>
      <c r="C13" s="6">
        <v>515.9</v>
      </c>
      <c r="D13" s="6">
        <v>520</v>
      </c>
      <c r="E13" s="6">
        <v>535</v>
      </c>
      <c r="F13" s="6">
        <v>553.29999999999995</v>
      </c>
      <c r="G13" s="6">
        <v>561.5</v>
      </c>
      <c r="H13" s="6">
        <v>584.20000000000005</v>
      </c>
      <c r="I13" s="6">
        <v>594.6</v>
      </c>
      <c r="J13" s="6">
        <v>607.29999999999995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116</v>
      </c>
      <c r="B14" s="5" t="s">
        <v>89</v>
      </c>
      <c r="C14" s="6">
        <v>497.8</v>
      </c>
      <c r="D14" s="6">
        <v>502.4</v>
      </c>
      <c r="E14" s="6">
        <v>517.6</v>
      </c>
      <c r="F14" s="6">
        <v>534.9</v>
      </c>
      <c r="G14" s="6">
        <v>544</v>
      </c>
      <c r="H14" s="6">
        <v>566.79999999999995</v>
      </c>
      <c r="I14" s="6">
        <v>576.20000000000005</v>
      </c>
      <c r="J14" s="6">
        <v>589.29999999999995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90</v>
      </c>
      <c r="C15" s="6">
        <v>536.1</v>
      </c>
      <c r="D15" s="6">
        <v>550.20000000000005</v>
      </c>
      <c r="E15" s="6">
        <v>566.20000000000005</v>
      </c>
      <c r="F15" s="6">
        <v>578.29999999999995</v>
      </c>
      <c r="G15" s="6">
        <v>589.79999999999995</v>
      </c>
      <c r="H15" s="6">
        <v>604</v>
      </c>
      <c r="I15" s="6">
        <v>627.70000000000005</v>
      </c>
      <c r="J15" s="6">
        <v>644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91</v>
      </c>
      <c r="C16" s="6">
        <v>359.9</v>
      </c>
      <c r="D16" s="6">
        <v>360</v>
      </c>
      <c r="E16" s="6">
        <v>370.6</v>
      </c>
      <c r="F16" s="6">
        <v>375</v>
      </c>
      <c r="G16" s="6">
        <v>379.9</v>
      </c>
      <c r="H16" s="6">
        <v>392.9</v>
      </c>
      <c r="I16" s="6">
        <v>395.9</v>
      </c>
      <c r="J16" s="6">
        <v>403.6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92</v>
      </c>
      <c r="C17" s="6">
        <v>721</v>
      </c>
      <c r="D17" s="6">
        <v>747</v>
      </c>
      <c r="E17" s="6">
        <v>767</v>
      </c>
      <c r="F17" s="6">
        <v>787</v>
      </c>
      <c r="G17" s="6">
        <v>803</v>
      </c>
      <c r="H17" s="6">
        <v>822</v>
      </c>
      <c r="I17" s="6">
        <v>844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93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117</v>
      </c>
      <c r="B19" s="5" t="s">
        <v>94</v>
      </c>
      <c r="C19" s="6">
        <v>74.7</v>
      </c>
      <c r="D19" s="6">
        <v>74.7</v>
      </c>
      <c r="E19" s="6">
        <v>71.5</v>
      </c>
      <c r="F19" s="6">
        <v>71.5</v>
      </c>
      <c r="G19" s="6">
        <v>68.2</v>
      </c>
      <c r="H19" s="6">
        <v>65.099999999999994</v>
      </c>
      <c r="I19" s="6">
        <v>65.099999999999994</v>
      </c>
      <c r="J19" s="6">
        <v>61.9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130</v>
      </c>
      <c r="B20" s="5" t="s">
        <v>123</v>
      </c>
      <c r="C20" s="6">
        <v>74.7</v>
      </c>
      <c r="D20" s="6">
        <v>74.7</v>
      </c>
      <c r="E20" s="6">
        <v>71.5</v>
      </c>
      <c r="F20" s="6">
        <v>71.5</v>
      </c>
      <c r="G20" s="6">
        <v>68.2</v>
      </c>
      <c r="H20" s="6">
        <v>65.099999999999994</v>
      </c>
      <c r="I20" s="6">
        <v>65.099999999999994</v>
      </c>
      <c r="J20" s="6">
        <v>61.9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134</v>
      </c>
      <c r="B21" s="5" t="s">
        <v>124</v>
      </c>
      <c r="C21" s="6"/>
      <c r="D21" s="6">
        <v>77.7</v>
      </c>
      <c r="E21" s="6">
        <v>74.400000000000006</v>
      </c>
      <c r="F21" s="6">
        <v>74.400000000000006</v>
      </c>
      <c r="G21" s="6">
        <v>71.099999999999994</v>
      </c>
      <c r="H21" s="6">
        <v>67.8</v>
      </c>
      <c r="I21" s="6">
        <v>67.8</v>
      </c>
      <c r="J21" s="6">
        <v>64.599999999999994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133</v>
      </c>
      <c r="B22" s="5" t="s">
        <v>125</v>
      </c>
      <c r="C22" s="6"/>
      <c r="D22" s="6">
        <v>79.900000000000006</v>
      </c>
      <c r="E22" s="6">
        <v>76.5</v>
      </c>
      <c r="F22" s="6">
        <v>76.5</v>
      </c>
      <c r="G22" s="6">
        <v>73.2</v>
      </c>
      <c r="H22" s="6">
        <v>69.900000000000006</v>
      </c>
      <c r="I22" s="6">
        <v>69.900000000000006</v>
      </c>
      <c r="J22" s="6">
        <v>66.599999999999994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132</v>
      </c>
      <c r="B23" s="5" t="s">
        <v>126</v>
      </c>
      <c r="C23" s="6">
        <v>77.099999999999994</v>
      </c>
      <c r="D23" s="6">
        <v>77.099999999999994</v>
      </c>
      <c r="E23" s="6">
        <v>73.8</v>
      </c>
      <c r="F23" s="6">
        <v>73.8</v>
      </c>
      <c r="G23" s="6">
        <v>70.5</v>
      </c>
      <c r="H23" s="6">
        <v>67.3</v>
      </c>
      <c r="I23" s="6">
        <v>67.3</v>
      </c>
      <c r="J23" s="6">
        <v>64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131</v>
      </c>
      <c r="B24" s="5" t="s">
        <v>127</v>
      </c>
      <c r="C24" s="6"/>
      <c r="D24" s="6">
        <v>82.2</v>
      </c>
      <c r="E24" s="6">
        <v>78.7</v>
      </c>
      <c r="F24" s="6">
        <v>78.7</v>
      </c>
      <c r="G24" s="6">
        <v>75.3</v>
      </c>
      <c r="H24" s="6">
        <v>71.900000000000006</v>
      </c>
      <c r="I24" s="6">
        <v>71.900000000000006</v>
      </c>
      <c r="J24" s="6">
        <v>68.599999999999994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15</v>
      </c>
      <c r="B25" s="5" t="s">
        <v>95</v>
      </c>
      <c r="C25" s="6">
        <v>398</v>
      </c>
      <c r="D25" s="6">
        <v>398</v>
      </c>
      <c r="E25" s="6">
        <v>398</v>
      </c>
      <c r="F25" s="6">
        <v>398</v>
      </c>
      <c r="G25" s="6">
        <v>398</v>
      </c>
      <c r="H25" s="6">
        <v>398</v>
      </c>
      <c r="I25" s="6">
        <v>398</v>
      </c>
      <c r="J25" s="6">
        <v>398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11</v>
      </c>
      <c r="B26" s="5" t="s">
        <v>96</v>
      </c>
      <c r="C26" s="6">
        <v>69.5</v>
      </c>
      <c r="D26" s="6">
        <v>69.5</v>
      </c>
      <c r="E26" s="6">
        <v>70</v>
      </c>
      <c r="F26" s="6">
        <v>70</v>
      </c>
      <c r="G26" s="6">
        <v>70.5</v>
      </c>
      <c r="H26" s="6">
        <v>71</v>
      </c>
      <c r="I26" s="6">
        <v>71</v>
      </c>
      <c r="J26" s="6">
        <v>71.5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9</v>
      </c>
      <c r="B27" s="5" t="s">
        <v>97</v>
      </c>
      <c r="C27" s="6">
        <v>100</v>
      </c>
      <c r="D27" s="6">
        <v>115</v>
      </c>
      <c r="E27" s="6">
        <v>130</v>
      </c>
      <c r="F27" s="6">
        <v>145</v>
      </c>
      <c r="G27" s="6">
        <v>155</v>
      </c>
      <c r="H27" s="6">
        <v>170</v>
      </c>
      <c r="I27" s="6">
        <v>195</v>
      </c>
      <c r="J27" s="6">
        <v>210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10</v>
      </c>
      <c r="B28" s="5" t="s">
        <v>98</v>
      </c>
      <c r="C28" s="6">
        <v>74</v>
      </c>
      <c r="D28" s="6">
        <v>74</v>
      </c>
      <c r="E28" s="6">
        <v>74</v>
      </c>
      <c r="F28" s="6">
        <v>73</v>
      </c>
      <c r="G28" s="6">
        <v>73</v>
      </c>
      <c r="H28" s="6">
        <v>72.5</v>
      </c>
      <c r="I28" s="6">
        <v>72.5</v>
      </c>
      <c r="J28" s="6">
        <v>72.5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13</v>
      </c>
      <c r="B29" s="5" t="s">
        <v>99</v>
      </c>
      <c r="C29" s="6">
        <v>1013</v>
      </c>
      <c r="D29" s="6">
        <v>1018.4</v>
      </c>
      <c r="E29" s="6">
        <v>1030</v>
      </c>
      <c r="F29" s="6">
        <v>1039.9000000000001</v>
      </c>
      <c r="G29" s="6">
        <v>1043.2</v>
      </c>
      <c r="H29" s="6">
        <v>1057.5</v>
      </c>
      <c r="I29" s="6">
        <v>1068.5</v>
      </c>
      <c r="J29" s="6">
        <v>1076.2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19</v>
      </c>
      <c r="B30" s="5" t="s">
        <v>100</v>
      </c>
      <c r="C30" s="6">
        <v>40</v>
      </c>
      <c r="D30" s="6">
        <v>40</v>
      </c>
      <c r="E30" s="6">
        <v>42</v>
      </c>
      <c r="F30" s="6">
        <v>44</v>
      </c>
      <c r="G30" s="6">
        <v>44</v>
      </c>
      <c r="H30" s="6">
        <v>46</v>
      </c>
      <c r="I30" s="6">
        <v>46</v>
      </c>
      <c r="J30" s="6">
        <v>46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73</v>
      </c>
      <c r="B31" s="5" t="s">
        <v>101</v>
      </c>
      <c r="C31" s="6">
        <v>590</v>
      </c>
      <c r="D31" s="6">
        <v>595.29999999999995</v>
      </c>
      <c r="E31" s="6">
        <v>606.79999999999995</v>
      </c>
      <c r="F31" s="6">
        <v>616</v>
      </c>
      <c r="G31" s="6">
        <v>619.5</v>
      </c>
      <c r="H31" s="6">
        <v>632.9</v>
      </c>
      <c r="I31" s="6">
        <v>643.9</v>
      </c>
      <c r="J31" s="6">
        <v>651.5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138</v>
      </c>
      <c r="B32" s="5" t="s">
        <v>102</v>
      </c>
      <c r="C32" s="6">
        <v>142</v>
      </c>
      <c r="D32" s="6">
        <v>142</v>
      </c>
      <c r="E32" s="6">
        <v>142</v>
      </c>
      <c r="F32" s="6">
        <v>142</v>
      </c>
      <c r="G32" s="6">
        <v>142</v>
      </c>
      <c r="H32" s="6">
        <v>142</v>
      </c>
      <c r="I32" s="6">
        <v>142</v>
      </c>
      <c r="J32" s="6">
        <v>142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22</v>
      </c>
      <c r="B33" s="5" t="s">
        <v>128</v>
      </c>
      <c r="C33" s="6"/>
      <c r="D33" s="6"/>
      <c r="E33" s="6"/>
      <c r="F33" s="6">
        <v>2400</v>
      </c>
      <c r="G33" s="6"/>
      <c r="H33" s="6"/>
      <c r="I33" s="6"/>
      <c r="J33" s="6"/>
    </row>
    <row r="34" spans="1:11" x14ac:dyDescent="0.3">
      <c r="A34" s="1" t="s">
        <v>118</v>
      </c>
      <c r="B34" s="5" t="s">
        <v>103</v>
      </c>
      <c r="C34" s="6">
        <v>515</v>
      </c>
      <c r="D34" s="6">
        <v>515</v>
      </c>
      <c r="E34" s="6">
        <v>515</v>
      </c>
      <c r="F34" s="6">
        <v>515</v>
      </c>
      <c r="G34" s="6">
        <v>515</v>
      </c>
      <c r="H34" s="6">
        <v>515</v>
      </c>
      <c r="I34" s="6">
        <v>515</v>
      </c>
      <c r="J34" s="6">
        <v>515</v>
      </c>
    </row>
    <row r="35" spans="1:11" x14ac:dyDescent="0.3">
      <c r="A35" s="1" t="s">
        <v>18</v>
      </c>
      <c r="B35" s="5" t="s">
        <v>113</v>
      </c>
      <c r="C35" s="6">
        <v>70</v>
      </c>
      <c r="D35" s="6">
        <v>80</v>
      </c>
      <c r="E35" s="6">
        <v>90</v>
      </c>
      <c r="F35" s="6">
        <v>90</v>
      </c>
      <c r="G35" s="6">
        <v>100</v>
      </c>
      <c r="H35" s="6">
        <v>100</v>
      </c>
      <c r="I35" s="6">
        <v>110</v>
      </c>
      <c r="J35" s="6">
        <v>110</v>
      </c>
    </row>
    <row r="36" spans="1:11" x14ac:dyDescent="0.3">
      <c r="A36" s="1" t="s">
        <v>17</v>
      </c>
      <c r="B36" s="5" t="s">
        <v>114</v>
      </c>
      <c r="C36" s="6">
        <v>165</v>
      </c>
      <c r="D36" s="6">
        <v>165</v>
      </c>
      <c r="E36" s="6">
        <v>170</v>
      </c>
      <c r="F36" s="6">
        <v>170</v>
      </c>
      <c r="G36" s="6">
        <v>172.5</v>
      </c>
      <c r="H36" s="6">
        <v>172.5</v>
      </c>
      <c r="I36" s="6">
        <v>175</v>
      </c>
      <c r="J36" s="6">
        <v>175</v>
      </c>
    </row>
    <row r="37" spans="1:11" x14ac:dyDescent="0.3">
      <c r="A37" s="1" t="s">
        <v>23</v>
      </c>
      <c r="C37" s="6">
        <v>650</v>
      </c>
      <c r="D37" s="6">
        <v>700</v>
      </c>
      <c r="E37" s="6">
        <v>700</v>
      </c>
      <c r="F37" s="6">
        <v>700</v>
      </c>
      <c r="G37" s="6">
        <v>700</v>
      </c>
      <c r="H37" s="6">
        <v>700</v>
      </c>
      <c r="I37" s="6">
        <v>700</v>
      </c>
      <c r="J37" s="6">
        <v>700</v>
      </c>
    </row>
    <row r="38" spans="1:11" x14ac:dyDescent="0.3">
      <c r="A38" s="1" t="s">
        <v>24</v>
      </c>
      <c r="B38" s="5"/>
      <c r="C38" s="6">
        <v>47</v>
      </c>
      <c r="D38" s="6">
        <v>50</v>
      </c>
      <c r="E38" s="6">
        <v>50</v>
      </c>
      <c r="F38" s="6">
        <v>50</v>
      </c>
      <c r="G38" s="6">
        <v>50</v>
      </c>
      <c r="H38" s="6">
        <v>50</v>
      </c>
      <c r="I38" s="6">
        <v>50</v>
      </c>
      <c r="J38" s="6">
        <v>50</v>
      </c>
    </row>
    <row r="39" spans="1:11" x14ac:dyDescent="0.3">
      <c r="A39" s="1" t="s">
        <v>25</v>
      </c>
      <c r="B39" s="5"/>
      <c r="C39" s="6">
        <v>47</v>
      </c>
      <c r="D39" s="6">
        <v>50</v>
      </c>
      <c r="E39" s="6">
        <v>50</v>
      </c>
      <c r="F39" s="6">
        <v>50</v>
      </c>
      <c r="G39" s="6">
        <v>50</v>
      </c>
      <c r="H39" s="6">
        <v>50</v>
      </c>
      <c r="I39" s="6">
        <v>50</v>
      </c>
      <c r="J39" s="6">
        <v>50</v>
      </c>
    </row>
    <row r="40" spans="1:11" x14ac:dyDescent="0.3">
      <c r="A40" s="1" t="s">
        <v>27</v>
      </c>
      <c r="B40" s="5"/>
      <c r="C40" s="1">
        <f>C42</f>
        <v>151</v>
      </c>
      <c r="D40" s="1">
        <f>AVERAGE(D42,C43)</f>
        <v>158.5</v>
      </c>
      <c r="E40" s="1">
        <f t="shared" ref="E40:I40" si="0">AVERAGE(E42,D43)</f>
        <v>165.5</v>
      </c>
      <c r="F40" s="1">
        <f t="shared" si="0"/>
        <v>171</v>
      </c>
      <c r="G40" s="1">
        <f t="shared" si="0"/>
        <v>177.5</v>
      </c>
      <c r="H40" s="1">
        <f t="shared" si="0"/>
        <v>182.5</v>
      </c>
      <c r="I40" s="1">
        <f t="shared" si="0"/>
        <v>186.5</v>
      </c>
      <c r="J40" s="1">
        <f>AVERAGE(J42,I43)</f>
        <v>190.5</v>
      </c>
    </row>
    <row r="41" spans="1:11" x14ac:dyDescent="0.3">
      <c r="A41" s="1" t="s">
        <v>28</v>
      </c>
      <c r="B41" s="5"/>
      <c r="C41">
        <f>D40</f>
        <v>158.5</v>
      </c>
      <c r="D41">
        <f t="shared" ref="D41:I41" si="1">E40</f>
        <v>165.5</v>
      </c>
      <c r="E41">
        <f t="shared" si="1"/>
        <v>171</v>
      </c>
      <c r="F41">
        <f t="shared" si="1"/>
        <v>177.5</v>
      </c>
      <c r="G41">
        <f t="shared" si="1"/>
        <v>182.5</v>
      </c>
      <c r="H41">
        <f t="shared" si="1"/>
        <v>186.5</v>
      </c>
      <c r="I41">
        <f t="shared" si="1"/>
        <v>190.5</v>
      </c>
      <c r="J41" s="1">
        <f>J43</f>
        <v>198</v>
      </c>
    </row>
    <row r="42" spans="1:11" x14ac:dyDescent="0.3">
      <c r="A42" s="1" t="s">
        <v>119</v>
      </c>
      <c r="B42" s="5"/>
      <c r="C42">
        <v>151</v>
      </c>
      <c r="D42">
        <v>157</v>
      </c>
      <c r="E42">
        <v>163</v>
      </c>
      <c r="F42">
        <v>170</v>
      </c>
      <c r="G42">
        <v>175</v>
      </c>
      <c r="H42">
        <v>180</v>
      </c>
      <c r="I42">
        <v>185</v>
      </c>
      <c r="J42" s="3">
        <v>188</v>
      </c>
    </row>
    <row r="43" spans="1:11" x14ac:dyDescent="0.3">
      <c r="A43" s="1" t="s">
        <v>120</v>
      </c>
      <c r="B43" s="5"/>
      <c r="C43">
        <v>160</v>
      </c>
      <c r="D43">
        <v>168</v>
      </c>
      <c r="E43">
        <v>172</v>
      </c>
      <c r="F43">
        <v>180</v>
      </c>
      <c r="G43">
        <v>185</v>
      </c>
      <c r="H43">
        <v>188</v>
      </c>
      <c r="I43">
        <v>193</v>
      </c>
      <c r="J43" s="1">
        <v>198</v>
      </c>
    </row>
    <row r="44" spans="1:1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29</v>
      </c>
      <c r="B45" s="1" t="s">
        <v>30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66</v>
      </c>
      <c r="B46" s="1" t="s">
        <v>67</v>
      </c>
      <c r="C46" s="6" t="s">
        <v>105</v>
      </c>
      <c r="D46" s="6" t="s">
        <v>106</v>
      </c>
      <c r="E46" s="6" t="s">
        <v>107</v>
      </c>
      <c r="F46" s="6" t="s">
        <v>108</v>
      </c>
      <c r="G46" s="6" t="s">
        <v>109</v>
      </c>
      <c r="H46" s="6" t="s">
        <v>110</v>
      </c>
      <c r="I46" s="6" t="s">
        <v>111</v>
      </c>
      <c r="J46" s="6" t="s">
        <v>112</v>
      </c>
      <c r="K46" s="5" t="s">
        <v>104</v>
      </c>
    </row>
    <row r="47" spans="1:11" x14ac:dyDescent="0.3">
      <c r="A47" s="1" t="s">
        <v>68</v>
      </c>
      <c r="B47" s="1" t="s">
        <v>69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70</v>
      </c>
      <c r="B48" s="1" t="s">
        <v>71</v>
      </c>
      <c r="C48" s="3"/>
      <c r="D48" s="3"/>
      <c r="E48" s="3"/>
      <c r="F48" s="3"/>
      <c r="G48" s="3"/>
      <c r="H48" s="3"/>
      <c r="I48" s="3"/>
      <c r="J48" s="1"/>
    </row>
    <row r="49" spans="1:10" x14ac:dyDescent="0.3">
      <c r="A49" s="1" t="s">
        <v>31</v>
      </c>
      <c r="B49" s="1" t="s">
        <v>136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32</v>
      </c>
      <c r="B50" s="1" t="s">
        <v>72</v>
      </c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33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34</v>
      </c>
      <c r="B52" s="1">
        <v>50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35</v>
      </c>
      <c r="B53" s="1">
        <v>2.35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36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37</v>
      </c>
      <c r="B55" s="1"/>
      <c r="C55" s="1"/>
      <c r="D55" s="1"/>
      <c r="E55" s="3"/>
      <c r="F55" s="3"/>
      <c r="G55" s="3"/>
      <c r="H55" s="3"/>
      <c r="I55" s="3"/>
      <c r="J55" s="1"/>
    </row>
    <row r="56" spans="1:10" x14ac:dyDescent="0.3">
      <c r="A56" s="1" t="s">
        <v>38</v>
      </c>
      <c r="B56" s="1"/>
      <c r="C56" s="3"/>
      <c r="D56" s="3"/>
      <c r="E56" s="1"/>
      <c r="F56" s="1"/>
      <c r="G56" s="1"/>
      <c r="H56" s="1"/>
      <c r="I56" s="1"/>
      <c r="J56" s="1"/>
    </row>
    <row r="57" spans="1:10" x14ac:dyDescent="0.3">
      <c r="A57" s="1" t="s">
        <v>39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40</v>
      </c>
      <c r="B58" s="1">
        <v>142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41</v>
      </c>
      <c r="B59" s="1">
        <v>100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143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144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145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146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147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148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42</v>
      </c>
      <c r="B66" s="1" t="s">
        <v>74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43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44</v>
      </c>
      <c r="B68" s="1">
        <v>27.2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45</v>
      </c>
      <c r="B69" s="1" t="s">
        <v>72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46</v>
      </c>
      <c r="B70" s="1">
        <v>40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47</v>
      </c>
      <c r="B71" s="1" t="s">
        <v>121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48</v>
      </c>
      <c r="B72" s="1">
        <v>180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49</v>
      </c>
      <c r="B73" s="1">
        <v>160</v>
      </c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50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51</v>
      </c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52</v>
      </c>
      <c r="B76" s="1"/>
      <c r="C76" s="1"/>
      <c r="D76" s="1"/>
      <c r="E76" s="1"/>
      <c r="F76" s="1"/>
      <c r="G76" s="1"/>
      <c r="H76" s="1"/>
      <c r="I76" s="1"/>
      <c r="J76" s="1"/>
    </row>
    <row r="77" spans="1:10" x14ac:dyDescent="0.3">
      <c r="A77" s="1" t="s">
        <v>53</v>
      </c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54</v>
      </c>
      <c r="B78" s="1"/>
      <c r="C78" s="1"/>
      <c r="D78" s="1"/>
      <c r="E78" s="1"/>
      <c r="F78" s="1"/>
      <c r="G78" s="1"/>
      <c r="H78" s="1"/>
      <c r="I78" s="1"/>
      <c r="J78" s="1"/>
    </row>
    <row r="79" spans="1:10" x14ac:dyDescent="0.3">
      <c r="A79" s="1" t="s">
        <v>55</v>
      </c>
      <c r="B79" s="1">
        <v>2</v>
      </c>
      <c r="C79" s="1"/>
      <c r="D79" s="1"/>
      <c r="E79" s="1"/>
      <c r="F79" s="1"/>
      <c r="G79" s="1"/>
      <c r="H79" s="1"/>
      <c r="I79" s="1"/>
      <c r="J79" s="1"/>
    </row>
    <row r="80" spans="1:10" x14ac:dyDescent="0.3">
      <c r="A80" s="1" t="s">
        <v>56</v>
      </c>
      <c r="B80" s="1">
        <v>1</v>
      </c>
      <c r="C80" s="1"/>
      <c r="D80" s="1"/>
      <c r="E80" s="1"/>
      <c r="F80" s="1"/>
      <c r="G80" s="1"/>
      <c r="H80" s="1"/>
      <c r="I80" s="1"/>
      <c r="J80" s="1"/>
    </row>
    <row r="81" spans="1:10" x14ac:dyDescent="0.3">
      <c r="A81" s="1" t="s">
        <v>57</v>
      </c>
      <c r="B81" s="1" t="s">
        <v>72</v>
      </c>
      <c r="C81" s="1"/>
      <c r="D81" s="1"/>
      <c r="E81" s="1"/>
      <c r="F81" s="1"/>
      <c r="G81" s="1"/>
      <c r="H81" s="1"/>
      <c r="I81" s="1"/>
      <c r="J81" s="1"/>
    </row>
    <row r="82" spans="1:10" x14ac:dyDescent="0.3">
      <c r="A82" s="1" t="s">
        <v>58</v>
      </c>
      <c r="B82" s="1">
        <v>3</v>
      </c>
      <c r="C82" s="1"/>
      <c r="D82" s="1"/>
      <c r="E82" s="1"/>
      <c r="F82" s="1"/>
      <c r="G82" s="1"/>
      <c r="H82" s="1"/>
      <c r="I82" s="1"/>
    </row>
    <row r="83" spans="1:10" x14ac:dyDescent="0.3">
      <c r="A83" s="1" t="s">
        <v>59</v>
      </c>
      <c r="B83" s="1" t="s">
        <v>72</v>
      </c>
      <c r="C83" s="1"/>
      <c r="D83" s="1"/>
      <c r="E83" s="1"/>
      <c r="F83" s="1"/>
      <c r="G83" s="1"/>
      <c r="H83" s="1"/>
      <c r="I83" s="1"/>
    </row>
    <row r="84" spans="1:10" x14ac:dyDescent="0.3">
      <c r="A84" s="1" t="s">
        <v>60</v>
      </c>
      <c r="B84" s="1" t="s">
        <v>72</v>
      </c>
      <c r="C84" s="1"/>
      <c r="D84" s="1"/>
      <c r="E84" s="1"/>
      <c r="F84" s="1"/>
      <c r="G84" s="1"/>
      <c r="H84" s="1"/>
      <c r="I84" s="1"/>
    </row>
    <row r="85" spans="1:10" x14ac:dyDescent="0.3">
      <c r="A85" s="1" t="s">
        <v>61</v>
      </c>
      <c r="B85" s="1" t="s">
        <v>72</v>
      </c>
      <c r="C85" s="1"/>
      <c r="D85" s="1"/>
      <c r="E85" s="1"/>
      <c r="F85" s="1"/>
      <c r="G85" s="1"/>
      <c r="H85" s="1"/>
      <c r="I85" s="1"/>
    </row>
    <row r="86" spans="1:10" x14ac:dyDescent="0.3">
      <c r="A86" s="1" t="s">
        <v>62</v>
      </c>
      <c r="B86" s="1">
        <v>2150</v>
      </c>
      <c r="C86" s="1"/>
      <c r="D86" s="1"/>
      <c r="E86" s="1"/>
      <c r="F86" s="1"/>
      <c r="G86" s="1"/>
      <c r="H86" s="1"/>
      <c r="I86" s="1"/>
    </row>
    <row r="87" spans="1:10" x14ac:dyDescent="0.3">
      <c r="A87" s="1" t="s">
        <v>63</v>
      </c>
      <c r="B87" s="1">
        <v>3750</v>
      </c>
      <c r="C87" s="1"/>
      <c r="D87" s="1"/>
      <c r="E87" s="1"/>
      <c r="F87" s="1"/>
      <c r="G87" s="1"/>
      <c r="H87" s="1"/>
      <c r="I87" s="1"/>
    </row>
    <row r="88" spans="1:10" x14ac:dyDescent="0.3">
      <c r="A88" s="1" t="s">
        <v>64</v>
      </c>
      <c r="B88" s="1"/>
      <c r="C88" s="1"/>
      <c r="D88" s="1"/>
      <c r="E88" s="1"/>
      <c r="F88" s="1"/>
      <c r="G88" s="1"/>
      <c r="H88" s="1"/>
      <c r="I88" s="1"/>
    </row>
    <row r="89" spans="1:10" x14ac:dyDescent="0.3">
      <c r="A89" s="1" t="s">
        <v>65</v>
      </c>
      <c r="B89" s="1" t="s">
        <v>139</v>
      </c>
      <c r="C89" s="1"/>
      <c r="D89" s="1"/>
      <c r="E89" s="1"/>
      <c r="F89" s="1"/>
      <c r="G89" s="1"/>
      <c r="H89" s="1"/>
      <c r="I89" s="1"/>
    </row>
    <row r="90" spans="1:10" x14ac:dyDescent="0.3">
      <c r="A90" t="s">
        <v>141</v>
      </c>
      <c r="B90" t="s">
        <v>142</v>
      </c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2025-11-07T14:44:28Z</dcterms:modified>
</cp:coreProperties>
</file>