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B118B07-5395-174F-A726-69E44D1EF037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E29" i="1"/>
  <c r="F29" i="1"/>
  <c r="C29" i="1"/>
  <c r="C30" i="1"/>
  <c r="D30" i="1"/>
  <c r="E30" i="1"/>
  <c r="F30" i="1"/>
  <c r="B41" i="1"/>
  <c r="D10" i="1"/>
  <c r="E10" i="1"/>
  <c r="F10" i="1"/>
  <c r="C10" i="1"/>
  <c r="E31" i="1"/>
  <c r="D32" i="1" s="1"/>
  <c r="F31" i="1"/>
  <c r="E32" i="1" s="1"/>
  <c r="D31" i="1"/>
  <c r="C32" i="1" s="1"/>
  <c r="F32" i="1"/>
  <c r="C31" i="1"/>
</calcChain>
</file>

<file path=xl/sharedStrings.xml><?xml version="1.0" encoding="utf-8"?>
<sst xmlns="http://schemas.openxmlformats.org/spreadsheetml/2006/main" count="127" uniqueCount="122">
  <si>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</si>
  <si>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</si>
  <si>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</si>
  <si>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</si>
  <si>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</si>
  <si>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</si>
  <si>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</si>
  <si>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</si>
  <si>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</si>
  <si>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</si>
  <si>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</si>
  <si>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</si>
  <si>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</si>
  <si>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</si>
  <si>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</si>
  <si>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</si>
  <si>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</si>
  <si>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</si>
  <si>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</si>
  <si>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</si>
  <si>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</si>
  <si>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</si>
  <si>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</si>
  <si>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</si>
  <si>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</si>
  <si>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</si>
  <si>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</si>
  <si>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</si>
  <si>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</si>
  <si>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</si>
  <si>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</si>
  <si>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</si>
  <si>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</si>
  <si>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</si>
  <si>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</si>
  <si>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</si>
  <si>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</si>
  <si>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</si>
  <si>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</si>
  <si>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</si>
  <si>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</si>
  <si>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</si>
  <si>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</si>
  <si>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</si>
  <si>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</si>
  <si>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</si>
  <si>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</si>
  <si>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</si>
  <si>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</si>
  <si>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</si>
  <si>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</si>
  <si>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</si>
  <si>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</si>
  <si>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</si>
  <si>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</si>
  <si>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</si>
  <si>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</si>
  <si>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</si>
  <si>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</si>
  <si>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</si>
  <si>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</si>
  <si>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</si>
  <si>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</si>
  <si>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</si>
  <si>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</si>
  <si>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</si>
  <si>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</si>
  <si>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</si>
  <si>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</si>
  <si>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</si>
  <si>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hardtail</t>
  </si>
  <si>
    <t>handlebar</t>
  </si>
  <si>
    <t>fork</t>
  </si>
  <si>
    <t>Reach</t>
  </si>
  <si>
    <t>Stack</t>
  </si>
  <si>
    <t>Fork Offset</t>
  </si>
  <si>
    <t>Fork Length</t>
  </si>
  <si>
    <t>Wheelbase</t>
  </si>
  <si>
    <t>frame_weight</t>
  </si>
  <si>
    <t>rigid</t>
  </si>
  <si>
    <t>threaded</t>
  </si>
  <si>
    <t>no</t>
  </si>
  <si>
    <t>Tumbleweed</t>
  </si>
  <si>
    <t>Prospector</t>
  </si>
  <si>
    <t>Frame Geometry</t>
  </si>
  <si>
    <t>Small</t>
  </si>
  <si>
    <t>Medium</t>
  </si>
  <si>
    <t>Large</t>
  </si>
  <si>
    <t>Extra Large</t>
  </si>
  <si>
    <t>Effective Top Tube Length</t>
  </si>
  <si>
    <t>Seat Tube Length</t>
  </si>
  <si>
    <t>Head Tube Angle</t>
  </si>
  <si>
    <t>Seat Tube Angle</t>
  </si>
  <si>
    <t>Bottom Bracket Drop*</t>
  </si>
  <si>
    <t>Chainstay Length*</t>
  </si>
  <si>
    <t>Head Tube Length</t>
  </si>
  <si>
    <t>Standover**</t>
  </si>
  <si>
    <t>63-69cm</t>
  </si>
  <si>
    <t>68-73cm</t>
  </si>
  <si>
    <t>74-81cm</t>
  </si>
  <si>
    <t>80-88cm</t>
  </si>
  <si>
    <t>https://tumbleweed.cc/collections/bikes/products/prospector</t>
  </si>
  <si>
    <t>Recoended Rider Height</t>
  </si>
  <si>
    <t>5'2-5'7</t>
  </si>
  <si>
    <t>5'6-5'10</t>
  </si>
  <si>
    <t>5'10-6'2</t>
  </si>
  <si>
    <t>6'1-6'7</t>
  </si>
  <si>
    <t>Recoended Rider Saddle Height</t>
  </si>
  <si>
    <t>flat bar</t>
  </si>
  <si>
    <t>steel</t>
  </si>
  <si>
    <t>a8:f32</t>
  </si>
  <si>
    <t>https://tumbleweed.cc/cdn/shop/files/pros-award_23a5939b-1eba-42bb-babf-7ffab42be634.jpg?v=1756404856&amp;width=1000</t>
  </si>
  <si>
    <t>location</t>
  </si>
  <si>
    <t>Garden City, Idaho, USA</t>
  </si>
  <si>
    <t>USD</t>
  </si>
  <si>
    <t>internal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</si>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</sst>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i/>
      <sz val="16"/>
      <color rgb="FF396D87"/>
      <name val="Inherit"/>
    </font>
    <font>
      <b/>
      <sz val="15"/>
      <color rgb="FF1B1B1B"/>
      <name val="Arial"/>
      <family val="2"/>
    </font>
    <font>
      <i/>
      <sz val="15"/>
      <color rgb="FF444444"/>
      <name val="Arial"/>
      <family val="2"/>
    </font>
    <font>
      <sz val="15"/>
      <color rgb="FF1B1B1B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9"/>
  <sheetViews>
    <sheetView tabSelected="1" topLeftCell="A51" workbookViewId="0">
      <selection activeCell="B59" sqref="B59"/>
    </sheetView>
  </sheetViews>
  <sheetFormatPr baseColWidth="10" defaultRowHeight="20"/>
  <cols>
    <col min="1" max="2" width="19.6640625" customWidth="1"/>
  </cols>
  <sheetData>
    <row r="1" spans="1:11">
      <c r="A1" t="s">
        <v>0</v>
      </c>
      <c r="B1" s="1" t="s">
        <v>82</v>
      </c>
    </row>
    <row r="2" spans="1:11">
      <c r="A2" t="s">
        <v>1</v>
      </c>
      <c r="B2" s="1" t="s">
        <v>83</v>
      </c>
    </row>
    <row r="3" spans="1:11">
      <c r="A3" t="s">
        <v>2</v>
      </c>
      <c r="B3" t="s">
        <v>3</v>
      </c>
    </row>
    <row r="4" spans="1:11">
      <c r="A4" t="s">
        <v>4</v>
      </c>
      <c r="B4" s="2">
        <v>45883</v>
      </c>
    </row>
    <row r="5" spans="1:11">
      <c r="A5" t="s">
        <v>5</v>
      </c>
      <c r="B5" t="s">
        <v>101</v>
      </c>
    </row>
    <row r="6" spans="1:11">
      <c r="B6" t="s">
        <v>111</v>
      </c>
    </row>
    <row r="7" spans="1:11" ht="22">
      <c r="A7" t="s">
        <v>6</v>
      </c>
      <c r="B7" s="1" t="s">
        <v>110</v>
      </c>
      <c r="C7" s="3"/>
    </row>
    <row r="8" spans="1:11" ht="21">
      <c r="A8" t="s">
        <v>7</v>
      </c>
      <c r="B8" s="4" t="s">
        <v>84</v>
      </c>
      <c r="C8" s="4" t="s">
        <v>85</v>
      </c>
      <c r="D8" s="4" t="s">
        <v>86</v>
      </c>
      <c r="E8" s="4" t="s">
        <v>87</v>
      </c>
      <c r="F8" s="4" t="s">
        <v>88</v>
      </c>
    </row>
    <row r="9" spans="1:11" ht="21">
      <c r="A9" t="s">
        <v>8</v>
      </c>
      <c r="B9" s="5" t="s">
        <v>89</v>
      </c>
      <c r="C9" s="6">
        <v>600</v>
      </c>
      <c r="D9" s="6">
        <v>620</v>
      </c>
      <c r="E9" s="6">
        <v>640</v>
      </c>
      <c r="F9" s="6">
        <v>660</v>
      </c>
    </row>
    <row r="10" spans="1:11" ht="21">
      <c r="A10" t="s">
        <v>9</v>
      </c>
      <c r="B10" s="5" t="s">
        <v>90</v>
      </c>
      <c r="C10" s="4">
        <f>H10*25.4</f>
        <v>381</v>
      </c>
      <c r="D10" s="4">
        <f t="shared" ref="D10:F10" si="0">I10*25.4</f>
        <v>431.79999999999995</v>
      </c>
      <c r="E10" s="4">
        <f t="shared" si="0"/>
        <v>482.59999999999997</v>
      </c>
      <c r="F10" s="4">
        <f t="shared" si="0"/>
        <v>546.1</v>
      </c>
      <c r="H10" s="6">
        <v>15</v>
      </c>
      <c r="I10" s="6">
        <v>17</v>
      </c>
      <c r="J10" s="6">
        <v>19</v>
      </c>
      <c r="K10" s="6">
        <v>21.5</v>
      </c>
    </row>
    <row r="11" spans="1:11" ht="21">
      <c r="A11" t="s">
        <v>14</v>
      </c>
      <c r="B11" s="5" t="s">
        <v>91</v>
      </c>
      <c r="C11" s="6">
        <v>69.5</v>
      </c>
      <c r="D11" s="6">
        <v>69.5</v>
      </c>
      <c r="E11" s="6">
        <v>69.5</v>
      </c>
      <c r="F11" s="6">
        <v>69.5</v>
      </c>
    </row>
    <row r="12" spans="1:11" ht="21">
      <c r="A12" t="s">
        <v>13</v>
      </c>
      <c r="B12" s="5" t="s">
        <v>92</v>
      </c>
      <c r="C12" s="6">
        <v>73</v>
      </c>
      <c r="D12" s="6">
        <v>73</v>
      </c>
      <c r="E12" s="6">
        <v>73</v>
      </c>
      <c r="F12" s="6">
        <v>73</v>
      </c>
    </row>
    <row r="13" spans="1:11" ht="21">
      <c r="A13" t="s">
        <v>12</v>
      </c>
      <c r="B13" s="5" t="s">
        <v>93</v>
      </c>
      <c r="C13" s="6">
        <v>58.5</v>
      </c>
      <c r="D13" s="6">
        <v>58.5</v>
      </c>
      <c r="E13" s="6">
        <v>58.5</v>
      </c>
      <c r="F13" s="6">
        <v>58.5</v>
      </c>
    </row>
    <row r="14" spans="1:11" ht="21">
      <c r="A14" t="s">
        <v>11</v>
      </c>
      <c r="B14" s="5" t="s">
        <v>94</v>
      </c>
      <c r="C14" s="6">
        <v>456</v>
      </c>
      <c r="D14" s="6">
        <v>456</v>
      </c>
      <c r="E14" s="6">
        <v>456</v>
      </c>
      <c r="F14" s="6">
        <v>456</v>
      </c>
    </row>
    <row r="15" spans="1:11" ht="21">
      <c r="A15" t="s">
        <v>10</v>
      </c>
      <c r="B15" s="5" t="s">
        <v>95</v>
      </c>
      <c r="C15" s="6">
        <v>110</v>
      </c>
      <c r="D15" s="6">
        <v>130</v>
      </c>
      <c r="E15" s="6">
        <v>145</v>
      </c>
      <c r="F15" s="6">
        <v>160</v>
      </c>
    </row>
    <row r="16" spans="1:11" ht="21">
      <c r="A16" t="s">
        <v>20</v>
      </c>
      <c r="B16" s="5" t="s">
        <v>76</v>
      </c>
      <c r="C16" s="6">
        <v>482</v>
      </c>
      <c r="D16" s="6">
        <v>482</v>
      </c>
      <c r="E16" s="6">
        <v>482</v>
      </c>
      <c r="F16" s="6">
        <v>482</v>
      </c>
    </row>
    <row r="17" spans="1:7" ht="21">
      <c r="A17" t="s">
        <v>18</v>
      </c>
      <c r="B17" s="5" t="s">
        <v>77</v>
      </c>
      <c r="C17" s="6">
        <v>1128</v>
      </c>
      <c r="D17" s="6">
        <v>1149</v>
      </c>
      <c r="E17" s="6">
        <v>1170</v>
      </c>
      <c r="F17" s="6">
        <v>1191</v>
      </c>
    </row>
    <row r="18" spans="1:7" ht="21">
      <c r="A18" t="s">
        <v>15</v>
      </c>
      <c r="B18" s="5" t="s">
        <v>75</v>
      </c>
      <c r="C18" s="6">
        <v>53</v>
      </c>
      <c r="D18" s="6">
        <v>53</v>
      </c>
      <c r="E18" s="6">
        <v>53</v>
      </c>
      <c r="F18" s="6">
        <v>53</v>
      </c>
    </row>
    <row r="19" spans="1:7" ht="21">
      <c r="A19" t="s">
        <v>16</v>
      </c>
      <c r="B19" s="5" t="s">
        <v>74</v>
      </c>
      <c r="C19" s="6">
        <v>608</v>
      </c>
      <c r="D19" s="6">
        <v>626</v>
      </c>
      <c r="E19" s="6">
        <v>640</v>
      </c>
      <c r="F19" s="6">
        <v>655</v>
      </c>
    </row>
    <row r="20" spans="1:7" ht="21">
      <c r="A20" t="s">
        <v>17</v>
      </c>
      <c r="B20" s="5" t="s">
        <v>73</v>
      </c>
      <c r="C20" s="6">
        <v>414</v>
      </c>
      <c r="D20" s="6">
        <v>419</v>
      </c>
      <c r="E20" s="6">
        <v>444</v>
      </c>
      <c r="F20" s="6">
        <v>461</v>
      </c>
    </row>
    <row r="21" spans="1:7" ht="21">
      <c r="A21" s="1" t="s">
        <v>25</v>
      </c>
      <c r="B21" s="5" t="s">
        <v>96</v>
      </c>
      <c r="C21" s="6">
        <v>772</v>
      </c>
      <c r="D21" s="6">
        <v>806</v>
      </c>
      <c r="E21" s="6">
        <v>837</v>
      </c>
      <c r="F21" s="6">
        <v>871</v>
      </c>
    </row>
    <row r="22" spans="1:7" ht="21">
      <c r="A22" t="s">
        <v>23</v>
      </c>
      <c r="B22" s="5"/>
      <c r="C22" s="6"/>
      <c r="D22" s="6"/>
      <c r="E22" s="6"/>
      <c r="F22" s="6"/>
      <c r="G22" s="1"/>
    </row>
    <row r="23" spans="1:7" ht="21">
      <c r="A23" s="1" t="s">
        <v>78</v>
      </c>
      <c r="B23" s="5"/>
      <c r="G23" s="1"/>
    </row>
    <row r="24" spans="1:7">
      <c r="A24" t="s">
        <v>19</v>
      </c>
      <c r="G24" s="1"/>
    </row>
    <row r="25" spans="1:7">
      <c r="A25" t="s">
        <v>21</v>
      </c>
      <c r="G25" s="1"/>
    </row>
    <row r="26" spans="1:7">
      <c r="A26" t="s">
        <v>22</v>
      </c>
    </row>
    <row r="27" spans="1:7">
      <c r="A27" t="s">
        <v>24</v>
      </c>
    </row>
    <row r="28" spans="1:7">
      <c r="A28" t="s">
        <v>26</v>
      </c>
      <c r="C28" s="1">
        <v>650</v>
      </c>
      <c r="D28" s="1">
        <v>650</v>
      </c>
      <c r="E28" s="1">
        <v>650</v>
      </c>
      <c r="F28" s="1">
        <v>650</v>
      </c>
    </row>
    <row r="29" spans="1:7">
      <c r="A29" t="s">
        <v>27</v>
      </c>
      <c r="C29">
        <f>2.8*25.4</f>
        <v>71.11999999999999</v>
      </c>
      <c r="D29">
        <f t="shared" ref="D29:F29" si="1">2.8*25.4</f>
        <v>71.11999999999999</v>
      </c>
      <c r="E29">
        <f t="shared" si="1"/>
        <v>71.11999999999999</v>
      </c>
      <c r="F29">
        <f t="shared" si="1"/>
        <v>71.11999999999999</v>
      </c>
    </row>
    <row r="30" spans="1:7">
      <c r="A30" t="s">
        <v>28</v>
      </c>
      <c r="C30">
        <f>3*25.4</f>
        <v>76.199999999999989</v>
      </c>
      <c r="D30">
        <f t="shared" ref="D30:F30" si="2">3*25.4</f>
        <v>76.199999999999989</v>
      </c>
      <c r="E30">
        <f t="shared" si="2"/>
        <v>76.199999999999989</v>
      </c>
      <c r="F30">
        <f t="shared" si="2"/>
        <v>76.199999999999989</v>
      </c>
    </row>
    <row r="31" spans="1:7">
      <c r="A31" t="s">
        <v>29</v>
      </c>
      <c r="C31">
        <f>C33*2.54</f>
        <v>157.47999999999999</v>
      </c>
      <c r="D31">
        <f>AVERAGE(D33,C34)*2.54</f>
        <v>168.91</v>
      </c>
      <c r="E31">
        <f t="shared" ref="E31:F31" si="3">AVERAGE(E33,D34)*2.54</f>
        <v>177.8</v>
      </c>
      <c r="F31">
        <f t="shared" si="3"/>
        <v>186.69</v>
      </c>
    </row>
    <row r="32" spans="1:7">
      <c r="A32" t="s">
        <v>30</v>
      </c>
      <c r="C32" s="1">
        <f>D31</f>
        <v>168.91</v>
      </c>
      <c r="D32" s="1">
        <f t="shared" ref="D32:E32" si="4">E31</f>
        <v>177.8</v>
      </c>
      <c r="E32" s="1">
        <f t="shared" si="4"/>
        <v>186.69</v>
      </c>
      <c r="F32">
        <f t="shared" ref="F32" si="5">F34*2.54</f>
        <v>200.66</v>
      </c>
    </row>
    <row r="33" spans="1:7">
      <c r="C33">
        <v>62</v>
      </c>
      <c r="D33">
        <v>66</v>
      </c>
      <c r="E33">
        <v>70</v>
      </c>
      <c r="F33">
        <v>73</v>
      </c>
    </row>
    <row r="34" spans="1:7">
      <c r="A34" t="s">
        <v>31</v>
      </c>
      <c r="B34" t="s">
        <v>32</v>
      </c>
      <c r="C34">
        <v>67</v>
      </c>
      <c r="D34">
        <v>70</v>
      </c>
      <c r="E34">
        <v>74</v>
      </c>
      <c r="F34">
        <v>79</v>
      </c>
    </row>
    <row r="35" spans="1:7" ht="21">
      <c r="A35" t="s">
        <v>69</v>
      </c>
      <c r="B35" t="s">
        <v>70</v>
      </c>
      <c r="C35" s="6" t="s">
        <v>103</v>
      </c>
      <c r="D35" s="6" t="s">
        <v>104</v>
      </c>
      <c r="E35" s="6" t="s">
        <v>105</v>
      </c>
      <c r="F35" s="6" t="s">
        <v>106</v>
      </c>
      <c r="G35" s="5" t="s">
        <v>102</v>
      </c>
    </row>
    <row r="36" spans="1:7" ht="21">
      <c r="A36" t="s">
        <v>71</v>
      </c>
      <c r="B36" s="1" t="s">
        <v>108</v>
      </c>
      <c r="C36" s="6" t="s">
        <v>97</v>
      </c>
      <c r="D36" s="6" t="s">
        <v>98</v>
      </c>
      <c r="E36" s="6" t="s">
        <v>99</v>
      </c>
      <c r="F36" s="6" t="s">
        <v>100</v>
      </c>
      <c r="G36" s="5" t="s">
        <v>107</v>
      </c>
    </row>
    <row r="37" spans="1:7">
      <c r="A37" t="s">
        <v>72</v>
      </c>
      <c r="B37" s="1" t="s">
        <v>79</v>
      </c>
    </row>
    <row r="38" spans="1:7">
      <c r="A38" t="s">
        <v>33</v>
      </c>
      <c r="B38" s="1" t="s">
        <v>109</v>
      </c>
    </row>
    <row r="39" spans="1:7">
      <c r="A39" t="s">
        <v>34</v>
      </c>
    </row>
    <row r="40" spans="1:7">
      <c r="A40" t="s">
        <v>36</v>
      </c>
    </row>
    <row r="41" spans="1:7">
      <c r="A41" t="s">
        <v>37</v>
      </c>
      <c r="B41">
        <f>3*25.4</f>
        <v>76.199999999999989</v>
      </c>
    </row>
    <row r="42" spans="1:7">
      <c r="A42" t="s">
        <v>38</v>
      </c>
      <c r="B42">
        <v>3.8</v>
      </c>
    </row>
    <row r="43" spans="1:7">
      <c r="A43" t="s">
        <v>39</v>
      </c>
      <c r="B43">
        <v>100</v>
      </c>
    </row>
    <row r="44" spans="1:7">
      <c r="A44" t="s">
        <v>40</v>
      </c>
      <c r="B44" s="1"/>
    </row>
    <row r="45" spans="1:7">
      <c r="A45" t="s">
        <v>41</v>
      </c>
    </row>
    <row r="46" spans="1:7">
      <c r="A46" t="s">
        <v>42</v>
      </c>
    </row>
    <row r="47" spans="1:7">
      <c r="A47" t="s">
        <v>43</v>
      </c>
      <c r="B47">
        <v>148</v>
      </c>
    </row>
    <row r="48" spans="1:7">
      <c r="A48" t="s">
        <v>44</v>
      </c>
      <c r="B48">
        <v>110</v>
      </c>
    </row>
    <row r="49" spans="1:2">
      <c r="A49" t="s">
        <v>116</v>
      </c>
    </row>
    <row r="50" spans="1:2">
      <c r="A50" t="s">
        <v>117</v>
      </c>
    </row>
    <row r="51" spans="1:2">
      <c r="A51" t="s">
        <v>118</v>
      </c>
    </row>
    <row r="52" spans="1:2">
      <c r="A52" t="s">
        <v>119</v>
      </c>
    </row>
    <row r="53" spans="1:2">
      <c r="A53" t="s">
        <v>120</v>
      </c>
    </row>
    <row r="54" spans="1:2">
      <c r="A54" t="s">
        <v>121</v>
      </c>
    </row>
    <row r="55" spans="1:2">
      <c r="A55" t="s">
        <v>45</v>
      </c>
      <c r="B55" s="1" t="s">
        <v>80</v>
      </c>
    </row>
    <row r="56" spans="1:2">
      <c r="A56" t="s">
        <v>46</v>
      </c>
    </row>
    <row r="57" spans="1:2">
      <c r="A57" t="s">
        <v>47</v>
      </c>
      <c r="B57">
        <v>31.6</v>
      </c>
    </row>
    <row r="58" spans="1:2">
      <c r="A58" t="s">
        <v>48</v>
      </c>
      <c r="B58" s="1" t="s">
        <v>81</v>
      </c>
    </row>
    <row r="59" spans="1:2">
      <c r="A59" t="s">
        <v>49</v>
      </c>
    </row>
    <row r="60" spans="1:2">
      <c r="A60" t="s">
        <v>50</v>
      </c>
    </row>
    <row r="61" spans="1:2">
      <c r="A61" t="s">
        <v>51</v>
      </c>
      <c r="B61">
        <v>180</v>
      </c>
    </row>
    <row r="62" spans="1:2">
      <c r="A62" t="s">
        <v>52</v>
      </c>
      <c r="B62">
        <v>180</v>
      </c>
    </row>
    <row r="63" spans="1:2">
      <c r="A63" t="s">
        <v>53</v>
      </c>
    </row>
    <row r="64" spans="1:2">
      <c r="A64" t="s">
        <v>54</v>
      </c>
    </row>
    <row r="65" spans="1:2">
      <c r="A65" t="s">
        <v>55</v>
      </c>
      <c r="B65" s="1" t="s">
        <v>115</v>
      </c>
    </row>
    <row r="66" spans="1:2">
      <c r="A66" t="s">
        <v>56</v>
      </c>
      <c r="B66" s="1" t="s">
        <v>35</v>
      </c>
    </row>
    <row r="67" spans="1:2">
      <c r="A67" t="s">
        <v>57</v>
      </c>
    </row>
    <row r="68" spans="1:2">
      <c r="A68" t="s">
        <v>58</v>
      </c>
      <c r="B68">
        <v>2</v>
      </c>
    </row>
    <row r="69" spans="1:2">
      <c r="A69" t="s">
        <v>59</v>
      </c>
      <c r="B69">
        <v>1</v>
      </c>
    </row>
    <row r="70" spans="1:2">
      <c r="A70" t="s">
        <v>60</v>
      </c>
      <c r="B70" s="1" t="s">
        <v>35</v>
      </c>
    </row>
    <row r="71" spans="1:2">
      <c r="A71" t="s">
        <v>61</v>
      </c>
    </row>
    <row r="72" spans="1:2">
      <c r="A72" t="s">
        <v>62</v>
      </c>
      <c r="B72" s="1" t="s">
        <v>35</v>
      </c>
    </row>
    <row r="73" spans="1:2">
      <c r="A73" t="s">
        <v>63</v>
      </c>
      <c r="B73" s="1" t="s">
        <v>35</v>
      </c>
    </row>
    <row r="74" spans="1:2">
      <c r="A74" t="s">
        <v>64</v>
      </c>
      <c r="B74" s="1" t="s">
        <v>35</v>
      </c>
    </row>
    <row r="75" spans="1:2">
      <c r="A75" t="s">
        <v>65</v>
      </c>
      <c r="B75">
        <v>1550</v>
      </c>
    </row>
    <row r="76" spans="1:2">
      <c r="A76" t="s">
        <v>66</v>
      </c>
      <c r="B76">
        <v>4875</v>
      </c>
    </row>
    <row r="77" spans="1:2">
      <c r="A77" t="s">
        <v>67</v>
      </c>
      <c r="B77" s="1" t="s">
        <v>35</v>
      </c>
    </row>
    <row r="78" spans="1:2">
      <c r="A78" t="s">
        <v>68</v>
      </c>
      <c r="B78" s="1" t="s">
        <v>114</v>
      </c>
    </row>
    <row r="79" spans="1:2">
      <c r="A79" s="1" t="s">
        <v>112</v>
      </c>
      <c r="B79" s="1" t="s">
        <v>113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2025-11-07T14:49:15Z</dcterms:modified>
</cp:coreProperties>
</file>