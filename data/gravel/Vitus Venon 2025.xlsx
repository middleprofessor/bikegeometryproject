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4956CB-611E-0B45-B2FA-3217C2A064DD}" xr6:coauthVersionLast="47" xr6:coauthVersionMax="47" xr10:uidLastSave="{00000000-0000-0000-0000-000000000000}"/>
  <bookViews>
    <workbookView xWindow="11480" yWindow="2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H32" i="1"/>
  <c r="D33" i="1"/>
  <c r="E33" i="1"/>
  <c r="F33" i="1"/>
  <c r="G33" i="1"/>
  <c r="H33" i="1"/>
  <c r="C33" i="1"/>
  <c r="C32" i="1"/>
</calcChain>
</file>

<file path=xl/sharedStrings.xml><?xml version="1.0" encoding="utf-8"?>
<sst xmlns="http://schemas.openxmlformats.org/spreadsheetml/2006/main" count="156" uniqueCount="146">
  <si>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</si>
  <si>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</si>
  <si>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</si>
  <si>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</si>
  <si>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</si>
  <si>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</si>
  <si>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</si>
  <si>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</si>
  <si>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</si>
  <si>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</si>
  <si>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</si>
  <si>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</si>
  <si>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</si>
  <si>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</si>
  <si>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</si>
  <si>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</si>
  <si>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</si>
  <si>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</si>
  <si>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</si>
  <si>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</si>
  <si>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</si>
  <si>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</si>
  <si>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</si>
  <si>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</si>
  <si>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</si>
  <si>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</si>
  <si>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</si>
  <si>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</si>
  <si>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</si>
  <si>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</si>
  <si>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</si>
  <si>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</si>
  <si>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</si>
  <si>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</si>
  <si>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</si>
  <si>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</si>
  <si>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</si>
  <si>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</si>
  <si>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</si>
  <si>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</si>
  <si>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</si>
  <si>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</si>
  <si>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</si>
  <si>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</si>
  <si>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</si>
  <si>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</si>
  <si>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</si>
  <si>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</si>
  <si>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</si>
  <si>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</si>
  <si>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</si>
  <si>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</si>
  <si>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</si>
  <si>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</si>
  <si>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</si>
  <si>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</si>
  <si>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</si>
  <si>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</si>
  <si>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</si>
  <si>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</si>
  <si>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</si>
  <si>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</si>
  <si>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</si>
  <si>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</si>
  <si>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</si>
  <si>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</si>
  <si>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</si>
  <si>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</si>
  <si>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</si>
  <si>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</si>
  <si>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</si>
  <si>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</si>
  <si>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</si>
  <si>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</si>
  <si>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XS</t>
  </si>
  <si>
    <t>S</t>
  </si>
  <si>
    <t>M</t>
  </si>
  <si>
    <t>L</t>
  </si>
  <si>
    <t>XL</t>
  </si>
  <si>
    <t>internal</t>
  </si>
  <si>
    <t>Vitus</t>
  </si>
  <si>
    <t>Frame Size</t>
  </si>
  <si>
    <t>Rec. Rider Height (Imperial)</t>
  </si>
  <si>
    <t>5' 10" - 6' 1"</t>
  </si>
  <si>
    <t>Rec. Rider Height (Metric)</t>
  </si>
  <si>
    <t>Rec. Inside Leg (Imperial)</t>
  </si>
  <si>
    <t>Rec. Inside Leg (Metric)</t>
  </si>
  <si>
    <t>(D) Front Centre</t>
  </si>
  <si>
    <t>(E) Wheelbase</t>
  </si>
  <si>
    <t>(G) Fork Rake</t>
  </si>
  <si>
    <t>(H) Fork Length</t>
  </si>
  <si>
    <t>GBP</t>
  </si>
  <si>
    <t>carbon</t>
  </si>
  <si>
    <t>seat_tube_cc</t>
  </si>
  <si>
    <t>location</t>
  </si>
  <si>
    <t>Belfast, Northern Ireland, United Kingdom</t>
  </si>
  <si>
    <t>head_tube_d</t>
  </si>
  <si>
    <t>headset_upper</t>
  </si>
  <si>
    <t>headset_lower</t>
  </si>
  <si>
    <t>fork_steerer</t>
  </si>
  <si>
    <t>fork_steerer_d</t>
  </si>
  <si>
    <t>fork_material</t>
  </si>
  <si>
    <t>https://vitusbikes.com/collections/venon-evo-gr</t>
  </si>
  <si>
    <t>Venon Evo-GR</t>
  </si>
  <si>
    <t>bb386</t>
  </si>
  <si>
    <t>press fit</t>
  </si>
  <si>
    <t>XXL</t>
  </si>
  <si>
    <t>5' 3" - 5' 7</t>
  </si>
  <si>
    <t>5' 6" - 5' 9"</t>
  </si>
  <si>
    <t>5' 8" - 5' 11"</t>
  </si>
  <si>
    <t>6' 0" - 6' 3"</t>
  </si>
  <si>
    <t>6' 2" - 6' 6"</t>
  </si>
  <si>
    <t>160 - 170cm</t>
  </si>
  <si>
    <t>168 - 175cm</t>
  </si>
  <si>
    <t>173 - 180cm</t>
  </si>
  <si>
    <t>178 - 186cm</t>
  </si>
  <si>
    <t>183 - 191cm</t>
  </si>
  <si>
    <t>188 - 198cm</t>
  </si>
  <si>
    <t>26" - 29"</t>
  </si>
  <si>
    <t>28" - 31"</t>
  </si>
  <si>
    <t>30" - 33"</t>
  </si>
  <si>
    <t>31" - 34"</t>
  </si>
  <si>
    <t>33" - 36"</t>
  </si>
  <si>
    <t>35" - 37"</t>
  </si>
  <si>
    <t>66 - 73cm</t>
  </si>
  <si>
    <t>71 - 78cm</t>
  </si>
  <si>
    <t>76 - 84cm</t>
  </si>
  <si>
    <t>78 - 86cm</t>
  </si>
  <si>
    <t>84 - 91cm</t>
  </si>
  <si>
    <t>89 - 94cm</t>
  </si>
  <si>
    <t>(A) Seat Tube Length - CT</t>
  </si>
  <si>
    <t>(B) Seat Tube Length - CC</t>
  </si>
  <si>
    <t>(C) Effective Top Tube Length</t>
  </si>
  <si>
    <t>(F) Headtube Length (with top cap)</t>
  </si>
  <si>
    <t>(I) Headtube Angle</t>
  </si>
  <si>
    <t>(J) Seat Tube Angle</t>
  </si>
  <si>
    <t>(K) Chainstay Length</t>
  </si>
  <si>
    <t>(L) Bottom Bracket Drop</t>
  </si>
  <si>
    <t>(M) Stack</t>
  </si>
  <si>
    <t>(N) Reach</t>
  </si>
  <si>
    <t>Crank Length</t>
  </si>
  <si>
    <t>Max. Tyre Size</t>
  </si>
  <si>
    <t>700 x 45c</t>
  </si>
  <si>
    <t>max_tire_size</t>
  </si>
  <si>
    <t>a8:h33</t>
  </si>
  <si>
    <t>https://cdn.accentuate.io/6794141433989/1683228750047/MY23---Vitus_---Website---PDP---1920x800---Venon-EVO-Venon-EVO-GR-Force-eTap-All-Road-Bike.jpg?v=1683228750048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</si>
</sst>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tabSelected="1" zoomScale="113" zoomScaleNormal="100" workbookViewId="0">
      <selection activeCell="B4" sqref="B4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80</v>
      </c>
    </row>
    <row r="2" spans="1:8">
      <c r="A2" s="1" t="s">
        <v>1</v>
      </c>
      <c r="B2" s="1" t="s">
        <v>103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46020</v>
      </c>
    </row>
    <row r="5" spans="1:8">
      <c r="A5" s="1" t="s">
        <v>4</v>
      </c>
      <c r="B5" s="1" t="s">
        <v>102</v>
      </c>
    </row>
    <row r="6" spans="1:8">
      <c r="B6" s="1" t="s">
        <v>145</v>
      </c>
    </row>
    <row r="7" spans="1:8">
      <c r="A7" s="1" t="s">
        <v>5</v>
      </c>
      <c r="B7" s="1" t="s">
        <v>144</v>
      </c>
    </row>
    <row r="8" spans="1:8" ht="20" customHeight="1">
      <c r="A8" s="1" t="s">
        <v>6</v>
      </c>
      <c r="B8" s="1" t="s">
        <v>81</v>
      </c>
      <c r="C8" s="8" t="s">
        <v>74</v>
      </c>
      <c r="D8" s="8" t="s">
        <v>75</v>
      </c>
      <c r="E8" s="8" t="s">
        <v>76</v>
      </c>
      <c r="F8" s="8" t="s">
        <v>77</v>
      </c>
      <c r="G8" s="8" t="s">
        <v>78</v>
      </c>
      <c r="H8" t="s">
        <v>106</v>
      </c>
    </row>
    <row r="9" spans="1:8" ht="20" customHeight="1">
      <c r="A9" s="1" t="s">
        <v>10</v>
      </c>
      <c r="B9" s="10" t="s">
        <v>130</v>
      </c>
      <c r="C9" s="10">
        <v>460</v>
      </c>
      <c r="D9" s="10">
        <v>480</v>
      </c>
      <c r="E9" s="10">
        <v>500</v>
      </c>
      <c r="F9" s="10">
        <v>520</v>
      </c>
      <c r="G9" s="10">
        <v>540</v>
      </c>
      <c r="H9" s="1">
        <v>560</v>
      </c>
    </row>
    <row r="10" spans="1:8">
      <c r="A10" s="1" t="s">
        <v>93</v>
      </c>
      <c r="B10" s="10" t="s">
        <v>131</v>
      </c>
      <c r="C10" s="10"/>
      <c r="D10" s="10"/>
      <c r="E10" s="10"/>
      <c r="F10" s="10"/>
      <c r="G10" s="10"/>
    </row>
    <row r="11" spans="1:8">
      <c r="A11" s="1" t="s">
        <v>11</v>
      </c>
      <c r="B11" s="10" t="s">
        <v>132</v>
      </c>
      <c r="C11" s="10">
        <v>515</v>
      </c>
      <c r="D11" s="10">
        <v>531</v>
      </c>
      <c r="E11" s="10">
        <v>551</v>
      </c>
      <c r="F11" s="10">
        <v>571</v>
      </c>
      <c r="G11" s="10">
        <v>589</v>
      </c>
      <c r="H11" s="1">
        <v>605</v>
      </c>
    </row>
    <row r="12" spans="1:8">
      <c r="A12" s="1" t="s">
        <v>71</v>
      </c>
      <c r="B12" s="1" t="s">
        <v>87</v>
      </c>
      <c r="C12" s="1">
        <v>592</v>
      </c>
      <c r="D12" s="1">
        <v>597</v>
      </c>
      <c r="E12" s="1">
        <v>609</v>
      </c>
      <c r="F12" s="1">
        <v>620</v>
      </c>
      <c r="G12" s="1">
        <v>629</v>
      </c>
      <c r="H12" s="1">
        <v>643</v>
      </c>
    </row>
    <row r="13" spans="1:8">
      <c r="A13" s="1" t="s">
        <v>19</v>
      </c>
      <c r="B13" s="1" t="s">
        <v>88</v>
      </c>
      <c r="C13" s="3">
        <v>1002</v>
      </c>
      <c r="D13" s="3">
        <v>1007</v>
      </c>
      <c r="E13" s="3">
        <v>1020</v>
      </c>
      <c r="F13" s="3">
        <v>1030</v>
      </c>
      <c r="G13" s="3">
        <v>1039</v>
      </c>
      <c r="H13" s="1">
        <v>1053</v>
      </c>
    </row>
    <row r="14" spans="1:8">
      <c r="A14" s="1" t="s">
        <v>9</v>
      </c>
      <c r="B14" s="1" t="s">
        <v>133</v>
      </c>
      <c r="C14" s="3">
        <v>102</v>
      </c>
      <c r="D14" s="3">
        <v>120</v>
      </c>
      <c r="E14" s="3">
        <v>143</v>
      </c>
      <c r="F14" s="3">
        <v>168</v>
      </c>
      <c r="G14" s="3">
        <v>187</v>
      </c>
      <c r="H14" s="1">
        <v>206</v>
      </c>
    </row>
    <row r="15" spans="1:8">
      <c r="A15" s="1" t="s">
        <v>16</v>
      </c>
      <c r="B15" s="1" t="s">
        <v>89</v>
      </c>
      <c r="C15" s="3">
        <v>50</v>
      </c>
      <c r="D15" s="3">
        <v>50</v>
      </c>
      <c r="E15" s="3">
        <v>50</v>
      </c>
      <c r="F15" s="3">
        <v>50</v>
      </c>
      <c r="G15" s="3">
        <v>50</v>
      </c>
      <c r="H15" s="1">
        <v>50</v>
      </c>
    </row>
    <row r="16" spans="1:8">
      <c r="A16" s="1" t="s">
        <v>15</v>
      </c>
      <c r="B16" s="1" t="s">
        <v>90</v>
      </c>
      <c r="C16" s="3">
        <v>390</v>
      </c>
      <c r="D16" s="3">
        <v>390</v>
      </c>
      <c r="E16" s="3">
        <v>390</v>
      </c>
      <c r="F16" s="3">
        <v>390</v>
      </c>
      <c r="G16" s="3">
        <v>390</v>
      </c>
      <c r="H16" s="1">
        <v>390</v>
      </c>
    </row>
    <row r="17" spans="1:14">
      <c r="A17" s="1" t="s">
        <v>7</v>
      </c>
      <c r="B17" s="1" t="s">
        <v>134</v>
      </c>
      <c r="C17" s="3">
        <v>70.7</v>
      </c>
      <c r="D17" s="3">
        <v>71.099999999999994</v>
      </c>
      <c r="E17" s="3">
        <v>71.5</v>
      </c>
      <c r="F17" s="3">
        <v>72.099999999999994</v>
      </c>
      <c r="G17" s="3">
        <v>72.5</v>
      </c>
      <c r="H17" s="1">
        <v>72.7</v>
      </c>
    </row>
    <row r="18" spans="1:14">
      <c r="A18" s="1" t="s">
        <v>8</v>
      </c>
      <c r="B18" s="1" t="s">
        <v>135</v>
      </c>
      <c r="C18" s="3">
        <v>74.599999999999994</v>
      </c>
      <c r="D18" s="3">
        <v>74.2</v>
      </c>
      <c r="E18" s="3">
        <v>73.8</v>
      </c>
      <c r="F18" s="3">
        <v>73.400000000000006</v>
      </c>
      <c r="G18" s="3">
        <v>73</v>
      </c>
      <c r="H18" s="1">
        <v>73</v>
      </c>
    </row>
    <row r="19" spans="1:14">
      <c r="A19" s="1" t="s">
        <v>14</v>
      </c>
      <c r="B19" s="1" t="s">
        <v>136</v>
      </c>
      <c r="C19" s="1">
        <v>420</v>
      </c>
      <c r="D19" s="1">
        <v>420</v>
      </c>
      <c r="E19" s="1">
        <v>420</v>
      </c>
      <c r="F19" s="1">
        <v>420</v>
      </c>
      <c r="G19" s="1">
        <v>420</v>
      </c>
      <c r="H19" s="1">
        <v>420</v>
      </c>
    </row>
    <row r="20" spans="1:14">
      <c r="A20" s="1" t="s">
        <v>18</v>
      </c>
      <c r="B20" s="1" t="s">
        <v>137</v>
      </c>
      <c r="C20" s="1">
        <v>71</v>
      </c>
      <c r="D20" s="1">
        <v>70</v>
      </c>
      <c r="E20" s="1">
        <v>70</v>
      </c>
      <c r="F20" s="1">
        <v>70</v>
      </c>
      <c r="G20" s="1">
        <v>70</v>
      </c>
      <c r="H20" s="1">
        <v>70</v>
      </c>
    </row>
    <row r="21" spans="1:14">
      <c r="A21" s="1" t="s">
        <v>12</v>
      </c>
      <c r="B21" s="1" t="s">
        <v>138</v>
      </c>
      <c r="C21" s="1">
        <v>518</v>
      </c>
      <c r="D21" s="1">
        <v>539</v>
      </c>
      <c r="E21" s="1">
        <v>560</v>
      </c>
      <c r="F21" s="1">
        <v>587</v>
      </c>
      <c r="G21" s="1">
        <v>607</v>
      </c>
      <c r="H21" s="1">
        <v>625</v>
      </c>
    </row>
    <row r="22" spans="1:14">
      <c r="A22" s="1" t="s">
        <v>13</v>
      </c>
      <c r="B22" s="1" t="s">
        <v>139</v>
      </c>
      <c r="C22" s="1">
        <v>373</v>
      </c>
      <c r="D22" s="1">
        <v>379</v>
      </c>
      <c r="E22" s="1">
        <v>387</v>
      </c>
      <c r="F22" s="1">
        <v>396</v>
      </c>
      <c r="G22" s="1">
        <v>403</v>
      </c>
      <c r="H22" s="1">
        <v>414</v>
      </c>
    </row>
    <row r="23" spans="1:14">
      <c r="A23" s="1" t="s">
        <v>22</v>
      </c>
      <c r="B23" s="1" t="s">
        <v>140</v>
      </c>
      <c r="C23" s="1">
        <v>165</v>
      </c>
      <c r="D23" s="1">
        <v>170</v>
      </c>
      <c r="E23" s="1">
        <v>172.5</v>
      </c>
      <c r="F23" s="1">
        <v>172.5</v>
      </c>
      <c r="G23" s="1">
        <v>175</v>
      </c>
      <c r="H23" s="1">
        <v>175</v>
      </c>
    </row>
    <row r="24" spans="1:14">
      <c r="A24" s="1" t="s">
        <v>143</v>
      </c>
      <c r="B24" s="1" t="s">
        <v>141</v>
      </c>
      <c r="I24" s="1" t="s">
        <v>142</v>
      </c>
      <c r="J24" s="1" t="s">
        <v>142</v>
      </c>
      <c r="K24" s="1" t="s">
        <v>142</v>
      </c>
      <c r="L24" s="1" t="s">
        <v>142</v>
      </c>
      <c r="M24" s="1" t="s">
        <v>142</v>
      </c>
      <c r="N24" s="1" t="s">
        <v>142</v>
      </c>
    </row>
    <row r="25" spans="1:14">
      <c r="A25" s="1" t="s">
        <v>17</v>
      </c>
    </row>
    <row r="26" spans="1:14">
      <c r="A26" s="1" t="s">
        <v>21</v>
      </c>
    </row>
    <row r="27" spans="1:14">
      <c r="A27" s="1" t="s">
        <v>20</v>
      </c>
    </row>
    <row r="28" spans="1:14">
      <c r="A28" s="1" t="s">
        <v>23</v>
      </c>
    </row>
    <row r="29" spans="1:14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  <c r="H29" s="1">
        <v>700</v>
      </c>
    </row>
    <row r="30" spans="1:14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>
        <v>40</v>
      </c>
      <c r="H30" s="1">
        <v>40</v>
      </c>
    </row>
    <row r="31" spans="1:14">
      <c r="A31" s="1" t="s">
        <v>26</v>
      </c>
      <c r="B31" s="1" t="s">
        <v>26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1">
        <v>45</v>
      </c>
    </row>
    <row r="32" spans="1:14">
      <c r="A32" s="1" t="s">
        <v>27</v>
      </c>
      <c r="B32" s="1" t="s">
        <v>27</v>
      </c>
      <c r="C32" s="11">
        <f>VALUE(LEFT(C35,3))</f>
        <v>160</v>
      </c>
      <c r="D32" s="11">
        <f t="shared" ref="D32:H32" si="0">VALUE(LEFT(D35,3))</f>
        <v>168</v>
      </c>
      <c r="E32" s="11">
        <f t="shared" si="0"/>
        <v>173</v>
      </c>
      <c r="F32" s="11">
        <f t="shared" si="0"/>
        <v>178</v>
      </c>
      <c r="G32" s="11">
        <f t="shared" si="0"/>
        <v>183</v>
      </c>
      <c r="H32" s="11">
        <f t="shared" si="0"/>
        <v>188</v>
      </c>
      <c r="I32" s="5"/>
    </row>
    <row r="33" spans="1:9">
      <c r="A33" s="1" t="s">
        <v>28</v>
      </c>
      <c r="B33" s="1" t="s">
        <v>28</v>
      </c>
      <c r="C33" s="11">
        <f>VALUE(MID(C35,7,3))</f>
        <v>170</v>
      </c>
      <c r="D33" s="11">
        <f t="shared" ref="D33:H33" si="1">VALUE(MID(D35,7,3))</f>
        <v>175</v>
      </c>
      <c r="E33" s="11">
        <f t="shared" si="1"/>
        <v>180</v>
      </c>
      <c r="F33" s="11">
        <f t="shared" si="1"/>
        <v>186</v>
      </c>
      <c r="G33" s="11">
        <f t="shared" si="1"/>
        <v>191</v>
      </c>
      <c r="H33" s="11">
        <f t="shared" si="1"/>
        <v>198</v>
      </c>
      <c r="I33" s="5"/>
    </row>
    <row r="34" spans="1:9">
      <c r="C34" s="10" t="s">
        <v>107</v>
      </c>
      <c r="D34" s="10" t="s">
        <v>108</v>
      </c>
      <c r="E34" s="10" t="s">
        <v>109</v>
      </c>
      <c r="F34" s="10" t="s">
        <v>83</v>
      </c>
      <c r="G34" s="10" t="s">
        <v>110</v>
      </c>
      <c r="H34" s="1" t="s">
        <v>111</v>
      </c>
      <c r="I34" s="9" t="s">
        <v>82</v>
      </c>
    </row>
    <row r="35" spans="1:9">
      <c r="A35" s="1" t="s">
        <v>29</v>
      </c>
      <c r="B35" s="1" t="s">
        <v>30</v>
      </c>
      <c r="C35" s="10" t="s">
        <v>112</v>
      </c>
      <c r="D35" s="10" t="s">
        <v>113</v>
      </c>
      <c r="E35" s="10" t="s">
        <v>114</v>
      </c>
      <c r="F35" s="10" t="s">
        <v>115</v>
      </c>
      <c r="G35" s="10" t="s">
        <v>116</v>
      </c>
      <c r="H35" s="1" t="s">
        <v>117</v>
      </c>
      <c r="I35" s="9" t="s">
        <v>84</v>
      </c>
    </row>
    <row r="36" spans="1:9">
      <c r="A36" s="1" t="s">
        <v>66</v>
      </c>
      <c r="B36" s="1" t="s">
        <v>72</v>
      </c>
      <c r="C36" s="10" t="s">
        <v>118</v>
      </c>
      <c r="D36" s="10" t="s">
        <v>119</v>
      </c>
      <c r="E36" s="10" t="s">
        <v>120</v>
      </c>
      <c r="F36" s="10" t="s">
        <v>121</v>
      </c>
      <c r="G36" s="10" t="s">
        <v>122</v>
      </c>
      <c r="H36" s="1" t="s">
        <v>123</v>
      </c>
      <c r="I36" s="9" t="s">
        <v>85</v>
      </c>
    </row>
    <row r="37" spans="1:9">
      <c r="A37" s="1" t="s">
        <v>67</v>
      </c>
      <c r="B37" s="1" t="s">
        <v>73</v>
      </c>
      <c r="C37" s="10" t="s">
        <v>124</v>
      </c>
      <c r="D37" s="10" t="s">
        <v>125</v>
      </c>
      <c r="E37" s="10" t="s">
        <v>126</v>
      </c>
      <c r="F37" s="10" t="s">
        <v>127</v>
      </c>
      <c r="G37" s="10" t="s">
        <v>128</v>
      </c>
      <c r="H37" s="1" t="s">
        <v>129</v>
      </c>
      <c r="I37" s="9" t="s">
        <v>86</v>
      </c>
    </row>
    <row r="38" spans="1:9">
      <c r="A38" s="1" t="s">
        <v>68</v>
      </c>
      <c r="B38" s="1" t="s">
        <v>69</v>
      </c>
      <c r="C38" s="7"/>
      <c r="D38" s="7"/>
    </row>
    <row r="39" spans="1:9">
      <c r="A39" s="1" t="s">
        <v>31</v>
      </c>
      <c r="B39" s="1" t="s">
        <v>92</v>
      </c>
      <c r="C39" s="4"/>
      <c r="D39" s="4"/>
    </row>
    <row r="40" spans="1:9">
      <c r="A40" s="1" t="s">
        <v>32</v>
      </c>
    </row>
    <row r="41" spans="1:9">
      <c r="A41" s="1" t="s">
        <v>33</v>
      </c>
    </row>
    <row r="42" spans="1:9">
      <c r="A42" s="1" t="s">
        <v>34</v>
      </c>
      <c r="B42" s="1">
        <v>45</v>
      </c>
    </row>
    <row r="43" spans="1:9">
      <c r="A43" s="1" t="s">
        <v>35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3">
      <c r="A49" s="1" t="s">
        <v>41</v>
      </c>
      <c r="B49" s="1">
        <v>100</v>
      </c>
    </row>
    <row r="50" spans="1:3">
      <c r="A50" s="1" t="s">
        <v>96</v>
      </c>
    </row>
    <row r="51" spans="1:3">
      <c r="A51" s="1" t="s">
        <v>97</v>
      </c>
    </row>
    <row r="52" spans="1:3">
      <c r="A52" s="1" t="s">
        <v>98</v>
      </c>
    </row>
    <row r="53" spans="1:3">
      <c r="A53" s="1" t="s">
        <v>99</v>
      </c>
    </row>
    <row r="54" spans="1:3">
      <c r="A54" s="1" t="s">
        <v>100</v>
      </c>
    </row>
    <row r="55" spans="1:3">
      <c r="A55" s="1" t="s">
        <v>101</v>
      </c>
    </row>
    <row r="56" spans="1:3">
      <c r="A56" s="1" t="s">
        <v>42</v>
      </c>
      <c r="B56" s="1" t="s">
        <v>105</v>
      </c>
      <c r="C56" s="1" t="s">
        <v>104</v>
      </c>
    </row>
    <row r="57" spans="1:3">
      <c r="A57" s="1" t="s">
        <v>43</v>
      </c>
    </row>
    <row r="58" spans="1:3">
      <c r="A58" s="1" t="s">
        <v>44</v>
      </c>
      <c r="B58" s="1">
        <v>27.2</v>
      </c>
    </row>
    <row r="59" spans="1:3">
      <c r="A59" s="1" t="s">
        <v>45</v>
      </c>
    </row>
    <row r="60" spans="1:3">
      <c r="A60" s="1" t="s">
        <v>46</v>
      </c>
    </row>
    <row r="61" spans="1:3">
      <c r="A61" s="1" t="s">
        <v>47</v>
      </c>
    </row>
    <row r="62" spans="1:3">
      <c r="A62" s="1" t="s">
        <v>48</v>
      </c>
    </row>
    <row r="63" spans="1:3">
      <c r="A63" s="1" t="s">
        <v>49</v>
      </c>
    </row>
    <row r="64" spans="1:3">
      <c r="A64" s="1" t="s">
        <v>50</v>
      </c>
    </row>
    <row r="65" spans="1:2">
      <c r="A65" s="1" t="s">
        <v>51</v>
      </c>
      <c r="B65" s="1" t="s">
        <v>79</v>
      </c>
    </row>
    <row r="66" spans="1:2">
      <c r="A66" s="1" t="s">
        <v>52</v>
      </c>
    </row>
    <row r="67" spans="1:2">
      <c r="A67" s="1" t="s">
        <v>53</v>
      </c>
    </row>
    <row r="68" spans="1:2">
      <c r="A68" s="1" t="s">
        <v>54</v>
      </c>
    </row>
    <row r="69" spans="1:2">
      <c r="A69" s="1" t="s">
        <v>55</v>
      </c>
      <c r="B69" s="1">
        <v>2</v>
      </c>
    </row>
    <row r="70" spans="1:2">
      <c r="A70" s="1" t="s">
        <v>56</v>
      </c>
    </row>
    <row r="71" spans="1:2">
      <c r="A71" s="1" t="s">
        <v>57</v>
      </c>
    </row>
    <row r="72" spans="1:2">
      <c r="A72" s="1" t="s">
        <v>58</v>
      </c>
    </row>
    <row r="73" spans="1:2">
      <c r="A73" s="1" t="s">
        <v>59</v>
      </c>
      <c r="B73" s="1" t="s">
        <v>70</v>
      </c>
    </row>
    <row r="74" spans="1:2">
      <c r="A74" s="1" t="s">
        <v>60</v>
      </c>
    </row>
    <row r="75" spans="1:2">
      <c r="A75" s="1" t="s">
        <v>61</v>
      </c>
    </row>
    <row r="76" spans="1:2">
      <c r="A76" s="1" t="s">
        <v>62</v>
      </c>
      <c r="B76" s="1">
        <v>1799</v>
      </c>
    </row>
    <row r="77" spans="1:2">
      <c r="A77" s="1" t="s">
        <v>63</v>
      </c>
      <c r="B77" s="1">
        <v>2999</v>
      </c>
    </row>
    <row r="78" spans="1:2">
      <c r="A78" s="1" t="s">
        <v>64</v>
      </c>
    </row>
    <row r="79" spans="1:2">
      <c r="A79" s="1" t="s">
        <v>65</v>
      </c>
      <c r="B79" s="1" t="s">
        <v>91</v>
      </c>
    </row>
    <row r="80" spans="1:2">
      <c r="A80" s="1" t="s">
        <v>94</v>
      </c>
      <c r="B80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2025-12-29T17:07:54Z</dcterms:modified>
</cp:coreProperties>
</file>