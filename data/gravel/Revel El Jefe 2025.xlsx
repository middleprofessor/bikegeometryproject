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16DEFEF-36F5-A043-AE6D-8BF560159DF1}" xr6:coauthVersionLast="47" xr6:coauthVersionMax="47" xr10:uidLastSave="{00000000-0000-0000-0000-000000000000}"/>
  <bookViews>
    <workbookView xWindow="12060" yWindow="500" windowWidth="26700" windowHeight="14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C12" i="1"/>
  <c r="D24" i="1"/>
  <c r="E24" i="1"/>
  <c r="F24" i="1"/>
  <c r="C24" i="1"/>
  <c r="D11" i="1"/>
  <c r="E11" i="1"/>
  <c r="F11" i="1"/>
  <c r="C11" i="1"/>
  <c r="C35" i="1"/>
  <c r="D35" i="1"/>
  <c r="E35" i="1"/>
  <c r="F35" i="1"/>
  <c r="D34" i="1"/>
  <c r="E34" i="1"/>
  <c r="F34" i="1"/>
  <c r="C34" i="1"/>
</calcChain>
</file>

<file path=xl/sharedStrings.xml><?xml version="1.0" encoding="utf-8"?>
<sst xmlns="http://schemas.openxmlformats.org/spreadsheetml/2006/main" count="135" uniqueCount="121">
  <si>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</si>
  <si>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</si>
  <si>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</si>
  <si>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</si>
  <si>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</si>
  <si>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</si>
  <si>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</si>
  <si>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</si>
  <si>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</si>
  <si>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seat_tube_length</t>
  </si>
  <si>
    <t>seat_tube_angle</t>
  </si>
  <si>
    <t>chainstay_length</t>
  </si>
  <si>
    <t>bottom_bracket_drop</t>
  </si>
  <si>
    <t>bottom_bracket_height</t>
  </si>
  <si>
    <t>head_tube_angle</t>
  </si>
  <si>
    <t>wheelbase</t>
  </si>
  <si>
    <t>head_tube_length</t>
  </si>
  <si>
    <t>axle_crown</t>
  </si>
  <si>
    <t>fork_offset_rake</t>
  </si>
  <si>
    <t>trail</t>
  </si>
  <si>
    <t>stack</t>
  </si>
  <si>
    <t>reach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</si>
  <si>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</si>
  <si>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</si>
  <si>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</si>
  <si>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</si>
  <si>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</si>
  <si>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</si>
  <si>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</si>
  <si>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</si>
  <si>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</si>
  <si>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</si>
  <si>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</si>
  <si>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</si>
  <si>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</si>
  <si>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</si>
  <si>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</si>
  <si>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</si>
  <si>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</si>
  <si>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</si>
  <si>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</si>
  <si>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</si>
  <si>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</si>
  <si>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</si>
  <si>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</si>
  <si>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</si>
  <si>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</si>
  <si>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</si>
  <si>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</si>
  <si>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</si>
  <si>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</si>
  <si>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</si>
  <si>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</si>
  <si>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</si>
  <si>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</si>
  <si>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</si>
  <si>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</si>
  <si>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</si>
  <si>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</si>
  <si>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</si>
  <si>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</si>
  <si>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</si>
  <si>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</si>
  <si>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</si>
  <si>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</si>
  <si>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</si>
  <si>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</si>
  <si>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</si>
  <si>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</si>
  <si>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</si>
  <si>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</si>
  <si>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</si>
  <si>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</si>
  <si>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Revel</t>
  </si>
  <si>
    <t>image</t>
  </si>
  <si>
    <t>yes</t>
  </si>
  <si>
    <t>USD</t>
  </si>
  <si>
    <t>location</t>
  </si>
  <si>
    <t>Carbondale, Colorado, USA</t>
  </si>
  <si>
    <t>seat_tube_angle_actual</t>
  </si>
  <si>
    <t>head_tube_d</t>
  </si>
  <si>
    <t>headset_upper</t>
  </si>
  <si>
    <t>headset_lower</t>
  </si>
  <si>
    <t>fork_steerer</t>
  </si>
  <si>
    <t>fork_steerer_d</t>
  </si>
  <si>
    <t>fork_material</t>
  </si>
  <si>
    <t>El Jefe</t>
  </si>
  <si>
    <t>SMALL</t>
  </si>
  <si>
    <t>MEDIUM</t>
  </si>
  <si>
    <t>LARGE</t>
  </si>
  <si>
    <t>5'1"-5'7"</t>
  </si>
  <si>
    <t>5'6"-5'10"</t>
  </si>
  <si>
    <t>5'9"-6'2"</t>
  </si>
  <si>
    <t>6'1"-6'7"</t>
  </si>
  <si>
    <t>Effective Top Tube Length</t>
  </si>
  <si>
    <t>Seat Tube Length</t>
  </si>
  <si>
    <t>Seat Tube Angle</t>
  </si>
  <si>
    <t>75/73.3</t>
  </si>
  <si>
    <t>Chain Stay Length</t>
  </si>
  <si>
    <t>420-435</t>
  </si>
  <si>
    <t>Bottom Bracket Drop</t>
  </si>
  <si>
    <t>Bottom Bracket Height</t>
  </si>
  <si>
    <t>Head Tube Angle</t>
  </si>
  <si>
    <t>Wheel Base</t>
  </si>
  <si>
    <t>Head Tube Length</t>
  </si>
  <si>
    <t>Axle to Crown</t>
  </si>
  <si>
    <t>Fork Offset</t>
  </si>
  <si>
    <t>Trail</t>
  </si>
  <si>
    <t>Stack</t>
  </si>
  <si>
    <t>Reach</t>
  </si>
  <si>
    <t>Standover</t>
  </si>
  <si>
    <t>https://revelbikes.com/collections/el-jefe</t>
  </si>
  <si>
    <t>https://revelbikes.com/cdn/shop/files/Jefe_side_Hero_shadow-1-1.png?v=1762200264&amp;width=3600</t>
  </si>
  <si>
    <t>hardtail</t>
  </si>
  <si>
    <t>flat bar</t>
  </si>
  <si>
    <t>suspension</t>
  </si>
  <si>
    <t>fork_travel</t>
  </si>
  <si>
    <t>fork_sag</t>
  </si>
  <si>
    <t>threaded 73</t>
  </si>
  <si>
    <t>BSA</t>
  </si>
  <si>
    <t>a8:f35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</si>
</sst>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i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73</v>
      </c>
    </row>
    <row r="2" spans="1:10" x14ac:dyDescent="0.3">
      <c r="A2" t="s">
        <v>1</v>
      </c>
      <c r="B2" s="1" t="s">
        <v>86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46003</v>
      </c>
    </row>
    <row r="5" spans="1:10" x14ac:dyDescent="0.3">
      <c r="A5" t="s">
        <v>4</v>
      </c>
      <c r="B5" t="s">
        <v>111</v>
      </c>
    </row>
    <row r="6" spans="1:10" x14ac:dyDescent="0.3">
      <c r="A6" s="1" t="s">
        <v>74</v>
      </c>
      <c r="B6" t="s">
        <v>112</v>
      </c>
    </row>
    <row r="7" spans="1:10" x14ac:dyDescent="0.3">
      <c r="A7" t="s">
        <v>5</v>
      </c>
      <c r="B7" s="1" t="s">
        <v>120</v>
      </c>
    </row>
    <row r="8" spans="1:10" x14ac:dyDescent="0.3">
      <c r="A8" t="s">
        <v>6</v>
      </c>
      <c r="B8" s="1"/>
      <c r="C8" t="s">
        <v>87</v>
      </c>
      <c r="D8" t="s">
        <v>88</v>
      </c>
      <c r="E8" t="s">
        <v>89</v>
      </c>
      <c r="F8" t="s">
        <v>7</v>
      </c>
    </row>
    <row r="9" spans="1:10" x14ac:dyDescent="0.3">
      <c r="A9" t="s">
        <v>8</v>
      </c>
      <c r="B9" t="s">
        <v>94</v>
      </c>
      <c r="C9">
        <v>590</v>
      </c>
      <c r="D9">
        <v>615</v>
      </c>
      <c r="E9">
        <v>640</v>
      </c>
      <c r="F9">
        <v>670</v>
      </c>
    </row>
    <row r="10" spans="1:10" x14ac:dyDescent="0.3">
      <c r="A10" t="s">
        <v>9</v>
      </c>
      <c r="B10" s="1" t="s">
        <v>95</v>
      </c>
      <c r="C10">
        <v>374</v>
      </c>
      <c r="D10">
        <v>420</v>
      </c>
      <c r="E10">
        <v>460</v>
      </c>
      <c r="F10">
        <v>455</v>
      </c>
    </row>
    <row r="11" spans="1:10" x14ac:dyDescent="0.3">
      <c r="A11" t="s">
        <v>10</v>
      </c>
      <c r="B11" s="1" t="s">
        <v>96</v>
      </c>
      <c r="C11">
        <f>VALUE(LEFT(G11,2))</f>
        <v>75</v>
      </c>
      <c r="D11">
        <f t="shared" ref="D11:F11" si="0">VALUE(LEFT(H11,2))</f>
        <v>75</v>
      </c>
      <c r="E11">
        <f t="shared" si="0"/>
        <v>75</v>
      </c>
      <c r="F11">
        <f t="shared" si="0"/>
        <v>75</v>
      </c>
      <c r="G11" t="s">
        <v>97</v>
      </c>
      <c r="H11" t="s">
        <v>97</v>
      </c>
      <c r="I11" t="s">
        <v>97</v>
      </c>
      <c r="J11" t="s">
        <v>97</v>
      </c>
    </row>
    <row r="12" spans="1:10" x14ac:dyDescent="0.3">
      <c r="A12" t="s">
        <v>11</v>
      </c>
      <c r="B12" t="s">
        <v>98</v>
      </c>
      <c r="C12">
        <f>VALUE(LEFT(G12,3))</f>
        <v>420</v>
      </c>
      <c r="D12">
        <f t="shared" ref="D12:F12" si="1">VALUE(LEFT(H12,3))</f>
        <v>420</v>
      </c>
      <c r="E12">
        <f t="shared" si="1"/>
        <v>420</v>
      </c>
      <c r="F12">
        <f t="shared" si="1"/>
        <v>420</v>
      </c>
      <c r="G12" t="s">
        <v>99</v>
      </c>
      <c r="H12" t="s">
        <v>99</v>
      </c>
      <c r="I12" t="s">
        <v>99</v>
      </c>
      <c r="J12" t="s">
        <v>99</v>
      </c>
    </row>
    <row r="13" spans="1:10" x14ac:dyDescent="0.3">
      <c r="A13" t="s">
        <v>12</v>
      </c>
      <c r="B13" t="s">
        <v>100</v>
      </c>
      <c r="C13">
        <v>68</v>
      </c>
      <c r="D13">
        <v>68</v>
      </c>
      <c r="E13">
        <v>68</v>
      </c>
      <c r="F13">
        <v>68</v>
      </c>
    </row>
    <row r="14" spans="1:10" x14ac:dyDescent="0.3">
      <c r="A14" t="s">
        <v>13</v>
      </c>
      <c r="B14" t="s">
        <v>101</v>
      </c>
      <c r="C14">
        <v>299</v>
      </c>
      <c r="D14">
        <v>299</v>
      </c>
      <c r="E14">
        <v>299</v>
      </c>
      <c r="F14">
        <v>299</v>
      </c>
    </row>
    <row r="15" spans="1:10" x14ac:dyDescent="0.3">
      <c r="A15" t="s">
        <v>14</v>
      </c>
      <c r="B15" t="s">
        <v>102</v>
      </c>
      <c r="C15">
        <v>67.5</v>
      </c>
      <c r="D15">
        <v>67.5</v>
      </c>
      <c r="E15">
        <v>67.5</v>
      </c>
      <c r="F15">
        <v>67.5</v>
      </c>
    </row>
    <row r="16" spans="1:10" x14ac:dyDescent="0.3">
      <c r="A16" t="s">
        <v>15</v>
      </c>
      <c r="B16" t="s">
        <v>103</v>
      </c>
      <c r="C16">
        <v>1121</v>
      </c>
      <c r="D16">
        <v>1146</v>
      </c>
      <c r="E16">
        <v>1167</v>
      </c>
      <c r="F16">
        <v>1199</v>
      </c>
    </row>
    <row r="17" spans="1:6" x14ac:dyDescent="0.3">
      <c r="A17" t="s">
        <v>16</v>
      </c>
      <c r="B17" t="s">
        <v>104</v>
      </c>
      <c r="C17">
        <v>86</v>
      </c>
      <c r="D17">
        <v>96</v>
      </c>
      <c r="E17">
        <v>106</v>
      </c>
      <c r="F17">
        <v>116</v>
      </c>
    </row>
    <row r="18" spans="1:6" x14ac:dyDescent="0.3">
      <c r="A18" t="s">
        <v>17</v>
      </c>
      <c r="B18" t="s">
        <v>105</v>
      </c>
      <c r="C18">
        <v>510</v>
      </c>
      <c r="D18">
        <v>510</v>
      </c>
      <c r="E18">
        <v>510</v>
      </c>
      <c r="F18">
        <v>510</v>
      </c>
    </row>
    <row r="19" spans="1:6" x14ac:dyDescent="0.3">
      <c r="A19" t="s">
        <v>18</v>
      </c>
      <c r="B19" t="s">
        <v>106</v>
      </c>
      <c r="C19">
        <v>44</v>
      </c>
      <c r="D19">
        <v>44</v>
      </c>
      <c r="E19">
        <v>44</v>
      </c>
      <c r="F19">
        <v>44</v>
      </c>
    </row>
    <row r="20" spans="1:6" x14ac:dyDescent="0.3">
      <c r="A20" t="s">
        <v>19</v>
      </c>
      <c r="B20" t="s">
        <v>107</v>
      </c>
      <c r="C20">
        <v>112</v>
      </c>
      <c r="D20">
        <v>112</v>
      </c>
      <c r="E20">
        <v>112</v>
      </c>
      <c r="F20">
        <v>112</v>
      </c>
    </row>
    <row r="21" spans="1:6" x14ac:dyDescent="0.3">
      <c r="A21" t="s">
        <v>20</v>
      </c>
      <c r="B21" t="s">
        <v>108</v>
      </c>
      <c r="C21">
        <v>599</v>
      </c>
      <c r="D21">
        <v>607</v>
      </c>
      <c r="E21">
        <v>615</v>
      </c>
      <c r="F21">
        <v>627</v>
      </c>
    </row>
    <row r="22" spans="1:6" x14ac:dyDescent="0.3">
      <c r="A22" t="s">
        <v>21</v>
      </c>
      <c r="B22" t="s">
        <v>109</v>
      </c>
      <c r="C22">
        <v>435</v>
      </c>
      <c r="D22">
        <v>455</v>
      </c>
      <c r="E22">
        <v>474</v>
      </c>
      <c r="F22">
        <v>499</v>
      </c>
    </row>
    <row r="23" spans="1:6" x14ac:dyDescent="0.3">
      <c r="A23" t="s">
        <v>22</v>
      </c>
      <c r="B23" t="s">
        <v>110</v>
      </c>
      <c r="C23">
        <v>700</v>
      </c>
      <c r="D23">
        <v>735</v>
      </c>
      <c r="E23">
        <v>770</v>
      </c>
      <c r="F23">
        <v>790</v>
      </c>
    </row>
    <row r="24" spans="1:6" x14ac:dyDescent="0.3">
      <c r="A24" s="1" t="s">
        <v>79</v>
      </c>
      <c r="C24">
        <f>VALUE(RIGHT(G11,4))</f>
        <v>73.3</v>
      </c>
      <c r="D24">
        <f t="shared" ref="D24:F24" si="2">VALUE(RIGHT(H11,4))</f>
        <v>73.3</v>
      </c>
      <c r="E24">
        <f t="shared" si="2"/>
        <v>73.3</v>
      </c>
      <c r="F24">
        <f t="shared" si="2"/>
        <v>73.3</v>
      </c>
    </row>
    <row r="25" spans="1:6" x14ac:dyDescent="0.3">
      <c r="A25" s="1" t="s">
        <v>116</v>
      </c>
      <c r="C25">
        <v>120</v>
      </c>
      <c r="D25">
        <v>120</v>
      </c>
      <c r="E25">
        <v>120</v>
      </c>
      <c r="F25">
        <v>120</v>
      </c>
    </row>
    <row r="26" spans="1:6" x14ac:dyDescent="0.3">
      <c r="A26" s="1" t="s">
        <v>117</v>
      </c>
    </row>
    <row r="27" spans="1:6" x14ac:dyDescent="0.3">
      <c r="A27" t="s">
        <v>23</v>
      </c>
      <c r="B27" t="s">
        <v>23</v>
      </c>
    </row>
    <row r="28" spans="1:6" x14ac:dyDescent="0.3">
      <c r="A28" t="s">
        <v>24</v>
      </c>
      <c r="B28" t="s">
        <v>24</v>
      </c>
    </row>
    <row r="29" spans="1:6" x14ac:dyDescent="0.3">
      <c r="A29" t="s">
        <v>25</v>
      </c>
      <c r="B29" t="s">
        <v>25</v>
      </c>
    </row>
    <row r="30" spans="1:6" x14ac:dyDescent="0.3">
      <c r="A30" t="s">
        <v>26</v>
      </c>
    </row>
    <row r="31" spans="1:6" x14ac:dyDescent="0.3">
      <c r="A31" t="s">
        <v>27</v>
      </c>
      <c r="B31" t="s">
        <v>27</v>
      </c>
      <c r="C31">
        <v>29</v>
      </c>
      <c r="D31">
        <v>29</v>
      </c>
      <c r="E31">
        <v>29</v>
      </c>
      <c r="F31">
        <v>29</v>
      </c>
    </row>
    <row r="32" spans="1:6" x14ac:dyDescent="0.3">
      <c r="A32" t="s">
        <v>28</v>
      </c>
      <c r="B32" t="s">
        <v>28</v>
      </c>
      <c r="C32">
        <v>2.4</v>
      </c>
      <c r="D32">
        <v>2.4</v>
      </c>
      <c r="E32">
        <v>2.4</v>
      </c>
      <c r="F32">
        <v>2.4</v>
      </c>
    </row>
    <row r="33" spans="1:6" x14ac:dyDescent="0.3">
      <c r="A33" t="s">
        <v>29</v>
      </c>
      <c r="B33" t="s">
        <v>29</v>
      </c>
      <c r="C33">
        <v>2.6</v>
      </c>
      <c r="D33">
        <v>2.6</v>
      </c>
      <c r="E33">
        <v>2.6</v>
      </c>
      <c r="F33">
        <v>2.6</v>
      </c>
    </row>
    <row r="34" spans="1:6" x14ac:dyDescent="0.3">
      <c r="A34" t="s">
        <v>30</v>
      </c>
      <c r="B34" t="s">
        <v>30</v>
      </c>
      <c r="C34">
        <f>C36*2.54</f>
        <v>154.94</v>
      </c>
      <c r="D34">
        <f t="shared" ref="D34:F35" si="3">D36*2.54</f>
        <v>167.64000000000001</v>
      </c>
      <c r="E34">
        <f t="shared" si="3"/>
        <v>175.26</v>
      </c>
      <c r="F34">
        <f t="shared" si="3"/>
        <v>185.42000000000002</v>
      </c>
    </row>
    <row r="35" spans="1:6" x14ac:dyDescent="0.3">
      <c r="A35" t="s">
        <v>31</v>
      </c>
      <c r="B35" t="s">
        <v>31</v>
      </c>
      <c r="C35">
        <f>C37*2.54</f>
        <v>170.18</v>
      </c>
      <c r="D35">
        <f t="shared" si="3"/>
        <v>177.8</v>
      </c>
      <c r="E35">
        <f t="shared" si="3"/>
        <v>187.96</v>
      </c>
      <c r="F35">
        <f t="shared" si="3"/>
        <v>200.66</v>
      </c>
    </row>
    <row r="36" spans="1:6" x14ac:dyDescent="0.3">
      <c r="C36">
        <v>61</v>
      </c>
      <c r="D36">
        <v>66</v>
      </c>
      <c r="E36">
        <v>69</v>
      </c>
      <c r="F36">
        <v>73</v>
      </c>
    </row>
    <row r="37" spans="1:6" x14ac:dyDescent="0.3">
      <c r="A37" t="s">
        <v>32</v>
      </c>
      <c r="B37" t="s">
        <v>33</v>
      </c>
      <c r="C37">
        <v>67</v>
      </c>
      <c r="D37">
        <v>70</v>
      </c>
      <c r="E37">
        <v>74</v>
      </c>
      <c r="F37">
        <v>79</v>
      </c>
    </row>
    <row r="38" spans="1:6" x14ac:dyDescent="0.3">
      <c r="A38" t="s">
        <v>70</v>
      </c>
      <c r="B38" s="1" t="s">
        <v>113</v>
      </c>
      <c r="C38" t="s">
        <v>90</v>
      </c>
      <c r="D38" t="s">
        <v>91</v>
      </c>
      <c r="E38" t="s">
        <v>92</v>
      </c>
      <c r="F38" t="s">
        <v>93</v>
      </c>
    </row>
    <row r="39" spans="1:6" x14ac:dyDescent="0.3">
      <c r="A39" t="s">
        <v>71</v>
      </c>
      <c r="B39" s="1" t="s">
        <v>114</v>
      </c>
    </row>
    <row r="40" spans="1:6" x14ac:dyDescent="0.3">
      <c r="A40" t="s">
        <v>72</v>
      </c>
      <c r="B40" s="1" t="s">
        <v>115</v>
      </c>
    </row>
    <row r="41" spans="1:6" x14ac:dyDescent="0.3">
      <c r="A41" t="s">
        <v>34</v>
      </c>
      <c r="B41" t="s">
        <v>35</v>
      </c>
    </row>
    <row r="42" spans="1:6" x14ac:dyDescent="0.3">
      <c r="A42" t="s">
        <v>36</v>
      </c>
      <c r="B42" s="1" t="s">
        <v>75</v>
      </c>
    </row>
    <row r="43" spans="1:6" x14ac:dyDescent="0.3">
      <c r="A43" t="s">
        <v>37</v>
      </c>
      <c r="B43">
        <v>15</v>
      </c>
    </row>
    <row r="44" spans="1:6" x14ac:dyDescent="0.3">
      <c r="A44" t="s">
        <v>38</v>
      </c>
      <c r="B44" s="3">
        <v>2.6</v>
      </c>
    </row>
    <row r="45" spans="1:6" x14ac:dyDescent="0.3">
      <c r="A45" t="s">
        <v>39</v>
      </c>
    </row>
    <row r="46" spans="1:6" x14ac:dyDescent="0.3">
      <c r="A46" t="s">
        <v>40</v>
      </c>
      <c r="B46" s="1">
        <v>120</v>
      </c>
    </row>
    <row r="47" spans="1:6" x14ac:dyDescent="0.3">
      <c r="A47" t="s">
        <v>41</v>
      </c>
      <c r="B47">
        <v>120</v>
      </c>
    </row>
    <row r="48" spans="1:6" x14ac:dyDescent="0.3">
      <c r="A48" t="s">
        <v>42</v>
      </c>
    </row>
    <row r="49" spans="1:3" x14ac:dyDescent="0.3">
      <c r="A49" t="s">
        <v>43</v>
      </c>
    </row>
    <row r="50" spans="1:3" x14ac:dyDescent="0.3">
      <c r="A50" t="s">
        <v>44</v>
      </c>
      <c r="B50">
        <v>148</v>
      </c>
    </row>
    <row r="51" spans="1:3" x14ac:dyDescent="0.3">
      <c r="A51" t="s">
        <v>45</v>
      </c>
      <c r="B51">
        <v>110</v>
      </c>
    </row>
    <row r="52" spans="1:3" x14ac:dyDescent="0.3">
      <c r="A52" t="s">
        <v>80</v>
      </c>
    </row>
    <row r="53" spans="1:3" x14ac:dyDescent="0.3">
      <c r="A53" t="s">
        <v>81</v>
      </c>
    </row>
    <row r="54" spans="1:3" x14ac:dyDescent="0.3">
      <c r="A54" t="s">
        <v>82</v>
      </c>
    </row>
    <row r="55" spans="1:3" x14ac:dyDescent="0.3">
      <c r="A55" t="s">
        <v>83</v>
      </c>
    </row>
    <row r="56" spans="1:3" x14ac:dyDescent="0.3">
      <c r="A56" t="s">
        <v>84</v>
      </c>
    </row>
    <row r="57" spans="1:3" x14ac:dyDescent="0.3">
      <c r="A57" t="s">
        <v>85</v>
      </c>
    </row>
    <row r="58" spans="1:3" x14ac:dyDescent="0.3">
      <c r="A58" t="s">
        <v>46</v>
      </c>
      <c r="B58" s="1" t="s">
        <v>118</v>
      </c>
      <c r="C58" s="1" t="s">
        <v>119</v>
      </c>
    </row>
    <row r="59" spans="1:3" x14ac:dyDescent="0.3">
      <c r="A59" t="s">
        <v>47</v>
      </c>
    </row>
    <row r="60" spans="1:3" x14ac:dyDescent="0.3">
      <c r="A60" t="s">
        <v>48</v>
      </c>
      <c r="B60">
        <v>31.6</v>
      </c>
    </row>
    <row r="61" spans="1:3" x14ac:dyDescent="0.3">
      <c r="A61" t="s">
        <v>49</v>
      </c>
      <c r="B61" s="1"/>
    </row>
    <row r="62" spans="1:3" x14ac:dyDescent="0.3">
      <c r="A62" t="s">
        <v>50</v>
      </c>
    </row>
    <row r="63" spans="1:3" x14ac:dyDescent="0.3">
      <c r="A63" t="s">
        <v>51</v>
      </c>
    </row>
    <row r="64" spans="1:3" x14ac:dyDescent="0.3">
      <c r="A64" t="s">
        <v>52</v>
      </c>
    </row>
    <row r="65" spans="1:2" x14ac:dyDescent="0.3">
      <c r="A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 s="1"/>
    </row>
    <row r="68" spans="1:2" x14ac:dyDescent="0.3">
      <c r="A68" t="s">
        <v>56</v>
      </c>
      <c r="B68" s="1"/>
    </row>
    <row r="69" spans="1:2" x14ac:dyDescent="0.3">
      <c r="A69" t="s">
        <v>57</v>
      </c>
    </row>
    <row r="70" spans="1:2" x14ac:dyDescent="0.3">
      <c r="A70" t="s">
        <v>58</v>
      </c>
    </row>
    <row r="71" spans="1:2" x14ac:dyDescent="0.3">
      <c r="A71" t="s">
        <v>59</v>
      </c>
      <c r="B71">
        <v>2</v>
      </c>
    </row>
    <row r="72" spans="1:2" x14ac:dyDescent="0.3">
      <c r="A72" t="s">
        <v>60</v>
      </c>
      <c r="B72">
        <v>1</v>
      </c>
    </row>
    <row r="73" spans="1:2" x14ac:dyDescent="0.3">
      <c r="A73" t="s">
        <v>61</v>
      </c>
      <c r="B73">
        <v>1</v>
      </c>
    </row>
    <row r="74" spans="1:2" x14ac:dyDescent="0.3">
      <c r="A74" t="s">
        <v>62</v>
      </c>
      <c r="B74" s="1"/>
    </row>
    <row r="75" spans="1:2" x14ac:dyDescent="0.3">
      <c r="A75" t="s">
        <v>63</v>
      </c>
      <c r="B75" s="1"/>
    </row>
    <row r="76" spans="1:2" x14ac:dyDescent="0.3">
      <c r="A76" t="s">
        <v>64</v>
      </c>
      <c r="B76" s="1"/>
    </row>
    <row r="77" spans="1:2" x14ac:dyDescent="0.3">
      <c r="A77" t="s">
        <v>65</v>
      </c>
      <c r="B77" s="1"/>
    </row>
    <row r="78" spans="1:2" x14ac:dyDescent="0.3">
      <c r="A78" t="s">
        <v>66</v>
      </c>
      <c r="B78">
        <v>2799</v>
      </c>
    </row>
    <row r="79" spans="1:2" x14ac:dyDescent="0.3">
      <c r="A79" t="s">
        <v>67</v>
      </c>
      <c r="B79">
        <v>4799</v>
      </c>
    </row>
    <row r="80" spans="1:2" x14ac:dyDescent="0.3">
      <c r="A80" t="s">
        <v>68</v>
      </c>
    </row>
    <row r="81" spans="1:2" x14ac:dyDescent="0.3">
      <c r="A81" t="s">
        <v>69</v>
      </c>
      <c r="B81" s="1" t="s">
        <v>76</v>
      </c>
    </row>
    <row r="82" spans="1:2" x14ac:dyDescent="0.3">
      <c r="A82" t="s">
        <v>77</v>
      </c>
      <c r="B82" t="s">
        <v>78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2025-12-12T22:53:21Z</dcterms:modified>
</cp:coreProperties>
</file>