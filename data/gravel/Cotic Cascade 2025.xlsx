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hardtail/"/>
    </mc:Choice>
  </mc:AlternateContent>
  <xr:revisionPtr revIDLastSave="0" documentId="13_ncr:1_{AC290BFA-8E36-D149-B4A7-7CB9E08D6102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1" l="1"/>
  <c r="E30" i="1"/>
  <c r="F30" i="1"/>
  <c r="C30" i="1"/>
  <c r="E29" i="1"/>
  <c r="F29" i="1"/>
  <c r="G29" i="1"/>
  <c r="D29" i="1"/>
  <c r="G30" i="1"/>
  <c r="C29" i="1"/>
  <c r="G27" i="1"/>
  <c r="G28" i="1"/>
  <c r="B39" i="1"/>
  <c r="D27" i="1"/>
  <c r="E27" i="1"/>
  <c r="F27" i="1"/>
  <c r="D28" i="1"/>
  <c r="E28" i="1"/>
  <c r="F28" i="1"/>
  <c r="C27" i="1"/>
  <c r="C28" i="1"/>
</calcChain>
</file>

<file path=xl/sharedStrings.xml><?xml version="1.0" encoding="utf-8"?>
<sst xmlns="http://schemas.openxmlformats.org/spreadsheetml/2006/main" count="127" uniqueCount="112">
  <si>
    <t>brand</t>
  </si>
  <si>
    <t>Cotic</t>
  </si>
  <si>
    <t>model</t>
  </si>
  <si>
    <t xml:space="preserve">Cascade </t>
  </si>
  <si>
    <t>model_year</t>
  </si>
  <si>
    <t>input_date</t>
  </si>
  <si>
    <t>url</t>
  </si>
  <si>
    <t>data_range</t>
  </si>
  <si>
    <t>frame_size</t>
  </si>
  <si>
    <t>Small</t>
  </si>
  <si>
    <t>Medium</t>
  </si>
  <si>
    <t>Large</t>
  </si>
  <si>
    <t>XL</t>
  </si>
  <si>
    <t>seat_tube_length</t>
  </si>
  <si>
    <t>Seat Tube (centre-top)</t>
  </si>
  <si>
    <t>top_tube_effective_length</t>
  </si>
  <si>
    <t>Top Tube Length (effective)</t>
  </si>
  <si>
    <t>chainstay_length</t>
  </si>
  <si>
    <t>head_tube_angle</t>
  </si>
  <si>
    <t>Head Angle</t>
  </si>
  <si>
    <t>seat_tube_angle</t>
  </si>
  <si>
    <t>Seat Angle</t>
  </si>
  <si>
    <t>bottom_bracket_drop</t>
  </si>
  <si>
    <t>BB Drop</t>
  </si>
  <si>
    <t>head_tube_length</t>
  </si>
  <si>
    <t>Head Tube Length</t>
  </si>
  <si>
    <t>reach</t>
  </si>
  <si>
    <t>Reach</t>
  </si>
  <si>
    <t>stack</t>
  </si>
  <si>
    <t>Stack</t>
  </si>
  <si>
    <t>wheelbase</t>
  </si>
  <si>
    <t>Wheelbase</t>
  </si>
  <si>
    <t>fork_offset_rake</t>
  </si>
  <si>
    <t>Fork Offset</t>
  </si>
  <si>
    <t>axle_crown</t>
  </si>
  <si>
    <t>Rigid Fork Length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</si>
  <si>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</si>
  <si>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</si>
  <si>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</si>
  <si>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</si>
  <si>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</si>
  <si>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</si>
  <si>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</si>
  <si>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</si>
  <si>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</si>
  <si>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</si>
  <si>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</si>
  <si>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</si>
  <si>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</si>
  <si>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</si>
  <si>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</si>
  <si>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</si>
  <si>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</si>
  <si>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</si>
  <si>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</si>
  <si>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</si>
  <si>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</si>
  <si>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</si>
  <si>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</si>
  <si>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</si>
  <si>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</si>
  <si>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</si>
  <si>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</si>
  <si>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</si>
  <si>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</si>
  <si>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</si>
  <si>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</si>
  <si>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</si>
  <si>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</si>
  <si>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</si>
  <si>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</si>
  <si>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</si>
  <si>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</si>
  <si>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</si>
  <si>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</si>
  <si>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</si>
  <si>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</si>
  <si>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</si>
  <si>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</si>
  <si>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</si>
  <si>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</si>
  <si>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</si>
  <si>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</si>
  <si>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</si>
  <si>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</si>
  <si>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</si>
  <si>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</si>
  <si>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</si>
  <si>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</si>
  <si>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both</t>
  </si>
  <si>
    <t>yes</t>
  </si>
  <si>
    <t>pounds</t>
  </si>
  <si>
    <t>Frame Size</t>
  </si>
  <si>
    <t>XS</t>
  </si>
  <si>
    <t>Rear Centre</t>
  </si>
  <si>
    <t>Rear Axle Thread</t>
  </si>
  <si>
    <t>M12x1.0</t>
  </si>
  <si>
    <t>Stem (drop bar)</t>
  </si>
  <si>
    <t>50-70</t>
  </si>
  <si>
    <t>60-70</t>
  </si>
  <si>
    <t>Stem (flat bar)</t>
  </si>
  <si>
    <t>70-100</t>
  </si>
  <si>
    <t>80-100</t>
  </si>
  <si>
    <t>Usual Height Range</t>
  </si>
  <si>
    <t>155-166cm</t>
  </si>
  <si>
    <t>165-174cm</t>
  </si>
  <si>
    <t>172-180cm</t>
  </si>
  <si>
    <t>178-188cm</t>
  </si>
  <si>
    <t>186-195cm</t>
  </si>
  <si>
    <t>https://www.cotic.co.uk/product/cascade</t>
  </si>
  <si>
    <t>external</t>
  </si>
  <si>
    <t>a8:g30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</si>
</sst>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0"/>
  <sheetViews>
    <sheetView tabSelected="1" topLeftCell="A26" workbookViewId="0">
      <selection activeCell="B40" sqref="B40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t="s">
        <v>3</v>
      </c>
    </row>
    <row r="3" spans="1:7" x14ac:dyDescent="0.3">
      <c r="A3" t="s">
        <v>4</v>
      </c>
      <c r="B3">
        <v>2025</v>
      </c>
    </row>
    <row r="4" spans="1:7" x14ac:dyDescent="0.3">
      <c r="A4" t="s">
        <v>5</v>
      </c>
      <c r="B4" s="2">
        <v>45883</v>
      </c>
    </row>
    <row r="5" spans="1:7" x14ac:dyDescent="0.3">
      <c r="A5" t="s">
        <v>6</v>
      </c>
      <c r="B5" t="s">
        <v>109</v>
      </c>
    </row>
    <row r="7" spans="1:7" x14ac:dyDescent="0.3">
      <c r="A7" t="s">
        <v>7</v>
      </c>
      <c r="B7" s="1" t="s">
        <v>111</v>
      </c>
    </row>
    <row r="8" spans="1:7" x14ac:dyDescent="0.3">
      <c r="A8" t="s">
        <v>8</v>
      </c>
      <c r="B8" s="1" t="s">
        <v>92</v>
      </c>
      <c r="C8" t="s">
        <v>93</v>
      </c>
      <c r="D8" t="s">
        <v>9</v>
      </c>
      <c r="E8" t="s">
        <v>10</v>
      </c>
      <c r="F8" t="s">
        <v>11</v>
      </c>
      <c r="G8" t="s">
        <v>12</v>
      </c>
    </row>
    <row r="9" spans="1:7" x14ac:dyDescent="0.3">
      <c r="A9" t="s">
        <v>13</v>
      </c>
      <c r="B9" t="s">
        <v>14</v>
      </c>
      <c r="C9">
        <v>400</v>
      </c>
      <c r="D9">
        <v>435</v>
      </c>
      <c r="E9">
        <v>470</v>
      </c>
      <c r="F9">
        <v>505</v>
      </c>
      <c r="G9">
        <v>540</v>
      </c>
    </row>
    <row r="10" spans="1:7" x14ac:dyDescent="0.3">
      <c r="A10" t="s">
        <v>15</v>
      </c>
      <c r="B10" t="s">
        <v>16</v>
      </c>
      <c r="C10">
        <v>532</v>
      </c>
      <c r="D10">
        <v>546</v>
      </c>
      <c r="E10">
        <v>575</v>
      </c>
      <c r="F10">
        <v>603</v>
      </c>
      <c r="G10">
        <v>631</v>
      </c>
    </row>
    <row r="11" spans="1:7" x14ac:dyDescent="0.3">
      <c r="A11" t="s">
        <v>17</v>
      </c>
      <c r="B11" t="s">
        <v>94</v>
      </c>
      <c r="C11">
        <v>439</v>
      </c>
      <c r="D11">
        <v>439</v>
      </c>
      <c r="E11">
        <v>439</v>
      </c>
      <c r="F11">
        <v>439</v>
      </c>
      <c r="G11">
        <v>439</v>
      </c>
    </row>
    <row r="12" spans="1:7" x14ac:dyDescent="0.3">
      <c r="A12" t="s">
        <v>18</v>
      </c>
      <c r="B12" t="s">
        <v>19</v>
      </c>
      <c r="C12">
        <v>68</v>
      </c>
      <c r="D12">
        <v>68</v>
      </c>
      <c r="E12">
        <v>69</v>
      </c>
      <c r="F12">
        <v>69</v>
      </c>
      <c r="G12">
        <v>69</v>
      </c>
    </row>
    <row r="13" spans="1:7" x14ac:dyDescent="0.3">
      <c r="A13" t="s">
        <v>20</v>
      </c>
      <c r="B13" t="s">
        <v>21</v>
      </c>
      <c r="C13">
        <v>74.5</v>
      </c>
      <c r="D13">
        <v>74</v>
      </c>
      <c r="E13">
        <v>74</v>
      </c>
      <c r="F13">
        <v>74</v>
      </c>
      <c r="G13">
        <v>74</v>
      </c>
    </row>
    <row r="14" spans="1:7" x14ac:dyDescent="0.3">
      <c r="A14" t="s">
        <v>22</v>
      </c>
      <c r="B14" t="s">
        <v>23</v>
      </c>
      <c r="C14">
        <v>70</v>
      </c>
      <c r="D14">
        <v>70</v>
      </c>
      <c r="E14">
        <v>70</v>
      </c>
      <c r="F14">
        <v>70</v>
      </c>
      <c r="G14">
        <v>70</v>
      </c>
    </row>
    <row r="15" spans="1:7" x14ac:dyDescent="0.3">
      <c r="A15" t="s">
        <v>24</v>
      </c>
      <c r="B15" t="s">
        <v>25</v>
      </c>
      <c r="C15">
        <v>100</v>
      </c>
      <c r="D15">
        <v>116</v>
      </c>
      <c r="E15">
        <v>133</v>
      </c>
      <c r="F15">
        <v>150</v>
      </c>
      <c r="G15">
        <v>165</v>
      </c>
    </row>
    <row r="16" spans="1:7" x14ac:dyDescent="0.3">
      <c r="A16" t="s">
        <v>26</v>
      </c>
      <c r="B16" t="s">
        <v>27</v>
      </c>
      <c r="C16">
        <v>357</v>
      </c>
      <c r="D16">
        <v>372</v>
      </c>
      <c r="E16">
        <v>393</v>
      </c>
      <c r="F16">
        <v>414</v>
      </c>
      <c r="G16">
        <v>435</v>
      </c>
    </row>
    <row r="17" spans="1:7" x14ac:dyDescent="0.3">
      <c r="A17" t="s">
        <v>28</v>
      </c>
      <c r="B17" t="s">
        <v>29</v>
      </c>
      <c r="C17">
        <v>607</v>
      </c>
      <c r="D17">
        <v>619</v>
      </c>
      <c r="E17">
        <v>640</v>
      </c>
      <c r="F17">
        <v>656</v>
      </c>
      <c r="G17">
        <v>667</v>
      </c>
    </row>
    <row r="18" spans="1:7" x14ac:dyDescent="0.3">
      <c r="A18" t="s">
        <v>30</v>
      </c>
      <c r="B18" t="s">
        <v>31</v>
      </c>
      <c r="C18">
        <v>1064</v>
      </c>
      <c r="D18">
        <v>1077</v>
      </c>
      <c r="E18">
        <v>1109</v>
      </c>
      <c r="F18">
        <v>1136</v>
      </c>
      <c r="G18">
        <v>1163</v>
      </c>
    </row>
    <row r="19" spans="1:7" x14ac:dyDescent="0.3">
      <c r="A19" t="s">
        <v>32</v>
      </c>
      <c r="B19" t="s">
        <v>33</v>
      </c>
      <c r="C19">
        <v>44</v>
      </c>
      <c r="D19">
        <v>44</v>
      </c>
      <c r="E19">
        <v>44</v>
      </c>
      <c r="F19">
        <v>44</v>
      </c>
      <c r="G19">
        <v>44</v>
      </c>
    </row>
    <row r="20" spans="1:7" x14ac:dyDescent="0.3">
      <c r="A20" t="s">
        <v>34</v>
      </c>
      <c r="B20" t="s">
        <v>35</v>
      </c>
      <c r="C20">
        <v>483</v>
      </c>
      <c r="D20">
        <v>483</v>
      </c>
      <c r="E20">
        <v>483</v>
      </c>
      <c r="F20">
        <v>483</v>
      </c>
      <c r="G20">
        <v>483</v>
      </c>
    </row>
    <row r="21" spans="1:7" x14ac:dyDescent="0.3">
      <c r="A21" t="s">
        <v>36</v>
      </c>
    </row>
    <row r="22" spans="1:7" x14ac:dyDescent="0.3">
      <c r="A22" t="s">
        <v>37</v>
      </c>
    </row>
    <row r="23" spans="1:7" x14ac:dyDescent="0.3">
      <c r="A23" t="s">
        <v>38</v>
      </c>
    </row>
    <row r="24" spans="1:7" x14ac:dyDescent="0.3">
      <c r="A24" t="s">
        <v>39</v>
      </c>
    </row>
    <row r="25" spans="1:7" x14ac:dyDescent="0.3">
      <c r="A25" t="s">
        <v>40</v>
      </c>
    </row>
    <row r="26" spans="1:7" x14ac:dyDescent="0.3">
      <c r="A26" t="s">
        <v>41</v>
      </c>
    </row>
    <row r="27" spans="1:7" x14ac:dyDescent="0.3">
      <c r="A27" t="s">
        <v>42</v>
      </c>
      <c r="B27" t="s">
        <v>42</v>
      </c>
      <c r="C27">
        <f>2.1*25.4</f>
        <v>53.339999999999996</v>
      </c>
      <c r="D27">
        <f t="shared" ref="D27:F27" si="0">2.1*25.4</f>
        <v>53.339999999999996</v>
      </c>
      <c r="E27">
        <f t="shared" si="0"/>
        <v>53.339999999999996</v>
      </c>
      <c r="F27">
        <f t="shared" si="0"/>
        <v>53.339999999999996</v>
      </c>
      <c r="G27">
        <f>2.1*25.4</f>
        <v>53.339999999999996</v>
      </c>
    </row>
    <row r="28" spans="1:7" x14ac:dyDescent="0.3">
      <c r="A28" t="s">
        <v>43</v>
      </c>
      <c r="B28" t="s">
        <v>43</v>
      </c>
      <c r="C28">
        <f>2.4*25.4</f>
        <v>60.959999999999994</v>
      </c>
      <c r="D28">
        <f t="shared" ref="D28:F28" si="1">2.4*25.4</f>
        <v>60.959999999999994</v>
      </c>
      <c r="E28">
        <f t="shared" si="1"/>
        <v>60.959999999999994</v>
      </c>
      <c r="F28">
        <f t="shared" si="1"/>
        <v>60.959999999999994</v>
      </c>
      <c r="G28">
        <f>2.4*25.4</f>
        <v>60.959999999999994</v>
      </c>
    </row>
    <row r="29" spans="1:7" x14ac:dyDescent="0.3">
      <c r="A29" t="s">
        <v>44</v>
      </c>
      <c r="C29">
        <f>C31</f>
        <v>155</v>
      </c>
      <c r="D29">
        <f>AVERAGE(D31,C32)</f>
        <v>165.5</v>
      </c>
      <c r="E29">
        <f t="shared" ref="E29:G29" si="2">AVERAGE(E31,D32)</f>
        <v>173</v>
      </c>
      <c r="F29">
        <f t="shared" si="2"/>
        <v>179</v>
      </c>
      <c r="G29">
        <f t="shared" si="2"/>
        <v>187</v>
      </c>
    </row>
    <row r="30" spans="1:7" x14ac:dyDescent="0.3">
      <c r="A30" t="s">
        <v>45</v>
      </c>
      <c r="C30">
        <f>D29</f>
        <v>165.5</v>
      </c>
      <c r="D30">
        <f t="shared" ref="D30:F30" si="3">E29</f>
        <v>173</v>
      </c>
      <c r="E30">
        <f t="shared" si="3"/>
        <v>179</v>
      </c>
      <c r="F30">
        <f t="shared" si="3"/>
        <v>187</v>
      </c>
      <c r="G30">
        <f>G32</f>
        <v>195</v>
      </c>
    </row>
    <row r="31" spans="1:7" x14ac:dyDescent="0.3">
      <c r="C31">
        <v>155</v>
      </c>
      <c r="D31">
        <v>165</v>
      </c>
      <c r="E31">
        <v>172</v>
      </c>
      <c r="F31">
        <v>178</v>
      </c>
      <c r="G31">
        <v>186</v>
      </c>
    </row>
    <row r="32" spans="1:7" x14ac:dyDescent="0.3">
      <c r="A32" t="s">
        <v>46</v>
      </c>
      <c r="B32" t="s">
        <v>47</v>
      </c>
      <c r="C32">
        <v>166</v>
      </c>
      <c r="D32">
        <v>174</v>
      </c>
      <c r="E32">
        <v>180</v>
      </c>
      <c r="F32">
        <v>188</v>
      </c>
      <c r="G32">
        <v>195</v>
      </c>
    </row>
    <row r="33" spans="1:8" x14ac:dyDescent="0.3">
      <c r="A33" t="s">
        <v>84</v>
      </c>
      <c r="B33" t="s">
        <v>85</v>
      </c>
      <c r="C33" t="s">
        <v>96</v>
      </c>
      <c r="D33" t="s">
        <v>96</v>
      </c>
      <c r="E33" t="s">
        <v>96</v>
      </c>
      <c r="F33" t="s">
        <v>96</v>
      </c>
      <c r="G33" t="s">
        <v>96</v>
      </c>
      <c r="H33" t="s">
        <v>95</v>
      </c>
    </row>
    <row r="34" spans="1:8" x14ac:dyDescent="0.3">
      <c r="A34" t="s">
        <v>86</v>
      </c>
      <c r="B34" s="1" t="s">
        <v>89</v>
      </c>
      <c r="C34" t="s">
        <v>98</v>
      </c>
      <c r="D34" t="s">
        <v>98</v>
      </c>
      <c r="E34" t="s">
        <v>99</v>
      </c>
      <c r="F34" t="s">
        <v>99</v>
      </c>
      <c r="G34" t="s">
        <v>99</v>
      </c>
      <c r="H34" t="s">
        <v>97</v>
      </c>
    </row>
    <row r="35" spans="1:8" x14ac:dyDescent="0.3">
      <c r="A35" t="s">
        <v>87</v>
      </c>
      <c r="B35" t="s">
        <v>88</v>
      </c>
      <c r="C35" t="s">
        <v>101</v>
      </c>
      <c r="D35" t="s">
        <v>101</v>
      </c>
      <c r="E35" t="s">
        <v>102</v>
      </c>
      <c r="F35" t="s">
        <v>102</v>
      </c>
      <c r="G35" t="s">
        <v>102</v>
      </c>
      <c r="H35" t="s">
        <v>100</v>
      </c>
    </row>
    <row r="36" spans="1:8" x14ac:dyDescent="0.3">
      <c r="A36" t="s">
        <v>48</v>
      </c>
      <c r="B36" t="s">
        <v>49</v>
      </c>
      <c r="C36" t="s">
        <v>104</v>
      </c>
      <c r="D36" t="s">
        <v>105</v>
      </c>
      <c r="E36" t="s">
        <v>106</v>
      </c>
      <c r="F36" t="s">
        <v>107</v>
      </c>
      <c r="G36" t="s">
        <v>108</v>
      </c>
      <c r="H36" t="s">
        <v>103</v>
      </c>
    </row>
    <row r="37" spans="1:8" x14ac:dyDescent="0.3">
      <c r="A37" t="s">
        <v>50</v>
      </c>
    </row>
    <row r="38" spans="1:8" x14ac:dyDescent="0.3">
      <c r="A38" t="s">
        <v>51</v>
      </c>
    </row>
    <row r="39" spans="1:8" x14ac:dyDescent="0.3">
      <c r="A39" t="s">
        <v>52</v>
      </c>
      <c r="B39">
        <f>2.4*25.4</f>
        <v>60.959999999999994</v>
      </c>
    </row>
    <row r="40" spans="1:8" x14ac:dyDescent="0.3">
      <c r="A40" t="s">
        <v>53</v>
      </c>
      <c r="B40">
        <v>2.8</v>
      </c>
    </row>
    <row r="41" spans="1:8" x14ac:dyDescent="0.3">
      <c r="A41" t="s">
        <v>54</v>
      </c>
      <c r="B41">
        <v>100</v>
      </c>
    </row>
    <row r="42" spans="1:8" x14ac:dyDescent="0.3">
      <c r="A42" t="s">
        <v>55</v>
      </c>
    </row>
    <row r="43" spans="1:8" x14ac:dyDescent="0.3">
      <c r="A43" t="s">
        <v>56</v>
      </c>
    </row>
    <row r="44" spans="1:8" x14ac:dyDescent="0.3">
      <c r="A44" t="s">
        <v>57</v>
      </c>
    </row>
    <row r="45" spans="1:8" x14ac:dyDescent="0.3">
      <c r="A45" t="s">
        <v>58</v>
      </c>
      <c r="B45">
        <v>148</v>
      </c>
    </row>
    <row r="46" spans="1:8" x14ac:dyDescent="0.3">
      <c r="A46" t="s">
        <v>59</v>
      </c>
      <c r="B46">
        <v>110</v>
      </c>
    </row>
    <row r="47" spans="1:8" x14ac:dyDescent="0.3">
      <c r="A47" t="s">
        <v>60</v>
      </c>
    </row>
    <row r="48" spans="1:8" x14ac:dyDescent="0.3">
      <c r="A48" t="s">
        <v>61</v>
      </c>
    </row>
    <row r="49" spans="1:2" x14ac:dyDescent="0.3">
      <c r="A49" t="s">
        <v>62</v>
      </c>
      <c r="B49">
        <v>31.6</v>
      </c>
    </row>
    <row r="50" spans="1:2" x14ac:dyDescent="0.3">
      <c r="A50" t="s">
        <v>63</v>
      </c>
    </row>
    <row r="51" spans="1:2" x14ac:dyDescent="0.3">
      <c r="A51" t="s">
        <v>64</v>
      </c>
    </row>
    <row r="52" spans="1:2" x14ac:dyDescent="0.3">
      <c r="A52" t="s">
        <v>65</v>
      </c>
    </row>
    <row r="53" spans="1:2" x14ac:dyDescent="0.3">
      <c r="A53" t="s">
        <v>66</v>
      </c>
      <c r="B53">
        <v>180</v>
      </c>
    </row>
    <row r="54" spans="1:2" x14ac:dyDescent="0.3">
      <c r="A54" t="s">
        <v>67</v>
      </c>
      <c r="B54">
        <v>160</v>
      </c>
    </row>
    <row r="55" spans="1:2" x14ac:dyDescent="0.3">
      <c r="A55" t="s">
        <v>68</v>
      </c>
    </row>
    <row r="56" spans="1:2" x14ac:dyDescent="0.3">
      <c r="A56" t="s">
        <v>69</v>
      </c>
      <c r="B56" s="1" t="s">
        <v>110</v>
      </c>
    </row>
    <row r="57" spans="1:2" x14ac:dyDescent="0.3">
      <c r="A57" t="s">
        <v>70</v>
      </c>
    </row>
    <row r="58" spans="1:2" x14ac:dyDescent="0.3">
      <c r="A58" t="s">
        <v>71</v>
      </c>
    </row>
    <row r="59" spans="1:2" x14ac:dyDescent="0.3">
      <c r="A59" t="s">
        <v>72</v>
      </c>
    </row>
    <row r="60" spans="1:2" x14ac:dyDescent="0.3">
      <c r="A60" t="s">
        <v>73</v>
      </c>
      <c r="B60">
        <v>3</v>
      </c>
    </row>
    <row r="61" spans="1:2" x14ac:dyDescent="0.3">
      <c r="A61" t="s">
        <v>74</v>
      </c>
      <c r="B61">
        <v>1</v>
      </c>
    </row>
    <row r="62" spans="1:2" x14ac:dyDescent="0.3">
      <c r="A62" t="s">
        <v>75</v>
      </c>
      <c r="B62" s="1" t="s">
        <v>90</v>
      </c>
    </row>
    <row r="63" spans="1:2" x14ac:dyDescent="0.3">
      <c r="A63" t="s">
        <v>76</v>
      </c>
      <c r="B63">
        <v>3</v>
      </c>
    </row>
    <row r="64" spans="1:2" x14ac:dyDescent="0.3">
      <c r="A64" t="s">
        <v>77</v>
      </c>
    </row>
    <row r="65" spans="1:2" x14ac:dyDescent="0.3">
      <c r="A65" t="s">
        <v>78</v>
      </c>
      <c r="B65" s="1" t="s">
        <v>90</v>
      </c>
    </row>
    <row r="66" spans="1:2" x14ac:dyDescent="0.3">
      <c r="A66" t="s">
        <v>79</v>
      </c>
      <c r="B66" s="1" t="s">
        <v>90</v>
      </c>
    </row>
    <row r="67" spans="1:2" x14ac:dyDescent="0.3">
      <c r="A67" t="s">
        <v>80</v>
      </c>
      <c r="B67">
        <v>1099</v>
      </c>
    </row>
    <row r="68" spans="1:2" x14ac:dyDescent="0.3">
      <c r="A68" t="s">
        <v>81</v>
      </c>
      <c r="B68">
        <v>2499</v>
      </c>
    </row>
    <row r="69" spans="1:2" x14ac:dyDescent="0.3">
      <c r="A69" t="s">
        <v>82</v>
      </c>
      <c r="B69" s="1" t="s">
        <v>90</v>
      </c>
    </row>
    <row r="70" spans="1:2" x14ac:dyDescent="0.3">
      <c r="A70" t="s">
        <v>83</v>
      </c>
      <c r="B70" s="1" t="s">
        <v>91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2025-07-26T17:59:00Z</dcterms:created>
  <dcterms:modified xsi:type="dcterms:W3CDTF">2025-08-16T01:13:08Z</dcterms:modified>
</cp:coreProperties>
</file>