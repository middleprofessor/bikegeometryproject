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3452D7C-A8A2-D642-B79F-FBDEBE91E8F0}" xr6:coauthVersionLast="47" xr6:coauthVersionMax="47" xr10:uidLastSave="{00000000-0000-0000-0000-000000000000}"/>
  <bookViews>
    <workbookView xWindow="2900" yWindow="278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D33" i="1" s="1"/>
  <c r="F32" i="1"/>
  <c r="E33" i="1" s="1"/>
  <c r="F33" i="1"/>
  <c r="D32" i="1"/>
  <c r="C33" i="1" s="1"/>
  <c r="C32" i="1"/>
</calcChain>
</file>

<file path=xl/sharedStrings.xml><?xml version="1.0" encoding="utf-8"?>
<sst xmlns="http://schemas.openxmlformats.org/spreadsheetml/2006/main" count="116" uniqueCount="112">
  <si>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</si>
  <si>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</si>
  <si>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</si>
  <si>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</si>
  <si>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</si>
  <si>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</si>
  <si>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</si>
  <si>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</si>
  <si>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</si>
  <si>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</si>
  <si>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</si>
  <si>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</si>
  <si>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</si>
  <si>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</si>
  <si>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</si>
  <si>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</si>
  <si>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</si>
  <si>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</si>
  <si>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</si>
  <si>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</si>
  <si>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</si>
  <si>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</si>
  <si>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</si>
  <si>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</si>
  <si>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</si>
  <si>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</si>
  <si>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</si>
  <si>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</si>
  <si>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</si>
  <si>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</si>
  <si>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</si>
  <si>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</si>
  <si>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</si>
  <si>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</si>
  <si>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</si>
  <si>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</si>
  <si>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</si>
  <si>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</si>
  <si>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</si>
  <si>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</si>
  <si>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</si>
  <si>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</si>
  <si>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</si>
  <si>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</si>
  <si>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</si>
  <si>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</si>
  <si>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</si>
  <si>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</si>
  <si>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</si>
  <si>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</si>
  <si>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</si>
  <si>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</si>
  <si>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</si>
  <si>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</si>
  <si>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</si>
  <si>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</si>
  <si>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</si>
  <si>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</si>
  <si>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</si>
  <si>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</si>
  <si>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</si>
  <si>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</si>
  <si>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</si>
  <si>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</si>
  <si>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</si>
  <si>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</si>
  <si>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</si>
  <si>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</si>
  <si>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</si>
  <si>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</si>
  <si>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</si>
  <si>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</si>
  <si>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</si>
  <si>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</si>
  <si>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</si>
  <si>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</si>
  <si>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rider_min_spec</t>
  </si>
  <si>
    <t>rider_max_spec</t>
  </si>
  <si>
    <t>Wheelbase</t>
  </si>
  <si>
    <t>Stack</t>
  </si>
  <si>
    <t>Reach</t>
  </si>
  <si>
    <t>front_center</t>
  </si>
  <si>
    <t>trail</t>
  </si>
  <si>
    <t>steel</t>
  </si>
  <si>
    <t>external</t>
  </si>
  <si>
    <t>Measurement</t>
  </si>
  <si>
    <t>S (160–168cm / 5’3”-5’6”)</t>
  </si>
  <si>
    <t>Seat Tube C–T</t>
  </si>
  <si>
    <t>Seat Tube C–C</t>
  </si>
  <si>
    <t>Head Angle</t>
  </si>
  <si>
    <t>Seat Angle</t>
  </si>
  <si>
    <t>Head Tube</t>
  </si>
  <si>
    <t>Chainstay</t>
  </si>
  <si>
    <t>Front Centre</t>
  </si>
  <si>
    <t>Standover</t>
  </si>
  <si>
    <t>Trail</t>
  </si>
  <si>
    <t>Top Tube*</t>
  </si>
  <si>
    <t>M (168–175cm / 5’6”-5’9”)</t>
  </si>
  <si>
    <t>L (178–186cm / 5’10”-6’1”)</t>
  </si>
  <si>
    <t>XL (186–194cm / 6’1”-6’4”)</t>
  </si>
  <si>
    <t>S</t>
  </si>
  <si>
    <t>M</t>
  </si>
  <si>
    <t>L</t>
  </si>
  <si>
    <t>XL</t>
  </si>
  <si>
    <t>https://singularcycles.com/products/peregrine-mk-4-frameset</t>
  </si>
  <si>
    <t>Singular</t>
  </si>
  <si>
    <t>seat_tube_ct</t>
  </si>
  <si>
    <t>48/36</t>
  </si>
  <si>
    <t>internal</t>
  </si>
  <si>
    <t>usd</t>
  </si>
  <si>
    <t>a8:f35</t>
  </si>
  <si>
    <t>Peregrine MK4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</si>
</sst>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5"/>
  <sheetViews>
    <sheetView tabSelected="1" workbookViewId="0">
      <selection activeCell="B2" sqref="B2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105</v>
      </c>
    </row>
    <row r="2" spans="1:22" x14ac:dyDescent="0.3">
      <c r="A2" s="2" t="s">
        <v>1</v>
      </c>
      <c r="B2" s="2" t="s">
        <v>111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45886</v>
      </c>
    </row>
    <row r="5" spans="1:22" x14ac:dyDescent="0.3">
      <c r="A5" s="2" t="s">
        <v>4</v>
      </c>
      <c r="B5" s="2" t="s">
        <v>104</v>
      </c>
    </row>
    <row r="7" spans="1:22" x14ac:dyDescent="0.3">
      <c r="A7" s="2" t="s">
        <v>5</v>
      </c>
      <c r="B7" s="2" t="s">
        <v>110</v>
      </c>
    </row>
    <row r="8" spans="1:22" ht="22" x14ac:dyDescent="0.3">
      <c r="A8" s="2" t="s">
        <v>6</v>
      </c>
      <c r="B8" s="9" t="s">
        <v>85</v>
      </c>
      <c r="C8" s="9" t="s">
        <v>100</v>
      </c>
      <c r="D8" s="7" t="s">
        <v>101</v>
      </c>
      <c r="E8" s="7" t="s">
        <v>102</v>
      </c>
      <c r="F8" s="7" t="s">
        <v>103</v>
      </c>
      <c r="G8" s="7"/>
      <c r="H8" s="7"/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17</v>
      </c>
      <c r="B9" s="9" t="s">
        <v>80</v>
      </c>
      <c r="C9" s="10">
        <v>362</v>
      </c>
      <c r="D9" s="8">
        <v>384</v>
      </c>
      <c r="E9" s="8">
        <v>392</v>
      </c>
      <c r="F9" s="8">
        <v>413</v>
      </c>
      <c r="G9" s="8"/>
      <c r="H9" s="8"/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16</v>
      </c>
      <c r="B10" s="9" t="s">
        <v>79</v>
      </c>
      <c r="C10" s="10">
        <v>556</v>
      </c>
      <c r="D10" s="8">
        <v>567</v>
      </c>
      <c r="E10" s="8">
        <v>589</v>
      </c>
      <c r="F10" s="8">
        <v>602</v>
      </c>
      <c r="G10" s="8"/>
      <c r="H10" s="8"/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7</v>
      </c>
      <c r="B11" s="9" t="s">
        <v>96</v>
      </c>
      <c r="C11" s="10">
        <v>520</v>
      </c>
      <c r="D11" s="8">
        <v>550</v>
      </c>
      <c r="E11" s="8">
        <v>572</v>
      </c>
      <c r="F11" s="8">
        <v>598</v>
      </c>
      <c r="G11" s="8"/>
      <c r="H11" s="8"/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106</v>
      </c>
      <c r="B12" s="9" t="s">
        <v>87</v>
      </c>
      <c r="C12" s="10">
        <v>537</v>
      </c>
      <c r="D12" s="8">
        <v>561</v>
      </c>
      <c r="E12" s="8">
        <v>592</v>
      </c>
      <c r="F12" s="8">
        <v>607</v>
      </c>
      <c r="G12" s="8"/>
      <c r="H12" s="8"/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9</v>
      </c>
      <c r="B13" s="9" t="s">
        <v>88</v>
      </c>
      <c r="C13" s="10">
        <v>515</v>
      </c>
      <c r="D13" s="8">
        <v>540</v>
      </c>
      <c r="E13" s="8">
        <v>570</v>
      </c>
      <c r="F13" s="8">
        <v>585</v>
      </c>
      <c r="G13" s="8"/>
      <c r="H13" s="8"/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11</v>
      </c>
      <c r="B14" s="9" t="s">
        <v>89</v>
      </c>
      <c r="C14" s="10">
        <v>71</v>
      </c>
      <c r="D14" s="8">
        <v>71.5</v>
      </c>
      <c r="E14" s="8">
        <v>72</v>
      </c>
      <c r="F14" s="8">
        <v>72</v>
      </c>
      <c r="G14" s="8"/>
      <c r="H14" s="8"/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8</v>
      </c>
      <c r="B15" s="9" t="s">
        <v>90</v>
      </c>
      <c r="C15" s="10">
        <v>74</v>
      </c>
      <c r="D15" s="8">
        <v>73.5</v>
      </c>
      <c r="E15" s="8">
        <v>73</v>
      </c>
      <c r="F15" s="8">
        <v>73</v>
      </c>
      <c r="G15" s="8"/>
      <c r="H15" s="8"/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10</v>
      </c>
      <c r="B16" s="9" t="s">
        <v>91</v>
      </c>
      <c r="C16" s="10">
        <v>110</v>
      </c>
      <c r="D16" s="8">
        <v>120</v>
      </c>
      <c r="E16" s="8">
        <v>140</v>
      </c>
      <c r="F16" s="8">
        <v>155</v>
      </c>
      <c r="G16" s="8"/>
      <c r="H16" s="8"/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14</v>
      </c>
      <c r="B17" s="9" t="s">
        <v>92</v>
      </c>
      <c r="C17" s="10">
        <v>445</v>
      </c>
      <c r="D17" s="8">
        <v>445</v>
      </c>
      <c r="E17" s="8">
        <v>445</v>
      </c>
      <c r="F17" s="8">
        <v>445</v>
      </c>
      <c r="G17" s="8"/>
      <c r="H17" s="8"/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19</v>
      </c>
      <c r="B18" s="9" t="s">
        <v>78</v>
      </c>
      <c r="C18" s="10">
        <v>1021</v>
      </c>
      <c r="D18" s="8">
        <v>1045</v>
      </c>
      <c r="E18" s="8">
        <v>1058</v>
      </c>
      <c r="F18" s="8">
        <v>1083</v>
      </c>
      <c r="G18" s="8"/>
      <c r="H18" s="8"/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81</v>
      </c>
      <c r="B19" s="9" t="s">
        <v>93</v>
      </c>
      <c r="C19" s="10">
        <v>591</v>
      </c>
      <c r="D19" s="8">
        <v>611</v>
      </c>
      <c r="E19" s="8">
        <v>622</v>
      </c>
      <c r="F19" s="8">
        <v>647</v>
      </c>
      <c r="G19" s="8"/>
      <c r="H19" s="8"/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18</v>
      </c>
      <c r="B20" s="9" t="s">
        <v>94</v>
      </c>
      <c r="C20" s="10">
        <v>822</v>
      </c>
      <c r="D20" s="8">
        <v>834</v>
      </c>
      <c r="E20" s="8">
        <v>855</v>
      </c>
      <c r="F20" s="8">
        <v>869</v>
      </c>
      <c r="G20" s="8"/>
      <c r="H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82</v>
      </c>
      <c r="B21" s="9" t="s">
        <v>95</v>
      </c>
      <c r="C21" s="10">
        <v>69</v>
      </c>
      <c r="D21" s="8">
        <v>65</v>
      </c>
      <c r="E21" s="8">
        <v>62</v>
      </c>
      <c r="F21" s="8">
        <v>62</v>
      </c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15</v>
      </c>
      <c r="B22" s="7"/>
      <c r="C22" s="8">
        <v>75</v>
      </c>
      <c r="D22" s="8">
        <v>75</v>
      </c>
      <c r="E22" s="8">
        <v>75</v>
      </c>
      <c r="F22" s="8">
        <v>75</v>
      </c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55</v>
      </c>
      <c r="D23" s="8">
        <v>55</v>
      </c>
      <c r="E23" s="8">
        <v>55</v>
      </c>
      <c r="F23" s="8">
        <v>55</v>
      </c>
      <c r="G23" s="8"/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12</v>
      </c>
      <c r="B24" s="7"/>
      <c r="C24" s="8">
        <v>410</v>
      </c>
      <c r="D24" s="8">
        <v>410</v>
      </c>
      <c r="E24" s="8">
        <v>410</v>
      </c>
      <c r="F24" s="8">
        <v>410</v>
      </c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F28" s="6"/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  <c r="F29" s="2">
        <v>700</v>
      </c>
    </row>
    <row r="30" spans="1:21" x14ac:dyDescent="0.3">
      <c r="A30" s="2" t="s">
        <v>25</v>
      </c>
      <c r="B30" s="2" t="s">
        <v>25</v>
      </c>
      <c r="C30" s="2">
        <v>55</v>
      </c>
      <c r="D30" s="2">
        <v>55</v>
      </c>
      <c r="E30" s="2">
        <v>55</v>
      </c>
      <c r="F30" s="2">
        <v>55</v>
      </c>
    </row>
    <row r="31" spans="1:21" x14ac:dyDescent="0.3">
      <c r="A31" s="2" t="s">
        <v>26</v>
      </c>
      <c r="B31" s="2" t="s">
        <v>26</v>
      </c>
      <c r="C31" s="2">
        <v>55</v>
      </c>
      <c r="D31" s="2">
        <v>53</v>
      </c>
      <c r="E31" s="2">
        <v>53</v>
      </c>
      <c r="F31" s="2">
        <v>53</v>
      </c>
    </row>
    <row r="32" spans="1:21" x14ac:dyDescent="0.3">
      <c r="A32" s="2" t="s">
        <v>27</v>
      </c>
      <c r="B32" s="2" t="s">
        <v>28</v>
      </c>
      <c r="C32" s="2">
        <f>C34</f>
        <v>160</v>
      </c>
      <c r="D32" s="2">
        <f>AVERAGE(D34,C35)</f>
        <v>168</v>
      </c>
      <c r="E32" s="2">
        <f t="shared" ref="E32:F32" si="0">AVERAGE(E34,D35)</f>
        <v>176.5</v>
      </c>
      <c r="F32" s="2">
        <f t="shared" si="0"/>
        <v>186</v>
      </c>
    </row>
    <row r="33" spans="1:12" x14ac:dyDescent="0.3">
      <c r="A33" s="2" t="s">
        <v>29</v>
      </c>
      <c r="B33" s="2" t="s">
        <v>30</v>
      </c>
      <c r="C33" s="2">
        <f>D32</f>
        <v>168</v>
      </c>
      <c r="D33" s="2">
        <f t="shared" ref="D33:F33" si="1">E32</f>
        <v>176.5</v>
      </c>
      <c r="E33" s="2">
        <f t="shared" si="1"/>
        <v>186</v>
      </c>
      <c r="F33" s="2">
        <f t="shared" si="1"/>
        <v>0</v>
      </c>
    </row>
    <row r="34" spans="1:12" x14ac:dyDescent="0.3">
      <c r="A34" s="2" t="s">
        <v>76</v>
      </c>
      <c r="C34" s="2">
        <v>160</v>
      </c>
      <c r="D34" s="2">
        <v>168</v>
      </c>
      <c r="E34" s="2">
        <v>178</v>
      </c>
      <c r="F34" s="2">
        <v>186</v>
      </c>
    </row>
    <row r="35" spans="1:12" x14ac:dyDescent="0.3">
      <c r="A35" s="2" t="s">
        <v>77</v>
      </c>
      <c r="C35" s="2">
        <v>168</v>
      </c>
      <c r="D35" s="2">
        <v>175</v>
      </c>
      <c r="E35" s="2">
        <v>186</v>
      </c>
      <c r="F35" s="2">
        <v>194</v>
      </c>
    </row>
    <row r="36" spans="1:12" ht="22" x14ac:dyDescent="0.3">
      <c r="C36" s="9" t="s">
        <v>86</v>
      </c>
      <c r="D36" s="7" t="s">
        <v>97</v>
      </c>
      <c r="E36" s="7" t="s">
        <v>98</v>
      </c>
      <c r="F36" s="7" t="s">
        <v>99</v>
      </c>
      <c r="L36" s="1"/>
    </row>
    <row r="37" spans="1:12" x14ac:dyDescent="0.3">
      <c r="A37" s="2" t="s">
        <v>31</v>
      </c>
      <c r="B37" s="2" t="s">
        <v>32</v>
      </c>
    </row>
    <row r="38" spans="1:12" x14ac:dyDescent="0.3">
      <c r="A38" s="2" t="s">
        <v>68</v>
      </c>
      <c r="B38" s="2" t="s">
        <v>69</v>
      </c>
    </row>
    <row r="39" spans="1:12" x14ac:dyDescent="0.3">
      <c r="A39" s="2" t="s">
        <v>70</v>
      </c>
      <c r="B39" s="2" t="s">
        <v>71</v>
      </c>
    </row>
    <row r="40" spans="1:12" x14ac:dyDescent="0.3">
      <c r="A40" s="2" t="s">
        <v>72</v>
      </c>
      <c r="B40" s="2" t="s">
        <v>73</v>
      </c>
    </row>
    <row r="41" spans="1:12" x14ac:dyDescent="0.3">
      <c r="A41" s="2" t="s">
        <v>33</v>
      </c>
      <c r="B41" s="2" t="s">
        <v>83</v>
      </c>
    </row>
    <row r="42" spans="1:12" x14ac:dyDescent="0.3">
      <c r="A42" s="2" t="s">
        <v>34</v>
      </c>
      <c r="B42" s="2" t="s">
        <v>74</v>
      </c>
    </row>
    <row r="43" spans="1:12" x14ac:dyDescent="0.3">
      <c r="A43" s="2" t="s">
        <v>35</v>
      </c>
    </row>
    <row r="44" spans="1:12" x14ac:dyDescent="0.3">
      <c r="A44" s="2" t="s">
        <v>36</v>
      </c>
      <c r="B44" s="2">
        <v>55</v>
      </c>
    </row>
    <row r="45" spans="1:12" x14ac:dyDescent="0.3">
      <c r="A45" s="2" t="s">
        <v>37</v>
      </c>
      <c r="B45" s="2">
        <v>2.2999999999999998</v>
      </c>
    </row>
    <row r="46" spans="1:12" x14ac:dyDescent="0.3">
      <c r="A46" s="2" t="s">
        <v>38</v>
      </c>
    </row>
    <row r="47" spans="1:12" x14ac:dyDescent="0.3">
      <c r="A47" s="2" t="s">
        <v>39</v>
      </c>
    </row>
    <row r="48" spans="1:12" x14ac:dyDescent="0.3">
      <c r="A48" s="2" t="s">
        <v>40</v>
      </c>
    </row>
    <row r="49" spans="1:2" x14ac:dyDescent="0.3">
      <c r="A49" s="2" t="s">
        <v>41</v>
      </c>
    </row>
    <row r="50" spans="1:2" x14ac:dyDescent="0.3">
      <c r="A50" s="2" t="s">
        <v>42</v>
      </c>
      <c r="B50" s="2">
        <v>142</v>
      </c>
    </row>
    <row r="51" spans="1:2" x14ac:dyDescent="0.3">
      <c r="A51" s="2" t="s">
        <v>43</v>
      </c>
      <c r="B51" s="2">
        <v>100</v>
      </c>
    </row>
    <row r="52" spans="1:2" x14ac:dyDescent="0.3">
      <c r="A52" s="2" t="s">
        <v>44</v>
      </c>
      <c r="B52" s="2" t="s">
        <v>75</v>
      </c>
    </row>
    <row r="53" spans="1:2" x14ac:dyDescent="0.3">
      <c r="A53" s="2" t="s">
        <v>45</v>
      </c>
    </row>
    <row r="54" spans="1:2" x14ac:dyDescent="0.3">
      <c r="A54" s="2" t="s">
        <v>46</v>
      </c>
      <c r="B54" s="2">
        <v>27.2</v>
      </c>
    </row>
    <row r="55" spans="1:2" x14ac:dyDescent="0.3">
      <c r="A55" s="2" t="s">
        <v>47</v>
      </c>
      <c r="B55" s="2" t="s">
        <v>74</v>
      </c>
    </row>
    <row r="56" spans="1:2" x14ac:dyDescent="0.3">
      <c r="A56" s="2" t="s">
        <v>48</v>
      </c>
      <c r="B56" s="2">
        <v>44</v>
      </c>
    </row>
    <row r="57" spans="1:2" x14ac:dyDescent="0.3">
      <c r="A57" s="2" t="s">
        <v>49</v>
      </c>
      <c r="B57" s="2" t="s">
        <v>107</v>
      </c>
    </row>
    <row r="58" spans="1:2" x14ac:dyDescent="0.3">
      <c r="A58" s="2" t="s">
        <v>50</v>
      </c>
      <c r="B58" s="2">
        <v>160</v>
      </c>
    </row>
    <row r="59" spans="1:2" x14ac:dyDescent="0.3">
      <c r="A59" s="2" t="s">
        <v>51</v>
      </c>
      <c r="B59" s="2">
        <v>160</v>
      </c>
    </row>
    <row r="60" spans="1:2" x14ac:dyDescent="0.3">
      <c r="A60" s="2" t="s">
        <v>52</v>
      </c>
    </row>
    <row r="61" spans="1:2" x14ac:dyDescent="0.3">
      <c r="A61" s="2" t="s">
        <v>53</v>
      </c>
      <c r="B61" s="2" t="s">
        <v>84</v>
      </c>
    </row>
    <row r="62" spans="1:2" x14ac:dyDescent="0.3">
      <c r="A62" s="2" t="s">
        <v>54</v>
      </c>
    </row>
    <row r="63" spans="1:2" x14ac:dyDescent="0.3">
      <c r="A63" s="2" t="s">
        <v>55</v>
      </c>
      <c r="B63" s="2" t="s">
        <v>108</v>
      </c>
    </row>
    <row r="64" spans="1:2" x14ac:dyDescent="0.3">
      <c r="A64" s="2" t="s">
        <v>56</v>
      </c>
    </row>
    <row r="65" spans="1:2" x14ac:dyDescent="0.3">
      <c r="A65" s="2" t="s">
        <v>57</v>
      </c>
    </row>
    <row r="66" spans="1:2" x14ac:dyDescent="0.3">
      <c r="A66" s="2" t="s">
        <v>58</v>
      </c>
    </row>
    <row r="67" spans="1:2" x14ac:dyDescent="0.3">
      <c r="A67" s="2" t="s">
        <v>59</v>
      </c>
    </row>
    <row r="68" spans="1:2" x14ac:dyDescent="0.3">
      <c r="A68" s="2" t="s">
        <v>60</v>
      </c>
    </row>
    <row r="69" spans="1:2" x14ac:dyDescent="0.3">
      <c r="A69" s="2" t="s">
        <v>61</v>
      </c>
    </row>
    <row r="70" spans="1:2" x14ac:dyDescent="0.3">
      <c r="A70" s="2" t="s">
        <v>62</v>
      </c>
    </row>
    <row r="71" spans="1:2" x14ac:dyDescent="0.3">
      <c r="A71" s="2" t="s">
        <v>63</v>
      </c>
    </row>
    <row r="72" spans="1:2" x14ac:dyDescent="0.3">
      <c r="A72" s="2" t="s">
        <v>64</v>
      </c>
      <c r="B72" s="2">
        <v>1400</v>
      </c>
    </row>
    <row r="73" spans="1:2" x14ac:dyDescent="0.3">
      <c r="A73" s="2" t="s">
        <v>65</v>
      </c>
    </row>
    <row r="74" spans="1:2" x14ac:dyDescent="0.3">
      <c r="A74" s="2" t="s">
        <v>66</v>
      </c>
    </row>
    <row r="75" spans="1:2" x14ac:dyDescent="0.3">
      <c r="A75" s="2" t="s">
        <v>67</v>
      </c>
      <c r="B75" s="2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2025-09-11T18:33:35Z</dcterms:modified>
</cp:coreProperties>
</file>