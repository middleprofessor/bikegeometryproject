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CD44497-9E37-F145-A9F9-84C92479E45F}" xr6:coauthVersionLast="47" xr6:coauthVersionMax="47" xr10:uidLastSave="{00000000-0000-0000-0000-000000000000}"/>
  <bookViews>
    <workbookView xWindow="8080" yWindow="3320" windowWidth="20720" windowHeight="14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9" i="1"/>
  <c r="H20" i="1" s="1"/>
  <c r="H22" i="1" s="1"/>
  <c r="G21" i="1"/>
  <c r="G19" i="1"/>
  <c r="G20" i="1" s="1"/>
  <c r="G22" i="1" s="1"/>
  <c r="J16" i="1"/>
  <c r="J15" i="1"/>
  <c r="K16" i="1" l="1"/>
</calcChain>
</file>

<file path=xl/sharedStrings.xml><?xml version="1.0" encoding="utf-8"?>
<sst xmlns="http://schemas.openxmlformats.org/spreadsheetml/2006/main" count="130" uniqueCount="125">
  <si>
    <t>brand</t>
  </si>
  <si>
    <t>Lee Cougan</t>
  </si>
  <si>
    <t>model</t>
  </si>
  <si>
    <t>Innova Supergravel</t>
  </si>
  <si>
    <t>model year</t>
  </si>
  <si>
    <t>2025</t>
  </si>
  <si>
    <t>input date</t>
  </si>
  <si>
    <t>URL</t>
  </si>
  <si>
    <t>15-Jul-2025</t>
  </si>
  <si>
    <t>data_range</t>
  </si>
  <si>
    <t>frame_size</t>
  </si>
  <si>
    <t>frame size</t>
  </si>
  <si>
    <t>S</t>
  </si>
  <si>
    <t>M</t>
  </si>
  <si>
    <t>L</t>
  </si>
  <si>
    <t>seat_tube_length</t>
  </si>
  <si>
    <t>SEAT TUBE (ST)</t>
  </si>
  <si>
    <t>top_tube_effective_length</t>
  </si>
  <si>
    <t>TOP TUBE (TT) </t>
  </si>
  <si>
    <t>head_tube_length</t>
  </si>
  <si>
    <t>HEAD TUBE (HT)</t>
  </si>
  <si>
    <t>chainstay_length</t>
  </si>
  <si>
    <t>CHAIN STAY (CS)</t>
  </si>
  <si>
    <t>head_tube_angle</t>
  </si>
  <si>
    <t>HEAD TUBE ANGLE (HA)</t>
  </si>
  <si>
    <t>seat_tube_angle</t>
  </si>
  <si>
    <t>SEAT TUBE ANGLE (SA)</t>
  </si>
  <si>
    <t>wheelbase</t>
  </si>
  <si>
    <t>WHEEL BASE (WB)</t>
  </si>
  <si>
    <t>reach</t>
  </si>
  <si>
    <t>REACH (R)</t>
  </si>
  <si>
    <t>reach_to_head</t>
  </si>
  <si>
    <t>REACH TO HEAD (RH)</t>
  </si>
  <si>
    <t>stack</t>
  </si>
  <si>
    <t>STACK (S)</t>
  </si>
  <si>
    <t>bb_height</t>
  </si>
  <si>
    <t>BB HEIGHT (BH)</t>
  </si>
  <si>
    <t>stem_length</t>
  </si>
  <si>
    <t>STEM</t>
  </si>
  <si>
    <t>standover</t>
  </si>
  <si>
    <t>STANDOVER</t>
  </si>
  <si>
    <t>bottom_bracket_drop</t>
  </si>
  <si>
    <t>fork_offset_rake</t>
  </si>
  <si>
    <t>axle_crown</t>
  </si>
  <si>
    <t>trail</t>
  </si>
  <si>
    <t>handlebar_width</t>
  </si>
  <si>
    <t>crank_length</t>
  </si>
  <si>
    <t>frame_weight</t>
  </si>
  <si>
    <t>wheel_size</t>
  </si>
  <si>
    <t>tire_width_spec</t>
  </si>
  <si>
    <t>tire_width_max</t>
  </si>
  <si>
    <t>rider_min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</si>
  <si>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</si>
  <si>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</si>
  <si>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</si>
  <si>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</si>
  <si>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</si>
  <si>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</si>
  <si>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</si>
  <si>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</si>
  <si>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55</t>
  </si>
  <si>
    <t>tire_width_max_650b</t>
  </si>
  <si>
    <t>suspension_corrected</t>
  </si>
  <si>
    <t>100</t>
  </si>
  <si>
    <t>fork_suspension</t>
  </si>
  <si>
    <t>stem_suspension</t>
  </si>
  <si>
    <t>rear_suspension</t>
  </si>
  <si>
    <t>rear_axle</t>
  </si>
  <si>
    <t>142</t>
  </si>
  <si>
    <t>front_axle</t>
  </si>
  <si>
    <t>bottom_bracket</t>
  </si>
  <si>
    <t>threaded</t>
  </si>
  <si>
    <t>q_factor</t>
  </si>
  <si>
    <t>seatpost_diameter</t>
  </si>
  <si>
    <t>31.6</t>
  </si>
  <si>
    <t>front_derailleur</t>
  </si>
  <si>
    <t>no</t>
  </si>
  <si>
    <t>max_chainring_1x</t>
  </si>
  <si>
    <t>max_chainring_2x</t>
  </si>
  <si>
    <t>rotor_max_front</t>
  </si>
  <si>
    <t>rotor_max_rear</t>
  </si>
  <si>
    <t>160</t>
  </si>
  <si>
    <t>iso_astm</t>
  </si>
  <si>
    <t>routing_shifter</t>
  </si>
  <si>
    <t>interior</t>
  </si>
  <si>
    <t>routing_dropper</t>
  </si>
  <si>
    <t>routing_dynamo</t>
  </si>
  <si>
    <t>internal_storage</t>
  </si>
  <si>
    <t>mounts_inner</t>
  </si>
  <si>
    <t>1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</si>
  <si>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</si>
  <si>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</si>
  <si>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</si>
  <si>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</si>
  <si>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</si>
  <si>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</si>
  <si>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</si>
  <si>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</si>
  <si>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</si>
  <si>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</si>
  <si>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rider_max</t>
  </si>
  <si>
    <t>a8:e33</t>
  </si>
  <si>
    <t>class</t>
  </si>
  <si>
    <t>gravel</t>
  </si>
  <si>
    <t>handlebar</t>
  </si>
  <si>
    <t>drop bar</t>
  </si>
  <si>
    <t>fork</t>
  </si>
  <si>
    <t>suspension</t>
  </si>
  <si>
    <t>GBP</t>
  </si>
  <si>
    <t>location</t>
  </si>
  <si>
    <t>https://leecougan.com/en/bikes/gravel-bike/innova-supergravel</t>
  </si>
  <si>
    <t>https://cdn.s2api.it/prod/2025/09/RISG_Mullet-GX_RK25_WA.webp</t>
  </si>
  <si>
    <t>San Martino, Italy</t>
  </si>
  <si>
    <t>chainstay</t>
  </si>
  <si>
    <t>bb drop</t>
  </si>
  <si>
    <t>median</t>
  </si>
  <si>
    <t>Wheel diameter</t>
  </si>
  <si>
    <t>Tire width</t>
  </si>
  <si>
    <t>Axle height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</si>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</sst>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topLeftCell="A6" workbookViewId="0">
      <selection activeCell="F24" sqref="F24"/>
    </sheetView>
  </sheetViews>
  <sheetFormatPr baseColWidth="10" defaultRowHeight="20" x14ac:dyDescent="0.3"/>
  <cols>
    <col min="1" max="2" width="19.6640625" customWidth="1"/>
  </cols>
  <sheetData>
    <row r="1" spans="1:11" x14ac:dyDescent="0.3">
      <c r="A1" t="s">
        <v>0</v>
      </c>
      <c r="B1" t="s">
        <v>1</v>
      </c>
    </row>
    <row r="2" spans="1:11" x14ac:dyDescent="0.3">
      <c r="A2" t="s">
        <v>2</v>
      </c>
      <c r="B2" t="s">
        <v>3</v>
      </c>
    </row>
    <row r="3" spans="1:11" x14ac:dyDescent="0.3">
      <c r="A3" t="s">
        <v>4</v>
      </c>
      <c r="B3" t="s">
        <v>5</v>
      </c>
    </row>
    <row r="4" spans="1:11" x14ac:dyDescent="0.3">
      <c r="A4" t="s">
        <v>6</v>
      </c>
      <c r="B4" t="s">
        <v>8</v>
      </c>
    </row>
    <row r="5" spans="1:11" x14ac:dyDescent="0.3">
      <c r="A5" t="s">
        <v>7</v>
      </c>
      <c r="B5" t="s">
        <v>110</v>
      </c>
    </row>
    <row r="6" spans="1:11" x14ac:dyDescent="0.3">
      <c r="B6" t="s">
        <v>111</v>
      </c>
    </row>
    <row r="7" spans="1:11" x14ac:dyDescent="0.3">
      <c r="A7" t="s">
        <v>9</v>
      </c>
      <c r="B7" s="1" t="s">
        <v>101</v>
      </c>
    </row>
    <row r="8" spans="1:11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</row>
    <row r="9" spans="1:11" x14ac:dyDescent="0.3">
      <c r="A9" t="s">
        <v>15</v>
      </c>
      <c r="B9" t="s">
        <v>16</v>
      </c>
      <c r="C9">
        <v>420</v>
      </c>
      <c r="D9">
        <v>475</v>
      </c>
      <c r="E9">
        <v>515</v>
      </c>
    </row>
    <row r="10" spans="1:11" x14ac:dyDescent="0.3">
      <c r="A10" t="s">
        <v>17</v>
      </c>
      <c r="B10" t="s">
        <v>18</v>
      </c>
      <c r="C10">
        <v>590</v>
      </c>
      <c r="D10">
        <v>615</v>
      </c>
      <c r="E10">
        <v>625</v>
      </c>
    </row>
    <row r="11" spans="1:11" x14ac:dyDescent="0.3">
      <c r="A11" t="s">
        <v>19</v>
      </c>
      <c r="B11" t="s">
        <v>20</v>
      </c>
      <c r="C11">
        <v>100</v>
      </c>
      <c r="D11">
        <v>105</v>
      </c>
      <c r="E11">
        <v>115</v>
      </c>
    </row>
    <row r="12" spans="1:11" x14ac:dyDescent="0.3">
      <c r="A12" t="s">
        <v>21</v>
      </c>
      <c r="B12" t="s">
        <v>22</v>
      </c>
      <c r="C12">
        <v>428</v>
      </c>
      <c r="D12">
        <v>428</v>
      </c>
      <c r="E12">
        <v>428</v>
      </c>
    </row>
    <row r="13" spans="1:11" x14ac:dyDescent="0.3">
      <c r="A13" t="s">
        <v>23</v>
      </c>
      <c r="B13" t="s">
        <v>24</v>
      </c>
      <c r="C13">
        <v>69</v>
      </c>
      <c r="D13">
        <v>69</v>
      </c>
      <c r="E13">
        <v>69</v>
      </c>
    </row>
    <row r="14" spans="1:11" x14ac:dyDescent="0.3">
      <c r="A14" t="s">
        <v>25</v>
      </c>
      <c r="B14" t="s">
        <v>26</v>
      </c>
      <c r="C14">
        <v>73</v>
      </c>
      <c r="D14">
        <v>73</v>
      </c>
      <c r="E14">
        <v>73</v>
      </c>
      <c r="F14" s="1" t="s">
        <v>113</v>
      </c>
      <c r="G14">
        <v>428</v>
      </c>
      <c r="J14" s="1" t="s">
        <v>115</v>
      </c>
      <c r="K14" t="b">
        <v>1</v>
      </c>
    </row>
    <row r="15" spans="1:11" x14ac:dyDescent="0.3">
      <c r="A15" t="s">
        <v>27</v>
      </c>
      <c r="B15" t="s">
        <v>28</v>
      </c>
      <c r="C15">
        <v>1107.5999999999999</v>
      </c>
      <c r="D15">
        <v>1133</v>
      </c>
      <c r="E15">
        <v>1143.7</v>
      </c>
      <c r="F15" s="1" t="s">
        <v>27</v>
      </c>
      <c r="G15" s="1">
        <v>1098.885</v>
      </c>
      <c r="H15" s="1">
        <v>1103.269</v>
      </c>
      <c r="I15" s="1">
        <v>1101.788</v>
      </c>
      <c r="J15">
        <f>MEDIAN(G15:I15)</f>
        <v>1101.788</v>
      </c>
      <c r="K15">
        <v>1107.5999999999999</v>
      </c>
    </row>
    <row r="16" spans="1:11" x14ac:dyDescent="0.3">
      <c r="A16" t="s">
        <v>29</v>
      </c>
      <c r="B16" t="s">
        <v>30</v>
      </c>
      <c r="C16">
        <v>428.5</v>
      </c>
      <c r="D16">
        <v>452</v>
      </c>
      <c r="E16">
        <v>459.2</v>
      </c>
      <c r="F16" s="1" t="s">
        <v>114</v>
      </c>
      <c r="G16" s="1">
        <v>70.861999999999995</v>
      </c>
      <c r="H16" s="1">
        <v>72.62</v>
      </c>
      <c r="I16" s="1">
        <v>71.099000000000004</v>
      </c>
      <c r="J16">
        <f>MEDIAN(G16:I16)</f>
        <v>71.099000000000004</v>
      </c>
      <c r="K16">
        <f>J16*K15/J15</f>
        <v>71.474051632437451</v>
      </c>
    </row>
    <row r="17" spans="1:8" x14ac:dyDescent="0.3">
      <c r="A17" t="s">
        <v>31</v>
      </c>
      <c r="B17" t="s">
        <v>32</v>
      </c>
      <c r="C17">
        <v>581</v>
      </c>
      <c r="D17">
        <v>605</v>
      </c>
      <c r="E17">
        <v>612</v>
      </c>
    </row>
    <row r="18" spans="1:8" x14ac:dyDescent="0.3">
      <c r="A18" t="s">
        <v>33</v>
      </c>
      <c r="B18" t="s">
        <v>34</v>
      </c>
      <c r="C18">
        <v>616.1</v>
      </c>
      <c r="D18">
        <v>621.1</v>
      </c>
      <c r="E18">
        <v>630.5</v>
      </c>
      <c r="F18" s="1" t="s">
        <v>117</v>
      </c>
      <c r="G18" s="1">
        <v>2.25</v>
      </c>
      <c r="H18" s="1">
        <v>2.4</v>
      </c>
    </row>
    <row r="19" spans="1:8" x14ac:dyDescent="0.3">
      <c r="A19" t="s">
        <v>35</v>
      </c>
      <c r="B19" t="s">
        <v>36</v>
      </c>
      <c r="C19">
        <v>310</v>
      </c>
      <c r="D19">
        <v>310</v>
      </c>
      <c r="E19">
        <v>310</v>
      </c>
      <c r="F19" s="1" t="s">
        <v>116</v>
      </c>
      <c r="G19">
        <f>622 + (G18*25.4)*2</f>
        <v>736.3</v>
      </c>
      <c r="H19">
        <f>622 + (H18*25.4)*2</f>
        <v>743.92</v>
      </c>
    </row>
    <row r="20" spans="1:8" x14ac:dyDescent="0.3">
      <c r="A20" t="s">
        <v>37</v>
      </c>
      <c r="B20" t="s">
        <v>38</v>
      </c>
      <c r="C20">
        <v>80</v>
      </c>
      <c r="D20">
        <v>90</v>
      </c>
      <c r="E20">
        <v>100</v>
      </c>
      <c r="F20" s="1" t="s">
        <v>118</v>
      </c>
      <c r="G20">
        <f>G19/2</f>
        <v>368.15</v>
      </c>
      <c r="H20">
        <f>H19/2</f>
        <v>371.96</v>
      </c>
    </row>
    <row r="21" spans="1:8" x14ac:dyDescent="0.3">
      <c r="A21" t="s">
        <v>39</v>
      </c>
      <c r="B21" t="s">
        <v>40</v>
      </c>
      <c r="C21">
        <v>710</v>
      </c>
      <c r="D21">
        <v>755</v>
      </c>
      <c r="E21">
        <v>785</v>
      </c>
      <c r="F21" s="1" t="s">
        <v>35</v>
      </c>
      <c r="G21">
        <f>C19</f>
        <v>310</v>
      </c>
      <c r="H21">
        <f>D19</f>
        <v>310</v>
      </c>
    </row>
    <row r="22" spans="1:8" x14ac:dyDescent="0.3">
      <c r="A22" t="s">
        <v>41</v>
      </c>
      <c r="C22">
        <v>58</v>
      </c>
      <c r="D22">
        <v>58</v>
      </c>
      <c r="E22">
        <v>58</v>
      </c>
      <c r="F22" s="1" t="s">
        <v>114</v>
      </c>
      <c r="G22">
        <f>G20-G21</f>
        <v>58.149999999999977</v>
      </c>
      <c r="H22">
        <f>H20-H21</f>
        <v>61.95999999999998</v>
      </c>
    </row>
    <row r="23" spans="1:8" x14ac:dyDescent="0.3">
      <c r="A23" t="s">
        <v>42</v>
      </c>
      <c r="C23">
        <v>44</v>
      </c>
      <c r="D23">
        <v>44</v>
      </c>
      <c r="E23">
        <v>44</v>
      </c>
    </row>
    <row r="24" spans="1:8" x14ac:dyDescent="0.3">
      <c r="A24" t="s">
        <v>43</v>
      </c>
      <c r="C24">
        <v>503.7</v>
      </c>
      <c r="D24">
        <v>503.7</v>
      </c>
      <c r="E24">
        <v>503.7</v>
      </c>
    </row>
    <row r="25" spans="1:8" x14ac:dyDescent="0.3">
      <c r="A25" t="s">
        <v>44</v>
      </c>
    </row>
    <row r="26" spans="1:8" x14ac:dyDescent="0.3">
      <c r="A26" t="s">
        <v>45</v>
      </c>
    </row>
    <row r="27" spans="1:8" x14ac:dyDescent="0.3">
      <c r="A27" t="s">
        <v>46</v>
      </c>
    </row>
    <row r="28" spans="1:8" x14ac:dyDescent="0.3">
      <c r="A28" t="s">
        <v>47</v>
      </c>
    </row>
    <row r="29" spans="1:8" x14ac:dyDescent="0.3">
      <c r="A29" t="s">
        <v>48</v>
      </c>
      <c r="C29">
        <v>700</v>
      </c>
      <c r="D29">
        <v>700</v>
      </c>
      <c r="E29">
        <v>700</v>
      </c>
    </row>
    <row r="30" spans="1:8" x14ac:dyDescent="0.3">
      <c r="A30" t="s">
        <v>49</v>
      </c>
      <c r="C30">
        <v>50</v>
      </c>
      <c r="D30">
        <v>50</v>
      </c>
      <c r="E30">
        <v>50</v>
      </c>
    </row>
    <row r="31" spans="1:8" x14ac:dyDescent="0.3">
      <c r="A31" t="s">
        <v>50</v>
      </c>
      <c r="C31">
        <v>55</v>
      </c>
      <c r="D31">
        <v>55</v>
      </c>
      <c r="E31">
        <v>55</v>
      </c>
    </row>
    <row r="32" spans="1:8" x14ac:dyDescent="0.3">
      <c r="A32" t="s">
        <v>51</v>
      </c>
    </row>
    <row r="33" spans="1:2" x14ac:dyDescent="0.3">
      <c r="A33" s="1" t="s">
        <v>100</v>
      </c>
    </row>
    <row r="34" spans="1:2" x14ac:dyDescent="0.3">
      <c r="A34" s="1"/>
    </row>
    <row r="35" spans="1:2" x14ac:dyDescent="0.3">
      <c r="A35" t="s">
        <v>52</v>
      </c>
      <c r="B35" t="s">
        <v>53</v>
      </c>
    </row>
    <row r="36" spans="1:2" x14ac:dyDescent="0.3">
      <c r="A36" s="2" t="s">
        <v>102</v>
      </c>
      <c r="B36" s="2" t="s">
        <v>103</v>
      </c>
    </row>
    <row r="37" spans="1:2" x14ac:dyDescent="0.3">
      <c r="A37" s="2" t="s">
        <v>104</v>
      </c>
      <c r="B37" s="2" t="s">
        <v>105</v>
      </c>
    </row>
    <row r="38" spans="1:2" x14ac:dyDescent="0.3">
      <c r="A38" s="2" t="s">
        <v>106</v>
      </c>
      <c r="B38" s="2" t="s">
        <v>107</v>
      </c>
    </row>
    <row r="39" spans="1:2" x14ac:dyDescent="0.3">
      <c r="A39" t="s">
        <v>54</v>
      </c>
      <c r="B39" t="s">
        <v>55</v>
      </c>
    </row>
    <row r="40" spans="1:2" x14ac:dyDescent="0.3">
      <c r="A40" t="s">
        <v>56</v>
      </c>
      <c r="B40" t="s">
        <v>57</v>
      </c>
    </row>
    <row r="41" spans="1:2" x14ac:dyDescent="0.3">
      <c r="A41" t="s">
        <v>58</v>
      </c>
    </row>
    <row r="42" spans="1:2" x14ac:dyDescent="0.3">
      <c r="A42" t="s">
        <v>59</v>
      </c>
      <c r="B42" t="s">
        <v>60</v>
      </c>
    </row>
    <row r="43" spans="1:2" x14ac:dyDescent="0.3">
      <c r="A43" t="s">
        <v>61</v>
      </c>
    </row>
    <row r="44" spans="1:2" x14ac:dyDescent="0.3">
      <c r="A44" t="s">
        <v>62</v>
      </c>
      <c r="B44" t="s">
        <v>63</v>
      </c>
    </row>
    <row r="45" spans="1:2" x14ac:dyDescent="0.3">
      <c r="A45" t="s">
        <v>64</v>
      </c>
      <c r="B45">
        <v>100</v>
      </c>
    </row>
    <row r="46" spans="1:2" x14ac:dyDescent="0.3">
      <c r="A46" t="s">
        <v>65</v>
      </c>
    </row>
    <row r="47" spans="1:2" x14ac:dyDescent="0.3">
      <c r="A47" t="s">
        <v>66</v>
      </c>
      <c r="B47">
        <v>30</v>
      </c>
    </row>
    <row r="48" spans="1:2" x14ac:dyDescent="0.3">
      <c r="A48" t="s">
        <v>67</v>
      </c>
      <c r="B48" t="s">
        <v>68</v>
      </c>
    </row>
    <row r="49" spans="1:2" x14ac:dyDescent="0.3">
      <c r="A49" t="s">
        <v>69</v>
      </c>
    </row>
    <row r="50" spans="1:2" x14ac:dyDescent="0.3">
      <c r="A50" t="s">
        <v>119</v>
      </c>
    </row>
    <row r="51" spans="1:2" x14ac:dyDescent="0.3">
      <c r="A51" t="s">
        <v>120</v>
      </c>
    </row>
    <row r="52" spans="1:2" x14ac:dyDescent="0.3">
      <c r="A52" t="s">
        <v>121</v>
      </c>
    </row>
    <row r="53" spans="1:2" x14ac:dyDescent="0.3">
      <c r="A53" t="s">
        <v>122</v>
      </c>
    </row>
    <row r="54" spans="1:2" x14ac:dyDescent="0.3">
      <c r="A54" t="s">
        <v>123</v>
      </c>
    </row>
    <row r="55" spans="1:2" x14ac:dyDescent="0.3">
      <c r="A55" t="s">
        <v>124</v>
      </c>
    </row>
    <row r="56" spans="1:2" x14ac:dyDescent="0.3">
      <c r="A56" t="s">
        <v>70</v>
      </c>
      <c r="B56" t="s">
        <v>71</v>
      </c>
    </row>
    <row r="57" spans="1:2" x14ac:dyDescent="0.3">
      <c r="A57" t="s">
        <v>72</v>
      </c>
    </row>
    <row r="58" spans="1:2" x14ac:dyDescent="0.3">
      <c r="A58" t="s">
        <v>73</v>
      </c>
      <c r="B58" t="s">
        <v>74</v>
      </c>
    </row>
    <row r="59" spans="1:2" x14ac:dyDescent="0.3">
      <c r="A59" t="s">
        <v>75</v>
      </c>
      <c r="B59" t="s">
        <v>76</v>
      </c>
    </row>
    <row r="60" spans="1:2" x14ac:dyDescent="0.3">
      <c r="A60" t="s">
        <v>77</v>
      </c>
    </row>
    <row r="61" spans="1:2" x14ac:dyDescent="0.3">
      <c r="A61" t="s">
        <v>78</v>
      </c>
    </row>
    <row r="62" spans="1:2" x14ac:dyDescent="0.3">
      <c r="A62" t="s">
        <v>79</v>
      </c>
    </row>
    <row r="63" spans="1:2" x14ac:dyDescent="0.3">
      <c r="A63" t="s">
        <v>80</v>
      </c>
      <c r="B63" t="s">
        <v>81</v>
      </c>
    </row>
    <row r="64" spans="1:2" x14ac:dyDescent="0.3">
      <c r="A64" t="s">
        <v>82</v>
      </c>
    </row>
    <row r="65" spans="1:2" x14ac:dyDescent="0.3">
      <c r="A65" t="s">
        <v>83</v>
      </c>
      <c r="B65" t="s">
        <v>84</v>
      </c>
    </row>
    <row r="66" spans="1:2" x14ac:dyDescent="0.3">
      <c r="A66" t="s">
        <v>85</v>
      </c>
    </row>
    <row r="67" spans="1:2" x14ac:dyDescent="0.3">
      <c r="A67" t="s">
        <v>86</v>
      </c>
    </row>
    <row r="68" spans="1:2" x14ac:dyDescent="0.3">
      <c r="A68" t="s">
        <v>87</v>
      </c>
    </row>
    <row r="69" spans="1:2" x14ac:dyDescent="0.3">
      <c r="A69" t="s">
        <v>88</v>
      </c>
      <c r="B69" t="s">
        <v>89</v>
      </c>
    </row>
    <row r="70" spans="1:2" x14ac:dyDescent="0.3">
      <c r="A70" t="s">
        <v>90</v>
      </c>
      <c r="B70" t="s">
        <v>89</v>
      </c>
    </row>
    <row r="71" spans="1:2" x14ac:dyDescent="0.3">
      <c r="A71" t="s">
        <v>91</v>
      </c>
      <c r="B71" t="s">
        <v>57</v>
      </c>
    </row>
    <row r="72" spans="1:2" x14ac:dyDescent="0.3">
      <c r="A72" t="s">
        <v>92</v>
      </c>
    </row>
    <row r="73" spans="1:2" x14ac:dyDescent="0.3">
      <c r="A73" t="s">
        <v>93</v>
      </c>
    </row>
    <row r="74" spans="1:2" x14ac:dyDescent="0.3">
      <c r="A74" t="s">
        <v>94</v>
      </c>
    </row>
    <row r="75" spans="1:2" x14ac:dyDescent="0.3">
      <c r="A75" t="s">
        <v>95</v>
      </c>
    </row>
    <row r="76" spans="1:2" x14ac:dyDescent="0.3">
      <c r="A76" t="s">
        <v>96</v>
      </c>
      <c r="B76">
        <v>3299</v>
      </c>
    </row>
    <row r="77" spans="1:2" x14ac:dyDescent="0.3">
      <c r="A77" t="s">
        <v>97</v>
      </c>
      <c r="B77">
        <v>5899</v>
      </c>
    </row>
    <row r="78" spans="1:2" x14ac:dyDescent="0.3">
      <c r="A78" t="s">
        <v>98</v>
      </c>
    </row>
    <row r="79" spans="1:2" x14ac:dyDescent="0.3">
      <c r="A79" t="s">
        <v>99</v>
      </c>
      <c r="B79" s="1" t="s">
        <v>108</v>
      </c>
    </row>
    <row r="80" spans="1:2" x14ac:dyDescent="0.3">
      <c r="A80" s="1" t="s">
        <v>109</v>
      </c>
      <c r="B80" s="1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2025-11-07T14:43:51Z</dcterms:modified>
</cp:coreProperties>
</file>