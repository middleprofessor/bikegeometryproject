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4CFEB5DE-166C-B345-9F77-EBF4C3631B35}" xr6:coauthVersionLast="47" xr6:coauthVersionMax="47" xr10:uidLastSave="{00000000-0000-0000-0000-000000000000}"/>
  <bookViews>
    <workbookView xWindow="2700" yWindow="2220" windowWidth="26100" windowHeight="154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1" l="1"/>
  <c r="E32" i="1"/>
  <c r="F32" i="1"/>
  <c r="G32" i="1"/>
  <c r="H32" i="1"/>
  <c r="C32" i="1"/>
  <c r="E31" i="1"/>
  <c r="F31" i="1"/>
  <c r="G31" i="1"/>
  <c r="H31" i="1"/>
  <c r="I31" i="1"/>
  <c r="D31" i="1"/>
  <c r="C34" i="1"/>
  <c r="D34" i="1"/>
  <c r="E34" i="1"/>
  <c r="F34" i="1"/>
  <c r="G34" i="1"/>
  <c r="H34" i="1"/>
  <c r="I34" i="1"/>
  <c r="D33" i="1"/>
  <c r="E33" i="1"/>
  <c r="F33" i="1"/>
  <c r="G33" i="1"/>
  <c r="H33" i="1"/>
  <c r="I33" i="1"/>
  <c r="C33" i="1"/>
  <c r="D29" i="1"/>
  <c r="E29" i="1"/>
  <c r="F29" i="1"/>
  <c r="G29" i="1"/>
  <c r="H29" i="1"/>
  <c r="I29" i="1"/>
  <c r="C29" i="1"/>
  <c r="B41" i="1"/>
</calcChain>
</file>

<file path=xl/sharedStrings.xml><?xml version="1.0" encoding="utf-8"?>
<sst xmlns="http://schemas.openxmlformats.org/spreadsheetml/2006/main" count="117" uniqueCount="109">
  <si>
    <t>brand</t>
  </si>
  <si>
    <t>Bearclaw</t>
  </si>
  <si>
    <t>model</t>
  </si>
  <si>
    <t xml:space="preserve">Beaux Jaxon </t>
  </si>
  <si>
    <t>model_year</t>
  </si>
  <si>
    <t>input_date</t>
  </si>
  <si>
    <t>url</t>
  </si>
  <si>
    <t>data_range</t>
  </si>
  <si>
    <t>frame_size</t>
  </si>
  <si>
    <t>frame 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</si>
  <si>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</si>
  <si>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</si>
  <si>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</si>
  <si>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</si>
  <si>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</si>
  <si>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</si>
  <si>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wheelbase</t>
  </si>
  <si>
    <t>bottom_bracket_drop</t>
  </si>
  <si>
    <t>axle_crown</t>
  </si>
  <si>
    <t>fork_offset_rake</t>
  </si>
  <si>
    <t>crank_length</t>
  </si>
  <si>
    <t>stem_length</t>
  </si>
  <si>
    <t>stem_angle</t>
  </si>
  <si>
    <t>handlebar_width</t>
  </si>
  <si>
    <t>stack</t>
  </si>
  <si>
    <t>reach</t>
  </si>
  <si>
    <t>frame_weight</t>
  </si>
  <si>
    <t>wheel_size</t>
  </si>
  <si>
    <t>tire_width_spec</t>
  </si>
  <si>
    <t>tire_width_max</t>
  </si>
  <si>
    <t>standover</t>
  </si>
  <si>
    <t>rider_min</t>
  </si>
  <si>
    <t>rider_max</t>
  </si>
  <si>
    <t>spec_list</t>
  </si>
  <si>
    <t>value</t>
  </si>
  <si>
    <t>material</t>
  </si>
  <si>
    <t>titanium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</si>
  <si>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</si>
  <si>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</si>
  <si>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</si>
  <si>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</si>
  <si>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</si>
  <si>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</si>
  <si>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</si>
  <si>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</si>
  <si>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</si>
  <si>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</si>
  <si>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</si>
  <si>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</si>
  <si>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</si>
  <si>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</si>
  <si>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</si>
  <si>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</si>
  <si>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</si>
  <si>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</si>
  <si>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</si>
  <si>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</si>
  <si>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</si>
  <si>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</si>
  <si>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</si>
  <si>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</si>
  <si>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</si>
  <si>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</si>
  <si>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</si>
  <si>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</si>
  <si>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</si>
  <si>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</si>
  <si>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</si>
  <si>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</si>
  <si>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</si>
  <si>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</si>
  <si>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</si>
  <si>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</si>
  <si>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</si>
  <si>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</si>
  <si>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</si>
  <si>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</si>
  <si>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</si>
  <si>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internal</t>
  </si>
  <si>
    <t>Top Tube</t>
  </si>
  <si>
    <t>Head Tube Angle</t>
  </si>
  <si>
    <t>Head Tube Length</t>
  </si>
  <si>
    <t>Seat Tube Angle</t>
  </si>
  <si>
    <t>Seat Tube Length</t>
  </si>
  <si>
    <t>Front To Center</t>
  </si>
  <si>
    <t>Chainstay Length</t>
  </si>
  <si>
    <t>Wheelbase</t>
  </si>
  <si>
    <t>BB Drop</t>
  </si>
  <si>
    <t>Fork Length</t>
  </si>
  <si>
    <t>Fork Rake</t>
  </si>
  <si>
    <t>Stack</t>
  </si>
  <si>
    <t>Reach</t>
  </si>
  <si>
    <t>Standover (29x2.25)</t>
  </si>
  <si>
    <t>Average Rider Height</t>
  </si>
  <si>
    <t>5'3-5'6"</t>
  </si>
  <si>
    <t>5'5" - 5' 9"</t>
  </si>
  <si>
    <t>5'8" - 5'11"</t>
  </si>
  <si>
    <t>5'10" - 6' 1"</t>
  </si>
  <si>
    <t>6' - 6'3"</t>
  </si>
  <si>
    <t>6' 2"-6'5</t>
  </si>
  <si>
    <t>6'4"-6'7"</t>
  </si>
  <si>
    <t>front_center</t>
  </si>
  <si>
    <t>https://bearclawbicycleco.com/pages/beaux-jaxon</t>
  </si>
  <si>
    <t>a8:i32</t>
  </si>
  <si>
    <t>threaded</t>
  </si>
  <si>
    <t>https://cdn.shopify.com/s/files/1/0850/1320/1198/files/Beaux-Gravel-Plus-MTB-29er-Adventure-Bike-e1643120376937_2048x2048.jpg?v=1710882397</t>
  </si>
  <si>
    <t>USD</t>
  </si>
  <si>
    <t>location</t>
  </si>
  <si>
    <t>Dexter, Michigan,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</si>
</sst>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rgb="FF000000"/>
      <name val="Futura"/>
    </font>
    <font>
      <sz val="14"/>
      <color rgb="FF000000"/>
      <name val="Futura"/>
      <family val="2"/>
    </font>
    <font>
      <sz val="12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"/>
  <sheetViews>
    <sheetView tabSelected="1" topLeftCell="A52" workbookViewId="0">
      <selection activeCell="A73" sqref="A73:B73"/>
    </sheetView>
  </sheetViews>
  <sheetFormatPr baseColWidth="10" defaultRowHeight="20" x14ac:dyDescent="0.3"/>
  <cols>
    <col min="1" max="2" width="19.6640625" customWidth="1"/>
  </cols>
  <sheetData>
    <row r="1" spans="1:9" x14ac:dyDescent="0.3">
      <c r="A1" t="s">
        <v>0</v>
      </c>
      <c r="B1" t="s">
        <v>1</v>
      </c>
    </row>
    <row r="2" spans="1:9" x14ac:dyDescent="0.3">
      <c r="A2" t="s">
        <v>2</v>
      </c>
      <c r="B2" t="s">
        <v>3</v>
      </c>
    </row>
    <row r="3" spans="1:9" x14ac:dyDescent="0.3">
      <c r="A3" t="s">
        <v>4</v>
      </c>
      <c r="B3">
        <v>2025</v>
      </c>
    </row>
    <row r="4" spans="1:9" x14ac:dyDescent="0.3">
      <c r="A4" t="s">
        <v>5</v>
      </c>
      <c r="B4" s="2">
        <v>45883</v>
      </c>
    </row>
    <row r="5" spans="1:9" x14ac:dyDescent="0.3">
      <c r="A5" t="s">
        <v>6</v>
      </c>
      <c r="B5" t="s">
        <v>102</v>
      </c>
    </row>
    <row r="6" spans="1:9" x14ac:dyDescent="0.3">
      <c r="B6" t="s">
        <v>105</v>
      </c>
    </row>
    <row r="7" spans="1:9" x14ac:dyDescent="0.3">
      <c r="A7" t="s">
        <v>7</v>
      </c>
      <c r="B7" s="1" t="s">
        <v>103</v>
      </c>
    </row>
    <row r="8" spans="1:9" x14ac:dyDescent="0.3">
      <c r="A8" t="s">
        <v>8</v>
      </c>
      <c r="B8" s="3" t="s">
        <v>9</v>
      </c>
      <c r="C8" s="3">
        <v>50</v>
      </c>
      <c r="D8" s="3">
        <v>52</v>
      </c>
      <c r="E8" s="3">
        <v>54</v>
      </c>
      <c r="F8" s="3">
        <v>56</v>
      </c>
      <c r="G8" s="3">
        <v>58</v>
      </c>
      <c r="H8" s="3">
        <v>60</v>
      </c>
      <c r="I8" s="3">
        <v>62</v>
      </c>
    </row>
    <row r="9" spans="1:9" x14ac:dyDescent="0.3">
      <c r="A9" t="s">
        <v>11</v>
      </c>
      <c r="B9" s="3" t="s">
        <v>79</v>
      </c>
      <c r="C9" s="3">
        <v>518</v>
      </c>
      <c r="D9" s="3">
        <v>545</v>
      </c>
      <c r="E9" s="3">
        <v>565</v>
      </c>
      <c r="F9" s="3">
        <v>585</v>
      </c>
      <c r="G9" s="3">
        <v>605</v>
      </c>
      <c r="H9" s="3">
        <v>626</v>
      </c>
      <c r="I9" s="3">
        <v>647</v>
      </c>
    </row>
    <row r="10" spans="1:9" x14ac:dyDescent="0.3">
      <c r="A10" t="s">
        <v>14</v>
      </c>
      <c r="B10" s="3" t="s">
        <v>80</v>
      </c>
      <c r="C10" s="3">
        <v>70.25</v>
      </c>
      <c r="D10" s="3">
        <v>70.5</v>
      </c>
      <c r="E10" s="3">
        <v>70.75</v>
      </c>
      <c r="F10" s="3">
        <v>70.75</v>
      </c>
      <c r="G10" s="3">
        <v>71</v>
      </c>
      <c r="H10" s="3">
        <v>71</v>
      </c>
      <c r="I10" s="3">
        <v>71</v>
      </c>
    </row>
    <row r="11" spans="1:9" x14ac:dyDescent="0.3">
      <c r="A11" t="s">
        <v>12</v>
      </c>
      <c r="B11" s="3" t="s">
        <v>81</v>
      </c>
      <c r="C11" s="3">
        <v>90</v>
      </c>
      <c r="D11" s="3">
        <v>115</v>
      </c>
      <c r="E11" s="3">
        <v>135</v>
      </c>
      <c r="F11" s="3">
        <v>155</v>
      </c>
      <c r="G11" s="3">
        <v>175</v>
      </c>
      <c r="H11" s="3">
        <v>200</v>
      </c>
      <c r="I11" s="3">
        <v>210</v>
      </c>
    </row>
    <row r="12" spans="1:9" x14ac:dyDescent="0.3">
      <c r="A12" t="s">
        <v>13</v>
      </c>
      <c r="B12" s="3" t="s">
        <v>82</v>
      </c>
      <c r="C12" s="3">
        <v>74.25</v>
      </c>
      <c r="D12" s="3">
        <v>73.75</v>
      </c>
      <c r="E12" s="3">
        <v>73.5</v>
      </c>
      <c r="F12" s="3">
        <v>73.25</v>
      </c>
      <c r="G12" s="3">
        <v>73</v>
      </c>
      <c r="H12" s="3">
        <v>72.75</v>
      </c>
      <c r="I12" s="3">
        <v>72.5</v>
      </c>
    </row>
    <row r="13" spans="1:9" x14ac:dyDescent="0.3">
      <c r="A13" t="s">
        <v>10</v>
      </c>
      <c r="B13" s="3" t="s">
        <v>83</v>
      </c>
      <c r="C13" s="3">
        <v>460</v>
      </c>
      <c r="D13" s="3">
        <v>500</v>
      </c>
      <c r="E13" s="3">
        <v>520</v>
      </c>
      <c r="F13" s="3">
        <v>540</v>
      </c>
      <c r="G13" s="3">
        <v>560</v>
      </c>
      <c r="H13" s="3">
        <v>580</v>
      </c>
      <c r="I13" s="3">
        <v>600</v>
      </c>
    </row>
    <row r="14" spans="1:9" x14ac:dyDescent="0.3">
      <c r="A14" s="1" t="s">
        <v>101</v>
      </c>
      <c r="B14" s="3" t="s">
        <v>84</v>
      </c>
      <c r="C14" s="3">
        <v>590</v>
      </c>
      <c r="D14" s="3">
        <v>611</v>
      </c>
      <c r="E14" s="3">
        <v>627</v>
      </c>
      <c r="F14" s="3">
        <v>644</v>
      </c>
      <c r="G14" s="3">
        <v>659</v>
      </c>
      <c r="H14" s="3">
        <v>678</v>
      </c>
      <c r="I14" s="3">
        <v>697</v>
      </c>
    </row>
    <row r="15" spans="1:9" x14ac:dyDescent="0.3">
      <c r="A15" t="s">
        <v>15</v>
      </c>
      <c r="B15" s="3" t="s">
        <v>85</v>
      </c>
      <c r="C15" s="3">
        <v>445</v>
      </c>
      <c r="D15" s="3">
        <v>445</v>
      </c>
      <c r="E15" s="3">
        <v>445</v>
      </c>
      <c r="F15" s="3">
        <v>445</v>
      </c>
      <c r="G15" s="3">
        <v>445</v>
      </c>
      <c r="H15" s="3">
        <v>445</v>
      </c>
      <c r="I15" s="3">
        <v>445</v>
      </c>
    </row>
    <row r="16" spans="1:9" x14ac:dyDescent="0.3">
      <c r="A16" t="s">
        <v>16</v>
      </c>
      <c r="B16" s="3" t="s">
        <v>86</v>
      </c>
      <c r="C16" s="3">
        <v>1021</v>
      </c>
      <c r="D16" s="3">
        <v>1042</v>
      </c>
      <c r="E16" s="3">
        <v>1058</v>
      </c>
      <c r="F16" s="3">
        <v>1076</v>
      </c>
      <c r="G16" s="3">
        <v>1091</v>
      </c>
      <c r="H16" s="3">
        <v>1110</v>
      </c>
      <c r="I16" s="3">
        <v>1128</v>
      </c>
    </row>
    <row r="17" spans="1:9" x14ac:dyDescent="0.3">
      <c r="A17" t="s">
        <v>17</v>
      </c>
      <c r="B17" s="3" t="s">
        <v>87</v>
      </c>
      <c r="C17" s="3">
        <v>85</v>
      </c>
      <c r="D17" s="3">
        <v>85</v>
      </c>
      <c r="E17" s="3">
        <v>85</v>
      </c>
      <c r="F17" s="3">
        <v>85</v>
      </c>
      <c r="G17" s="3">
        <v>85</v>
      </c>
      <c r="H17" s="3">
        <v>85</v>
      </c>
      <c r="I17" s="3">
        <v>85</v>
      </c>
    </row>
    <row r="18" spans="1:9" x14ac:dyDescent="0.3">
      <c r="A18" t="s">
        <v>18</v>
      </c>
      <c r="B18" s="3" t="s">
        <v>88</v>
      </c>
      <c r="C18" s="3">
        <v>420</v>
      </c>
      <c r="D18" s="3">
        <v>420</v>
      </c>
      <c r="E18" s="3">
        <v>420</v>
      </c>
      <c r="F18" s="3">
        <v>420</v>
      </c>
      <c r="G18" s="3">
        <v>420</v>
      </c>
      <c r="H18" s="3">
        <v>420</v>
      </c>
      <c r="I18" s="3">
        <v>420</v>
      </c>
    </row>
    <row r="19" spans="1:9" x14ac:dyDescent="0.3">
      <c r="A19" t="s">
        <v>19</v>
      </c>
      <c r="B19" s="3" t="s">
        <v>89</v>
      </c>
      <c r="C19" s="3">
        <v>51</v>
      </c>
      <c r="D19" s="3">
        <v>51</v>
      </c>
      <c r="E19" s="3">
        <v>51</v>
      </c>
      <c r="F19" s="3">
        <v>51</v>
      </c>
      <c r="G19" s="3">
        <v>51</v>
      </c>
      <c r="H19" s="3">
        <v>51</v>
      </c>
      <c r="I19" s="3">
        <v>51</v>
      </c>
    </row>
    <row r="20" spans="1:9" x14ac:dyDescent="0.3">
      <c r="A20" t="s">
        <v>24</v>
      </c>
      <c r="B20" s="3" t="s">
        <v>90</v>
      </c>
      <c r="C20" s="3">
        <v>548</v>
      </c>
      <c r="D20" s="3">
        <v>572</v>
      </c>
      <c r="E20" s="3">
        <v>592</v>
      </c>
      <c r="F20" s="3">
        <v>611</v>
      </c>
      <c r="G20" s="3">
        <v>631</v>
      </c>
      <c r="H20" s="3">
        <v>655</v>
      </c>
      <c r="I20" s="3">
        <v>664</v>
      </c>
    </row>
    <row r="21" spans="1:9" x14ac:dyDescent="0.3">
      <c r="A21" t="s">
        <v>25</v>
      </c>
      <c r="B21" s="3" t="s">
        <v>91</v>
      </c>
      <c r="C21" s="3">
        <v>364</v>
      </c>
      <c r="D21" s="3">
        <v>378</v>
      </c>
      <c r="E21" s="3">
        <v>390</v>
      </c>
      <c r="F21" s="3">
        <v>401</v>
      </c>
      <c r="G21" s="3">
        <v>412</v>
      </c>
      <c r="H21" s="3">
        <v>423</v>
      </c>
      <c r="I21" s="3">
        <v>438</v>
      </c>
    </row>
    <row r="22" spans="1:9" x14ac:dyDescent="0.3">
      <c r="A22" t="s">
        <v>30</v>
      </c>
      <c r="B22" s="3" t="s">
        <v>92</v>
      </c>
      <c r="C22" s="3">
        <v>749</v>
      </c>
      <c r="D22" s="3">
        <v>780</v>
      </c>
      <c r="E22" s="3">
        <v>799</v>
      </c>
      <c r="F22" s="3">
        <v>818</v>
      </c>
      <c r="G22" s="3">
        <v>837</v>
      </c>
      <c r="H22" s="3">
        <v>858</v>
      </c>
      <c r="I22" s="3">
        <v>872</v>
      </c>
    </row>
    <row r="23" spans="1:9" x14ac:dyDescent="0.3">
      <c r="A23" t="s">
        <v>20</v>
      </c>
      <c r="B23" s="3"/>
      <c r="C23" s="3"/>
      <c r="D23" s="3"/>
      <c r="E23" s="3"/>
      <c r="F23" s="3"/>
      <c r="G23" s="3"/>
      <c r="H23" s="3"/>
      <c r="I23" s="3"/>
    </row>
    <row r="24" spans="1:9" x14ac:dyDescent="0.3">
      <c r="A24" t="s">
        <v>21</v>
      </c>
      <c r="B24" s="3"/>
      <c r="C24" s="3"/>
      <c r="D24" s="3"/>
      <c r="E24" s="3"/>
      <c r="F24" s="3"/>
      <c r="G24" s="3"/>
      <c r="H24" s="3"/>
      <c r="I24" s="3"/>
    </row>
    <row r="25" spans="1:9" x14ac:dyDescent="0.3">
      <c r="A25" t="s">
        <v>22</v>
      </c>
    </row>
    <row r="26" spans="1:9" x14ac:dyDescent="0.3">
      <c r="A26" t="s">
        <v>23</v>
      </c>
      <c r="C26" s="3"/>
      <c r="D26" s="3"/>
      <c r="E26" s="3"/>
      <c r="F26" s="3"/>
      <c r="G26" s="3"/>
      <c r="H26" s="3"/>
      <c r="I26" s="3"/>
    </row>
    <row r="27" spans="1:9" x14ac:dyDescent="0.3">
      <c r="A27" t="s">
        <v>26</v>
      </c>
    </row>
    <row r="28" spans="1:9" x14ac:dyDescent="0.3">
      <c r="A28" t="s">
        <v>27</v>
      </c>
      <c r="B28" t="s">
        <v>27</v>
      </c>
      <c r="C28">
        <v>700</v>
      </c>
      <c r="D28">
        <v>700</v>
      </c>
      <c r="E28">
        <v>700</v>
      </c>
      <c r="F28">
        <v>700</v>
      </c>
      <c r="G28">
        <v>700</v>
      </c>
      <c r="H28">
        <v>700</v>
      </c>
      <c r="I28">
        <v>700</v>
      </c>
    </row>
    <row r="29" spans="1:9" x14ac:dyDescent="0.3">
      <c r="A29" t="s">
        <v>28</v>
      </c>
      <c r="B29" t="s">
        <v>28</v>
      </c>
      <c r="C29">
        <f>2.25*25.4</f>
        <v>57.15</v>
      </c>
      <c r="D29">
        <f t="shared" ref="D29:I29" si="0">2.25*25.4</f>
        <v>57.15</v>
      </c>
      <c r="E29">
        <f t="shared" si="0"/>
        <v>57.15</v>
      </c>
      <c r="F29">
        <f t="shared" si="0"/>
        <v>57.15</v>
      </c>
      <c r="G29">
        <f t="shared" si="0"/>
        <v>57.15</v>
      </c>
      <c r="H29">
        <f t="shared" si="0"/>
        <v>57.15</v>
      </c>
      <c r="I29">
        <f t="shared" si="0"/>
        <v>57.15</v>
      </c>
    </row>
    <row r="30" spans="1:9" x14ac:dyDescent="0.3">
      <c r="A30" t="s">
        <v>29</v>
      </c>
      <c r="B30" t="s">
        <v>29</v>
      </c>
      <c r="C30">
        <v>66.040000000000006</v>
      </c>
      <c r="D30">
        <v>66.040000000000006</v>
      </c>
      <c r="E30">
        <v>66.040000000000006</v>
      </c>
      <c r="F30">
        <v>66.040000000000006</v>
      </c>
      <c r="G30">
        <v>66.040000000000006</v>
      </c>
      <c r="H30">
        <v>66.040000000000006</v>
      </c>
      <c r="I30">
        <v>66.040000000000006</v>
      </c>
    </row>
    <row r="31" spans="1:9" x14ac:dyDescent="0.3">
      <c r="A31" t="s">
        <v>31</v>
      </c>
      <c r="C31">
        <v>160.02000000000001</v>
      </c>
      <c r="D31">
        <f>AVERAGE(D33,C34)</f>
        <v>166.37</v>
      </c>
      <c r="E31">
        <f t="shared" ref="E31:I31" si="1">AVERAGE(E33,D34)</f>
        <v>173.99</v>
      </c>
      <c r="F31">
        <f t="shared" si="1"/>
        <v>179.07</v>
      </c>
      <c r="G31">
        <f t="shared" si="1"/>
        <v>184.15</v>
      </c>
      <c r="H31">
        <f t="shared" si="1"/>
        <v>189.23000000000002</v>
      </c>
      <c r="I31">
        <f t="shared" si="1"/>
        <v>194.31</v>
      </c>
    </row>
    <row r="32" spans="1:9" x14ac:dyDescent="0.3">
      <c r="A32" t="s">
        <v>32</v>
      </c>
      <c r="C32">
        <f>D31</f>
        <v>166.37</v>
      </c>
      <c r="D32">
        <f t="shared" ref="D32:H32" si="2">E31</f>
        <v>173.99</v>
      </c>
      <c r="E32">
        <f t="shared" si="2"/>
        <v>179.07</v>
      </c>
      <c r="F32">
        <f t="shared" si="2"/>
        <v>184.15</v>
      </c>
      <c r="G32">
        <f t="shared" si="2"/>
        <v>189.23000000000002</v>
      </c>
      <c r="H32">
        <f t="shared" si="2"/>
        <v>194.31</v>
      </c>
      <c r="I32">
        <v>198.12</v>
      </c>
    </row>
    <row r="33" spans="1:10" x14ac:dyDescent="0.3">
      <c r="C33">
        <f>C35*2.54</f>
        <v>160.02000000000001</v>
      </c>
      <c r="D33">
        <f t="shared" ref="D33:I34" si="3">D35*2.54</f>
        <v>165.1</v>
      </c>
      <c r="E33">
        <f t="shared" si="3"/>
        <v>172.72</v>
      </c>
      <c r="F33">
        <f t="shared" si="3"/>
        <v>177.8</v>
      </c>
      <c r="G33">
        <f t="shared" si="3"/>
        <v>182.88</v>
      </c>
      <c r="H33">
        <f t="shared" si="3"/>
        <v>187.96</v>
      </c>
      <c r="I33">
        <f t="shared" si="3"/>
        <v>193.04</v>
      </c>
    </row>
    <row r="34" spans="1:10" x14ac:dyDescent="0.3">
      <c r="A34" t="s">
        <v>33</v>
      </c>
      <c r="B34" t="s">
        <v>34</v>
      </c>
      <c r="C34">
        <f>C36*2.54</f>
        <v>167.64000000000001</v>
      </c>
      <c r="D34">
        <f t="shared" si="3"/>
        <v>175.26</v>
      </c>
      <c r="E34">
        <f t="shared" si="3"/>
        <v>180.34</v>
      </c>
      <c r="F34">
        <f t="shared" si="3"/>
        <v>185.42000000000002</v>
      </c>
      <c r="G34">
        <f t="shared" si="3"/>
        <v>190.5</v>
      </c>
      <c r="H34">
        <f t="shared" si="3"/>
        <v>195.58</v>
      </c>
      <c r="I34">
        <f t="shared" si="3"/>
        <v>200.66</v>
      </c>
    </row>
    <row r="35" spans="1:10" x14ac:dyDescent="0.3">
      <c r="A35" t="s">
        <v>71</v>
      </c>
      <c r="B35" t="s">
        <v>72</v>
      </c>
      <c r="C35">
        <v>63</v>
      </c>
      <c r="D35">
        <v>65</v>
      </c>
      <c r="E35">
        <v>68</v>
      </c>
      <c r="F35">
        <v>70</v>
      </c>
      <c r="G35">
        <v>72</v>
      </c>
      <c r="H35">
        <v>74</v>
      </c>
      <c r="I35">
        <v>76</v>
      </c>
    </row>
    <row r="36" spans="1:10" x14ac:dyDescent="0.3">
      <c r="A36" t="s">
        <v>73</v>
      </c>
      <c r="B36" t="s">
        <v>74</v>
      </c>
      <c r="C36">
        <v>66</v>
      </c>
      <c r="D36">
        <v>69</v>
      </c>
      <c r="E36">
        <v>71</v>
      </c>
      <c r="F36">
        <v>73</v>
      </c>
      <c r="G36">
        <v>75</v>
      </c>
      <c r="H36">
        <v>77</v>
      </c>
      <c r="I36">
        <v>79</v>
      </c>
    </row>
    <row r="37" spans="1:10" x14ac:dyDescent="0.3">
      <c r="A37" t="s">
        <v>75</v>
      </c>
      <c r="B37" t="s">
        <v>76</v>
      </c>
      <c r="C37" s="3" t="s">
        <v>94</v>
      </c>
      <c r="D37" s="3" t="s">
        <v>95</v>
      </c>
      <c r="E37" s="3" t="s">
        <v>96</v>
      </c>
      <c r="F37" s="3" t="s">
        <v>97</v>
      </c>
      <c r="G37" s="3" t="s">
        <v>98</v>
      </c>
      <c r="H37" s="3" t="s">
        <v>99</v>
      </c>
      <c r="I37" s="3" t="s">
        <v>100</v>
      </c>
      <c r="J37" s="3" t="s">
        <v>93</v>
      </c>
    </row>
    <row r="38" spans="1:10" x14ac:dyDescent="0.3">
      <c r="A38" t="s">
        <v>35</v>
      </c>
      <c r="B38" t="s">
        <v>36</v>
      </c>
    </row>
    <row r="39" spans="1:10" x14ac:dyDescent="0.3">
      <c r="A39" t="s">
        <v>37</v>
      </c>
      <c r="B39" s="1" t="s">
        <v>77</v>
      </c>
    </row>
    <row r="40" spans="1:10" x14ac:dyDescent="0.3">
      <c r="A40" t="s">
        <v>38</v>
      </c>
    </row>
    <row r="41" spans="1:10" x14ac:dyDescent="0.3">
      <c r="A41" t="s">
        <v>39</v>
      </c>
      <c r="B41">
        <f>2.6*25.4</f>
        <v>66.039999999999992</v>
      </c>
    </row>
    <row r="42" spans="1:10" x14ac:dyDescent="0.3">
      <c r="A42" t="s">
        <v>40</v>
      </c>
      <c r="B42">
        <v>3</v>
      </c>
    </row>
    <row r="43" spans="1:10" x14ac:dyDescent="0.3">
      <c r="A43" t="s">
        <v>41</v>
      </c>
    </row>
    <row r="44" spans="1:10" x14ac:dyDescent="0.3">
      <c r="A44" t="s">
        <v>42</v>
      </c>
    </row>
    <row r="45" spans="1:10" x14ac:dyDescent="0.3">
      <c r="A45" t="s">
        <v>43</v>
      </c>
    </row>
    <row r="46" spans="1:10" x14ac:dyDescent="0.3">
      <c r="A46" t="s">
        <v>44</v>
      </c>
    </row>
    <row r="47" spans="1:10" x14ac:dyDescent="0.3">
      <c r="A47" t="s">
        <v>45</v>
      </c>
      <c r="B47">
        <v>148</v>
      </c>
    </row>
    <row r="48" spans="1:10" x14ac:dyDescent="0.3">
      <c r="A48" t="s">
        <v>46</v>
      </c>
      <c r="B48">
        <v>110</v>
      </c>
    </row>
    <row r="49" spans="1:2" x14ac:dyDescent="0.3">
      <c r="A49" t="s">
        <v>47</v>
      </c>
      <c r="B49" s="1" t="s">
        <v>104</v>
      </c>
    </row>
    <row r="50" spans="1:2" x14ac:dyDescent="0.3">
      <c r="A50" t="s">
        <v>48</v>
      </c>
    </row>
    <row r="51" spans="1:2" x14ac:dyDescent="0.3">
      <c r="A51" t="s">
        <v>49</v>
      </c>
      <c r="B51">
        <v>31.6</v>
      </c>
    </row>
    <row r="52" spans="1:2" x14ac:dyDescent="0.3">
      <c r="A52" t="s">
        <v>50</v>
      </c>
    </row>
    <row r="53" spans="1:2" x14ac:dyDescent="0.3">
      <c r="A53" t="s">
        <v>51</v>
      </c>
    </row>
    <row r="54" spans="1:2" x14ac:dyDescent="0.3">
      <c r="A54" t="s">
        <v>52</v>
      </c>
    </row>
    <row r="55" spans="1:2" x14ac:dyDescent="0.3">
      <c r="A55" t="s">
        <v>53</v>
      </c>
    </row>
    <row r="56" spans="1:2" x14ac:dyDescent="0.3">
      <c r="A56" t="s">
        <v>54</v>
      </c>
    </row>
    <row r="57" spans="1:2" x14ac:dyDescent="0.3">
      <c r="A57" t="s">
        <v>55</v>
      </c>
    </row>
    <row r="58" spans="1:2" x14ac:dyDescent="0.3">
      <c r="A58" t="s">
        <v>56</v>
      </c>
      <c r="B58" s="1" t="s">
        <v>78</v>
      </c>
    </row>
    <row r="59" spans="1:2" x14ac:dyDescent="0.3">
      <c r="A59" t="s">
        <v>57</v>
      </c>
      <c r="B59" s="1" t="s">
        <v>78</v>
      </c>
    </row>
    <row r="60" spans="1:2" x14ac:dyDescent="0.3">
      <c r="A60" t="s">
        <v>58</v>
      </c>
    </row>
    <row r="61" spans="1:2" x14ac:dyDescent="0.3">
      <c r="A61" t="s">
        <v>59</v>
      </c>
    </row>
    <row r="62" spans="1:2" x14ac:dyDescent="0.3">
      <c r="A62" t="s">
        <v>60</v>
      </c>
      <c r="B62">
        <v>2</v>
      </c>
    </row>
    <row r="63" spans="1:2" x14ac:dyDescent="0.3">
      <c r="A63" t="s">
        <v>61</v>
      </c>
      <c r="B63">
        <v>1</v>
      </c>
    </row>
    <row r="64" spans="1:2" x14ac:dyDescent="0.3">
      <c r="A64" t="s">
        <v>62</v>
      </c>
    </row>
    <row r="65" spans="1:2" x14ac:dyDescent="0.3">
      <c r="A65" t="s">
        <v>63</v>
      </c>
      <c r="B65" s="1" t="s">
        <v>77</v>
      </c>
    </row>
    <row r="66" spans="1:2" x14ac:dyDescent="0.3">
      <c r="A66" t="s">
        <v>64</v>
      </c>
    </row>
    <row r="67" spans="1:2" x14ac:dyDescent="0.3">
      <c r="A67" t="s">
        <v>65</v>
      </c>
      <c r="B67" s="1" t="s">
        <v>77</v>
      </c>
    </row>
    <row r="68" spans="1:2" x14ac:dyDescent="0.3">
      <c r="A68" t="s">
        <v>66</v>
      </c>
      <c r="B68" s="1" t="s">
        <v>77</v>
      </c>
    </row>
    <row r="69" spans="1:2" x14ac:dyDescent="0.3">
      <c r="A69" t="s">
        <v>67</v>
      </c>
      <c r="B69">
        <v>2490</v>
      </c>
    </row>
    <row r="70" spans="1:2" x14ac:dyDescent="0.3">
      <c r="A70" t="s">
        <v>68</v>
      </c>
      <c r="B70">
        <v>6290</v>
      </c>
    </row>
    <row r="71" spans="1:2" x14ac:dyDescent="0.3">
      <c r="A71" t="s">
        <v>69</v>
      </c>
      <c r="B71" s="1" t="s">
        <v>77</v>
      </c>
    </row>
    <row r="72" spans="1:2" x14ac:dyDescent="0.3">
      <c r="A72" t="s">
        <v>70</v>
      </c>
      <c r="B72" s="1" t="s">
        <v>106</v>
      </c>
    </row>
    <row r="73" spans="1:2" x14ac:dyDescent="0.3">
      <c r="A73" t="s">
        <v>107</v>
      </c>
      <c r="B73" t="s">
        <v>108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2025-10-17T11:10:53Z</dcterms:modified>
</cp:coreProperties>
</file>