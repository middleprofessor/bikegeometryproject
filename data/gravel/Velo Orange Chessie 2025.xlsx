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A6F30A5-748F-0448-ADA9-B2DBA9AEEEF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F26" i="1"/>
  <c r="E26" i="1"/>
  <c r="D26" i="1"/>
  <c r="C26" i="1"/>
  <c r="D17" i="1"/>
  <c r="E17" i="1"/>
  <c r="F17" i="1"/>
  <c r="G17" i="1"/>
  <c r="C17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<sst xmlns="http://schemas.openxmlformats.org/spreadsheetml/2006/main" count="131" uniqueCount="121">
  <si>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</si>
  <si>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</si>
  <si>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</si>
  <si>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</si>
  <si>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</si>
  <si>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</si>
  <si>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</si>
  <si>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</si>
  <si>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</si>
  <si>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</si>
  <si>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</si>
  <si>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</si>
  <si>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</si>
  <si>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</si>
  <si>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</si>
  <si>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</si>
  <si>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</si>
  <si>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</si>
  <si>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</si>
  <si>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</si>
  <si>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</si>
  <si>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</si>
  <si>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</si>
  <si>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</si>
  <si>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</si>
  <si>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</si>
  <si>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</si>
  <si>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</si>
  <si>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</si>
  <si>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</si>
  <si>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</si>
  <si>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</si>
  <si>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</si>
  <si>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</si>
  <si>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</si>
  <si>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</si>
  <si>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</si>
  <si>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</si>
  <si>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</si>
  <si>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</si>
  <si>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</si>
  <si>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</si>
  <si>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</si>
  <si>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</si>
  <si>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</si>
  <si>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</si>
  <si>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</si>
  <si>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</si>
  <si>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</si>
  <si>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</si>
  <si>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</si>
  <si>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</si>
  <si>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</si>
  <si>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</si>
  <si>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</si>
  <si>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</si>
  <si>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</si>
  <si>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</si>
  <si>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</si>
  <si>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</si>
  <si>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</si>
  <si>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</si>
  <si>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</si>
  <si>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</si>
  <si>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</si>
  <si>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</si>
  <si>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</si>
  <si>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</si>
  <si>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</si>
  <si>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</si>
  <si>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</si>
  <si>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</si>
  <si>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</si>
  <si>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XS</t>
  </si>
  <si>
    <t>S</t>
  </si>
  <si>
    <t>M</t>
  </si>
  <si>
    <t>L</t>
  </si>
  <si>
    <t>XL</t>
  </si>
  <si>
    <t>Velo Orange</t>
  </si>
  <si>
    <t>https://velo-orange.com/collections/frames-1/products/chessie-monster-grav-frameset</t>
  </si>
  <si>
    <t>Metric</t>
  </si>
  <si>
    <t>Rider Height</t>
  </si>
  <si>
    <t>4'11"-5'4"</t>
  </si>
  <si>
    <t>5'3"-5'7"</t>
  </si>
  <si>
    <t>5'6"-5'11"</t>
  </si>
  <si>
    <t>5'10"-6'2"</t>
  </si>
  <si>
    <t>6'1"-6'5"</t>
  </si>
  <si>
    <t>Standover</t>
  </si>
  <si>
    <t>Stack</t>
  </si>
  <si>
    <t>Reach</t>
  </si>
  <si>
    <t>Top Tube Length</t>
  </si>
  <si>
    <t>Seat Tube Length</t>
  </si>
  <si>
    <t>Head Tube Angle</t>
  </si>
  <si>
    <t>Head Tube Length</t>
  </si>
  <si>
    <t>Seat Tube Angle</t>
  </si>
  <si>
    <t>Chainstay Length</t>
  </si>
  <si>
    <t>420-435</t>
  </si>
  <si>
    <t>425-440</t>
  </si>
  <si>
    <t>BB Drop</t>
  </si>
  <si>
    <t>Fork Length</t>
  </si>
  <si>
    <t>Fork Offset</t>
  </si>
  <si>
    <t>Front Center</t>
  </si>
  <si>
    <t>Wheelbase</t>
  </si>
  <si>
    <t>front_center</t>
  </si>
  <si>
    <t>Chessie (short)</t>
  </si>
  <si>
    <t>aluminum</t>
  </si>
  <si>
    <t>threaded</t>
  </si>
  <si>
    <t>external</t>
  </si>
  <si>
    <t>internal</t>
  </si>
  <si>
    <t>a8:g31</t>
  </si>
  <si>
    <t>Velo orange says yes, bikepacking review says no. picture is unclear but no?</t>
  </si>
  <si>
    <t>USD</t>
  </si>
  <si>
    <t>https://velo-orange.com/cdn/shop/files/DSC01667_720x.jpg?v=1746548891</t>
  </si>
  <si>
    <t>location</t>
  </si>
  <si>
    <t>Glen Burnie, Maryland,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</si>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</sst>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tabSelected="1" topLeftCell="A47" zoomScale="95" workbookViewId="0">
      <selection activeCell="A72" sqref="A72:B7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7" x14ac:dyDescent="0.3">
      <c r="A1" s="1" t="s">
        <v>0</v>
      </c>
      <c r="B1" s="1" t="s">
        <v>78</v>
      </c>
    </row>
    <row r="2" spans="1:7" x14ac:dyDescent="0.3">
      <c r="A2" s="1" t="s">
        <v>1</v>
      </c>
      <c r="B2" s="1" t="s">
        <v>104</v>
      </c>
    </row>
    <row r="3" spans="1:7" x14ac:dyDescent="0.3">
      <c r="A3" s="1" t="s">
        <v>2</v>
      </c>
      <c r="B3" s="1">
        <v>2025</v>
      </c>
    </row>
    <row r="4" spans="1:7" x14ac:dyDescent="0.3">
      <c r="A4" s="1" t="s">
        <v>3</v>
      </c>
      <c r="B4" s="2">
        <v>45909</v>
      </c>
    </row>
    <row r="5" spans="1:7" x14ac:dyDescent="0.3">
      <c r="A5" s="1" t="s">
        <v>4</v>
      </c>
      <c r="B5" s="1" t="s">
        <v>79</v>
      </c>
    </row>
    <row r="6" spans="1:7" x14ac:dyDescent="0.3">
      <c r="B6" s="1" t="s">
        <v>112</v>
      </c>
    </row>
    <row r="7" spans="1:7" x14ac:dyDescent="0.3">
      <c r="A7" s="1" t="s">
        <v>5</v>
      </c>
      <c r="B7" s="1" t="s">
        <v>109</v>
      </c>
    </row>
    <row r="8" spans="1:7" x14ac:dyDescent="0.3">
      <c r="A8" s="1" t="s">
        <v>6</v>
      </c>
      <c r="B8" s="3" t="s">
        <v>80</v>
      </c>
      <c r="C8" s="1" t="s">
        <v>73</v>
      </c>
      <c r="D8" s="1" t="s">
        <v>74</v>
      </c>
      <c r="E8" s="1" t="s">
        <v>75</v>
      </c>
      <c r="F8" s="1" t="s">
        <v>76</v>
      </c>
      <c r="G8" s="1" t="s">
        <v>77</v>
      </c>
    </row>
    <row r="9" spans="1:7" x14ac:dyDescent="0.3">
      <c r="A9" s="1" t="s">
        <v>15</v>
      </c>
      <c r="B9" s="4" t="s">
        <v>87</v>
      </c>
      <c r="C9" s="1">
        <v>686</v>
      </c>
      <c r="D9" s="1">
        <v>730</v>
      </c>
      <c r="E9" s="1">
        <v>768</v>
      </c>
      <c r="F9" s="1">
        <v>800</v>
      </c>
      <c r="G9" s="1">
        <v>823</v>
      </c>
    </row>
    <row r="10" spans="1:7" x14ac:dyDescent="0.3">
      <c r="A10" s="1" t="s">
        <v>17</v>
      </c>
      <c r="B10" s="4" t="s">
        <v>88</v>
      </c>
      <c r="C10" s="1">
        <v>512</v>
      </c>
      <c r="D10" s="1">
        <v>550</v>
      </c>
      <c r="E10" s="1">
        <v>579</v>
      </c>
      <c r="F10" s="1">
        <v>604</v>
      </c>
      <c r="G10" s="1">
        <v>623</v>
      </c>
    </row>
    <row r="11" spans="1:7" x14ac:dyDescent="0.3">
      <c r="A11" s="1" t="s">
        <v>16</v>
      </c>
      <c r="B11" s="4" t="s">
        <v>89</v>
      </c>
      <c r="C11" s="1">
        <v>348</v>
      </c>
      <c r="D11" s="1">
        <v>367</v>
      </c>
      <c r="E11" s="1">
        <v>388</v>
      </c>
      <c r="F11" s="1">
        <v>411</v>
      </c>
      <c r="G11" s="1">
        <v>430</v>
      </c>
    </row>
    <row r="12" spans="1:7" x14ac:dyDescent="0.3">
      <c r="A12" s="1" t="s">
        <v>7</v>
      </c>
      <c r="B12" s="4" t="s">
        <v>90</v>
      </c>
      <c r="C12" s="1">
        <v>500</v>
      </c>
      <c r="D12" s="1">
        <v>530</v>
      </c>
      <c r="E12" s="1">
        <v>560</v>
      </c>
      <c r="F12" s="1">
        <v>590</v>
      </c>
      <c r="G12" s="1">
        <v>620</v>
      </c>
    </row>
    <row r="13" spans="1:7" x14ac:dyDescent="0.3">
      <c r="A13" s="1" t="s">
        <v>11</v>
      </c>
      <c r="B13" s="4" t="s">
        <v>91</v>
      </c>
      <c r="C13" s="1">
        <v>405</v>
      </c>
      <c r="D13" s="1">
        <v>450</v>
      </c>
      <c r="E13" s="1">
        <v>490</v>
      </c>
      <c r="F13" s="1">
        <v>525</v>
      </c>
      <c r="G13" s="1">
        <v>560</v>
      </c>
    </row>
    <row r="14" spans="1:7" x14ac:dyDescent="0.3">
      <c r="A14" s="1" t="s">
        <v>8</v>
      </c>
      <c r="B14" s="4" t="s">
        <v>92</v>
      </c>
      <c r="C14" s="1">
        <v>69.5</v>
      </c>
      <c r="D14" s="1">
        <v>69.5</v>
      </c>
      <c r="E14" s="1">
        <v>70.5</v>
      </c>
      <c r="F14" s="1">
        <v>70.5</v>
      </c>
      <c r="G14" s="1">
        <v>70.5</v>
      </c>
    </row>
    <row r="15" spans="1:7" x14ac:dyDescent="0.3">
      <c r="A15" s="1" t="s">
        <v>9</v>
      </c>
      <c r="B15" s="4" t="s">
        <v>93</v>
      </c>
      <c r="C15" s="1">
        <v>95</v>
      </c>
      <c r="D15" s="1">
        <v>140</v>
      </c>
      <c r="E15" s="1">
        <v>135</v>
      </c>
      <c r="F15" s="1">
        <v>165</v>
      </c>
      <c r="G15" s="1">
        <v>190</v>
      </c>
    </row>
    <row r="16" spans="1:7" x14ac:dyDescent="0.3">
      <c r="A16" s="1" t="s">
        <v>10</v>
      </c>
      <c r="B16" s="4" t="s">
        <v>94</v>
      </c>
      <c r="C16" s="1">
        <v>73.5</v>
      </c>
      <c r="D16" s="1">
        <v>73.5</v>
      </c>
      <c r="E16" s="1">
        <v>73.5</v>
      </c>
      <c r="F16" s="1">
        <v>73.5</v>
      </c>
      <c r="G16" s="1">
        <v>73.5</v>
      </c>
    </row>
    <row r="17" spans="1:12" x14ac:dyDescent="0.3">
      <c r="A17" s="1" t="s">
        <v>12</v>
      </c>
      <c r="B17" s="4" t="s">
        <v>95</v>
      </c>
      <c r="C17" s="1">
        <f>VALUE(LEFT(H17,3))</f>
        <v>420</v>
      </c>
      <c r="D17" s="1">
        <f t="shared" ref="D17:G17" si="0">VALUE(LEFT(I17,3))</f>
        <v>420</v>
      </c>
      <c r="E17" s="1">
        <f t="shared" si="0"/>
        <v>425</v>
      </c>
      <c r="F17" s="1">
        <f t="shared" si="0"/>
        <v>425</v>
      </c>
      <c r="G17" s="1">
        <f t="shared" si="0"/>
        <v>425</v>
      </c>
      <c r="H17" s="1" t="s">
        <v>96</v>
      </c>
      <c r="I17" s="1" t="s">
        <v>96</v>
      </c>
      <c r="J17" s="1" t="s">
        <v>97</v>
      </c>
      <c r="K17" s="1" t="s">
        <v>97</v>
      </c>
      <c r="L17" s="1" t="s">
        <v>97</v>
      </c>
    </row>
    <row r="18" spans="1:12" x14ac:dyDescent="0.3">
      <c r="A18" s="1" t="s">
        <v>13</v>
      </c>
      <c r="B18" s="4" t="s">
        <v>98</v>
      </c>
      <c r="C18" s="1">
        <v>62</v>
      </c>
      <c r="D18" s="1">
        <v>58</v>
      </c>
      <c r="E18" s="1">
        <v>72</v>
      </c>
      <c r="F18" s="1">
        <v>68</v>
      </c>
      <c r="G18" s="1">
        <v>64</v>
      </c>
    </row>
    <row r="19" spans="1:12" x14ac:dyDescent="0.3">
      <c r="A19" s="1" t="s">
        <v>19</v>
      </c>
      <c r="B19" s="4" t="s">
        <v>99</v>
      </c>
      <c r="C19" s="1">
        <v>396</v>
      </c>
      <c r="D19" s="1">
        <v>396</v>
      </c>
      <c r="E19" s="1">
        <v>410</v>
      </c>
      <c r="F19" s="1">
        <v>410</v>
      </c>
      <c r="G19" s="1">
        <v>410</v>
      </c>
    </row>
    <row r="20" spans="1:12" x14ac:dyDescent="0.3">
      <c r="A20" s="1" t="s">
        <v>18</v>
      </c>
      <c r="B20" s="4" t="s">
        <v>100</v>
      </c>
      <c r="C20" s="1">
        <v>56</v>
      </c>
      <c r="D20" s="1">
        <v>56</v>
      </c>
      <c r="E20" s="1">
        <v>50</v>
      </c>
      <c r="F20" s="1">
        <v>50</v>
      </c>
      <c r="G20" s="1">
        <v>50</v>
      </c>
    </row>
    <row r="21" spans="1:12" x14ac:dyDescent="0.3">
      <c r="A21" s="1" t="s">
        <v>103</v>
      </c>
      <c r="B21" s="4" t="s">
        <v>101</v>
      </c>
      <c r="C21" s="1">
        <v>581</v>
      </c>
      <c r="D21" s="1">
        <v>615</v>
      </c>
      <c r="E21" s="1">
        <v>626</v>
      </c>
      <c r="F21" s="1">
        <v>658</v>
      </c>
      <c r="G21" s="1">
        <v>688</v>
      </c>
    </row>
    <row r="22" spans="1:12" x14ac:dyDescent="0.3">
      <c r="A22" s="1" t="s">
        <v>14</v>
      </c>
      <c r="B22" s="1" t="s">
        <v>102</v>
      </c>
      <c r="C22" s="1">
        <v>993</v>
      </c>
      <c r="D22" s="1">
        <v>1028</v>
      </c>
      <c r="E22" s="1">
        <v>1041</v>
      </c>
      <c r="F22" s="1">
        <v>1074</v>
      </c>
      <c r="G22" s="1">
        <v>1107</v>
      </c>
    </row>
    <row r="23" spans="1:12" x14ac:dyDescent="0.3">
      <c r="A23" s="1" t="s">
        <v>20</v>
      </c>
    </row>
    <row r="24" spans="1:12" x14ac:dyDescent="0.3">
      <c r="A24" s="1" t="s">
        <v>21</v>
      </c>
    </row>
    <row r="25" spans="1:12" x14ac:dyDescent="0.3">
      <c r="A25" s="1" t="s">
        <v>22</v>
      </c>
      <c r="B25" s="1" t="s">
        <v>22</v>
      </c>
    </row>
    <row r="26" spans="1:12" x14ac:dyDescent="0.3">
      <c r="A26" s="1" t="s">
        <v>23</v>
      </c>
      <c r="C26" s="5">
        <f>(3+10/16)/2.2*1000</f>
        <v>1647.7272727272725</v>
      </c>
      <c r="D26" s="5">
        <f>(3+12/16)/2.2*1000</f>
        <v>1704.5454545454543</v>
      </c>
      <c r="E26" s="5">
        <f>(4+0/16)/2.2*1000</f>
        <v>1818.181818181818</v>
      </c>
      <c r="F26" s="5">
        <f>(4+2/16)/2.2*1000</f>
        <v>1874.9999999999998</v>
      </c>
      <c r="G26" s="5">
        <f>(4+4/16)/2.2*1000</f>
        <v>1931.8181818181818</v>
      </c>
    </row>
    <row r="27" spans="1:12" x14ac:dyDescent="0.3">
      <c r="A27" s="1" t="s">
        <v>24</v>
      </c>
      <c r="B27" s="1" t="s">
        <v>24</v>
      </c>
      <c r="C27" s="1">
        <v>700</v>
      </c>
      <c r="D27" s="1">
        <v>700</v>
      </c>
      <c r="E27" s="1">
        <v>700</v>
      </c>
      <c r="F27" s="1">
        <v>700</v>
      </c>
      <c r="G27" s="1">
        <v>700</v>
      </c>
    </row>
    <row r="28" spans="1:12" x14ac:dyDescent="0.3">
      <c r="A28" s="1" t="s">
        <v>25</v>
      </c>
      <c r="B28" s="1" t="s">
        <v>25</v>
      </c>
      <c r="C28" s="1">
        <v>45</v>
      </c>
      <c r="D28" s="1">
        <v>45</v>
      </c>
      <c r="E28" s="1">
        <v>45</v>
      </c>
      <c r="F28" s="1">
        <v>45</v>
      </c>
      <c r="G28" s="1">
        <v>45</v>
      </c>
    </row>
    <row r="29" spans="1:12" x14ac:dyDescent="0.3">
      <c r="A29" s="1" t="s">
        <v>26</v>
      </c>
      <c r="B29" s="1" t="s">
        <v>26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</row>
    <row r="30" spans="1:12" x14ac:dyDescent="0.3">
      <c r="A30" s="1" t="s">
        <v>27</v>
      </c>
      <c r="C30" s="1">
        <f>C32*2.54</f>
        <v>149.86000000000001</v>
      </c>
      <c r="D30" s="1">
        <f t="shared" ref="D30:G31" si="1">D32*2.54</f>
        <v>160.02000000000001</v>
      </c>
      <c r="E30" s="1">
        <f t="shared" si="1"/>
        <v>167.64000000000001</v>
      </c>
      <c r="F30" s="1">
        <f t="shared" si="1"/>
        <v>177.8</v>
      </c>
      <c r="G30" s="1">
        <f t="shared" si="1"/>
        <v>185.42000000000002</v>
      </c>
    </row>
    <row r="31" spans="1:12" x14ac:dyDescent="0.3">
      <c r="A31" s="1" t="s">
        <v>28</v>
      </c>
      <c r="C31" s="1">
        <f>C33*2.54</f>
        <v>162.56</v>
      </c>
      <c r="D31" s="1">
        <f t="shared" si="1"/>
        <v>170.18</v>
      </c>
      <c r="E31" s="1">
        <f t="shared" si="1"/>
        <v>180.34</v>
      </c>
      <c r="F31" s="1">
        <f t="shared" si="1"/>
        <v>187.96</v>
      </c>
      <c r="G31" s="1">
        <f t="shared" si="1"/>
        <v>195.58</v>
      </c>
    </row>
    <row r="32" spans="1:12" x14ac:dyDescent="0.3">
      <c r="C32" s="1">
        <v>59</v>
      </c>
      <c r="D32" s="1">
        <v>63</v>
      </c>
      <c r="E32" s="1">
        <v>66</v>
      </c>
      <c r="F32" s="1">
        <v>70</v>
      </c>
      <c r="G32" s="1">
        <v>73</v>
      </c>
    </row>
    <row r="33" spans="1:8" x14ac:dyDescent="0.3">
      <c r="A33" s="1" t="s">
        <v>29</v>
      </c>
      <c r="B33" s="1" t="s">
        <v>30</v>
      </c>
      <c r="C33" s="1">
        <v>64</v>
      </c>
      <c r="D33" s="1">
        <v>67</v>
      </c>
      <c r="E33" s="1">
        <v>71</v>
      </c>
      <c r="F33" s="1">
        <v>74</v>
      </c>
      <c r="G33" s="1">
        <v>77</v>
      </c>
    </row>
    <row r="34" spans="1:8" x14ac:dyDescent="0.3">
      <c r="A34" s="1" t="s">
        <v>66</v>
      </c>
      <c r="B34" s="1" t="s">
        <v>67</v>
      </c>
      <c r="C34" s="1" t="s">
        <v>82</v>
      </c>
      <c r="D34" s="1" t="s">
        <v>83</v>
      </c>
      <c r="E34" s="1" t="s">
        <v>84</v>
      </c>
      <c r="F34" s="1" t="s">
        <v>85</v>
      </c>
      <c r="G34" s="1" t="s">
        <v>86</v>
      </c>
      <c r="H34" s="1" t="s">
        <v>81</v>
      </c>
    </row>
    <row r="35" spans="1:8" x14ac:dyDescent="0.3">
      <c r="A35" s="1" t="s">
        <v>68</v>
      </c>
      <c r="B35" s="1" t="s">
        <v>69</v>
      </c>
    </row>
    <row r="36" spans="1:8" x14ac:dyDescent="0.3">
      <c r="A36" s="1" t="s">
        <v>70</v>
      </c>
      <c r="B36" s="1" t="s">
        <v>71</v>
      </c>
    </row>
    <row r="37" spans="1:8" x14ac:dyDescent="0.3">
      <c r="A37" s="1" t="s">
        <v>31</v>
      </c>
      <c r="B37" s="1" t="s">
        <v>105</v>
      </c>
    </row>
    <row r="38" spans="1:8" x14ac:dyDescent="0.3">
      <c r="A38" s="1" t="s">
        <v>32</v>
      </c>
    </row>
    <row r="39" spans="1:8" x14ac:dyDescent="0.3">
      <c r="A39" s="1" t="s">
        <v>33</v>
      </c>
      <c r="B39" s="1">
        <v>15</v>
      </c>
    </row>
    <row r="40" spans="1:8" x14ac:dyDescent="0.3">
      <c r="A40" s="1" t="s">
        <v>34</v>
      </c>
      <c r="B40" s="1">
        <v>50</v>
      </c>
    </row>
    <row r="41" spans="1:8" x14ac:dyDescent="0.3">
      <c r="A41" s="1" t="s">
        <v>35</v>
      </c>
      <c r="B41" s="1">
        <v>2.25</v>
      </c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115</v>
      </c>
    </row>
    <row r="49" spans="1:2" x14ac:dyDescent="0.3">
      <c r="A49" s="1" t="s">
        <v>116</v>
      </c>
    </row>
    <row r="50" spans="1:2" x14ac:dyDescent="0.3">
      <c r="A50" s="1" t="s">
        <v>117</v>
      </c>
    </row>
    <row r="51" spans="1:2" x14ac:dyDescent="0.3">
      <c r="A51" s="1" t="s">
        <v>118</v>
      </c>
    </row>
    <row r="52" spans="1:2" x14ac:dyDescent="0.3">
      <c r="A52" s="1" t="s">
        <v>119</v>
      </c>
    </row>
    <row r="53" spans="1:2" x14ac:dyDescent="0.3">
      <c r="A53" s="1" t="s">
        <v>120</v>
      </c>
    </row>
    <row r="54" spans="1:2" x14ac:dyDescent="0.3">
      <c r="A54" s="1" t="s">
        <v>42</v>
      </c>
      <c r="B54" s="1" t="s">
        <v>106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  <c r="B57" s="1" t="s">
        <v>72</v>
      </c>
    </row>
    <row r="58" spans="1:2" x14ac:dyDescent="0.3">
      <c r="A58" s="1" t="s">
        <v>46</v>
      </c>
      <c r="B58" s="1">
        <v>48</v>
      </c>
    </row>
    <row r="59" spans="1:2" x14ac:dyDescent="0.3">
      <c r="A59" s="1" t="s">
        <v>47</v>
      </c>
      <c r="B59" s="1">
        <v>48</v>
      </c>
    </row>
    <row r="60" spans="1:2" x14ac:dyDescent="0.3">
      <c r="A60" s="1" t="s">
        <v>48</v>
      </c>
      <c r="B60" s="1">
        <v>160</v>
      </c>
    </row>
    <row r="61" spans="1:2" x14ac:dyDescent="0.3">
      <c r="A61" s="1" t="s">
        <v>49</v>
      </c>
      <c r="B61" s="1">
        <v>160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107</v>
      </c>
    </row>
    <row r="64" spans="1:2" x14ac:dyDescent="0.3">
      <c r="A64" s="1" t="s">
        <v>52</v>
      </c>
      <c r="B64" s="1" t="s">
        <v>108</v>
      </c>
    </row>
    <row r="65" spans="1:3" x14ac:dyDescent="0.3">
      <c r="A65" s="1" t="s">
        <v>53</v>
      </c>
    </row>
    <row r="66" spans="1:3" x14ac:dyDescent="0.3">
      <c r="A66" s="1" t="s">
        <v>54</v>
      </c>
    </row>
    <row r="67" spans="1:3" x14ac:dyDescent="0.3">
      <c r="A67" s="1" t="s">
        <v>55</v>
      </c>
      <c r="B67" s="1">
        <v>2</v>
      </c>
    </row>
    <row r="68" spans="1:3" x14ac:dyDescent="0.3">
      <c r="A68" s="1" t="s">
        <v>56</v>
      </c>
      <c r="C68" s="1" t="s">
        <v>110</v>
      </c>
    </row>
    <row r="69" spans="1:3" x14ac:dyDescent="0.3">
      <c r="A69" s="1" t="s">
        <v>57</v>
      </c>
    </row>
    <row r="70" spans="1:3" x14ac:dyDescent="0.3">
      <c r="A70" s="1" t="s">
        <v>58</v>
      </c>
      <c r="B70" s="1">
        <v>3</v>
      </c>
    </row>
    <row r="71" spans="1:3" x14ac:dyDescent="0.3">
      <c r="A71" s="1" t="s">
        <v>59</v>
      </c>
      <c r="B71" s="1" t="s">
        <v>72</v>
      </c>
    </row>
    <row r="72" spans="1:3" x14ac:dyDescent="0.3">
      <c r="A72" s="1" t="s">
        <v>60</v>
      </c>
      <c r="B72" s="1" t="s">
        <v>72</v>
      </c>
    </row>
    <row r="73" spans="1:3" x14ac:dyDescent="0.3">
      <c r="A73" s="1" t="s">
        <v>61</v>
      </c>
      <c r="B73" s="1" t="s">
        <v>72</v>
      </c>
    </row>
    <row r="74" spans="1:3" x14ac:dyDescent="0.3">
      <c r="A74" s="1" t="s">
        <v>62</v>
      </c>
      <c r="B74" s="1">
        <v>950</v>
      </c>
    </row>
    <row r="75" spans="1:3" x14ac:dyDescent="0.3">
      <c r="A75" s="1" t="s">
        <v>63</v>
      </c>
    </row>
    <row r="76" spans="1:3" x14ac:dyDescent="0.3">
      <c r="A76" s="1" t="s">
        <v>64</v>
      </c>
    </row>
    <row r="77" spans="1:3" x14ac:dyDescent="0.3">
      <c r="A77" s="1" t="s">
        <v>65</v>
      </c>
      <c r="B77" s="1" t="s">
        <v>111</v>
      </c>
    </row>
    <row r="78" spans="1:3" x14ac:dyDescent="0.3">
      <c r="A78" s="1" t="s">
        <v>113</v>
      </c>
      <c r="B78" s="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2025-11-07T14:49:27Z</dcterms:modified>
</cp:coreProperties>
</file>