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ED07B9B-624B-294A-9EF2-50E131F77BAF}" xr6:coauthVersionLast="47" xr6:coauthVersionMax="47" xr10:uidLastSave="{00000000-0000-0000-0000-000000000000}"/>
  <bookViews>
    <workbookView xWindow="32900" yWindow="-19480" windowWidth="28340" windowHeight="17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C19" i="1"/>
  <c r="C31" i="1"/>
  <c r="D31" i="1"/>
  <c r="E31" i="1"/>
  <c r="F31" i="1"/>
  <c r="G3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<sst xmlns="http://schemas.openxmlformats.org/spreadsheetml/2006/main" count="105" uniqueCount="102">
  <si>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</si>
  <si>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</si>
  <si>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</si>
  <si>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</si>
  <si>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</si>
  <si>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</si>
  <si>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</si>
  <si>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</si>
  <si>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</si>
  <si>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</si>
  <si>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</si>
  <si>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</si>
  <si>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</si>
  <si>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</si>
  <si>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</si>
  <si>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</si>
  <si>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</si>
  <si>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</si>
  <si>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</si>
  <si>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</si>
  <si>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</si>
  <si>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</si>
  <si>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</si>
  <si>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</si>
  <si>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</si>
  <si>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</si>
  <si>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</si>
  <si>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</si>
  <si>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</si>
  <si>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</si>
  <si>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</si>
  <si>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</si>
  <si>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</si>
  <si>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</si>
  <si>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</si>
  <si>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</si>
  <si>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</si>
  <si>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</si>
  <si>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</si>
  <si>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</si>
  <si>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</si>
  <si>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</si>
  <si>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</si>
  <si>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</si>
  <si>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</si>
  <si>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</si>
  <si>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</si>
  <si>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</si>
  <si>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</si>
  <si>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</si>
  <si>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</si>
  <si>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</si>
  <si>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</si>
  <si>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</si>
  <si>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</si>
  <si>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</si>
  <si>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</si>
  <si>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</si>
  <si>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</si>
  <si>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</si>
  <si>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</si>
  <si>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</si>
  <si>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</si>
  <si>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</si>
  <si>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</si>
  <si>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</si>
  <si>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</si>
  <si>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</si>
  <si>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</si>
  <si>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</si>
  <si>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</si>
  <si>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</si>
  <si>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</si>
  <si>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usd</t>
  </si>
  <si>
    <t>Measurement</t>
  </si>
  <si>
    <t>State</t>
  </si>
  <si>
    <t>threaded</t>
  </si>
  <si>
    <t>internal</t>
  </si>
  <si>
    <t>drop bar</t>
  </si>
  <si>
    <t>Titanium All-Road</t>
  </si>
  <si>
    <t>titanium</t>
  </si>
  <si>
    <t>XS (46cm)</t>
  </si>
  <si>
    <t>S (48cm)</t>
  </si>
  <si>
    <t>M (52cm)</t>
  </si>
  <si>
    <t>L (55cm)</t>
  </si>
  <si>
    <t>XL (57cm)</t>
  </si>
  <si>
    <t>BB DROP</t>
  </si>
  <si>
    <t>CHAINSTAY LENGTH</t>
  </si>
  <si>
    <t>EFFECTIVE TOP TUBE LENGTH</t>
  </si>
  <si>
    <t>FORK OFFSET</t>
  </si>
  <si>
    <t>HEAD TUBE LENGTH</t>
  </si>
  <si>
    <t>HEAD TUBE ANGLE</t>
  </si>
  <si>
    <t>REACH</t>
  </si>
  <si>
    <t>SEAT TUBE</t>
  </si>
  <si>
    <t>SEAT TUBE ANGLE</t>
  </si>
  <si>
    <t>STACK</t>
  </si>
  <si>
    <t>STANDOVER HEIGHT (700*38C)</t>
  </si>
  <si>
    <t>WHEELBASE</t>
  </si>
  <si>
    <t>FRAME WEIGHT*</t>
  </si>
  <si>
    <t>https://www.statebicycle.com/collections/titanium-all-road-gravel-series</t>
  </si>
  <si>
    <t>a8:g31</t>
  </si>
  <si>
    <t>https://www.statebicycle.com/cdn/shop/files/State-Bicycle-Co-TitaniumAll-Road-1.jpg?v=1721074433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</si>
</sst>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75</v>
      </c>
    </row>
    <row r="2" spans="1:11" x14ac:dyDescent="0.3">
      <c r="A2" s="1" t="s">
        <v>1</v>
      </c>
      <c r="B2" s="1" t="s">
        <v>79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45901</v>
      </c>
    </row>
    <row r="5" spans="1:11" x14ac:dyDescent="0.3">
      <c r="A5" s="1" t="s">
        <v>4</v>
      </c>
      <c r="B5" s="1" t="s">
        <v>99</v>
      </c>
    </row>
    <row r="6" spans="1:11" x14ac:dyDescent="0.3">
      <c r="B6" s="1" t="s">
        <v>101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100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6" t="s">
        <v>74</v>
      </c>
      <c r="C8" s="6" t="s">
        <v>81</v>
      </c>
      <c r="D8" s="6" t="s">
        <v>82</v>
      </c>
      <c r="E8" s="6" t="s">
        <v>83</v>
      </c>
      <c r="F8" s="6" t="s">
        <v>84</v>
      </c>
      <c r="G8" s="6" t="s">
        <v>85</v>
      </c>
    </row>
    <row r="9" spans="1:11" x14ac:dyDescent="0.3">
      <c r="A9" s="1" t="s">
        <v>13</v>
      </c>
      <c r="B9" s="6" t="s">
        <v>86</v>
      </c>
      <c r="C9" s="7">
        <v>71</v>
      </c>
      <c r="D9" s="7">
        <v>71</v>
      </c>
      <c r="E9" s="7">
        <v>69</v>
      </c>
      <c r="F9" s="7">
        <v>69</v>
      </c>
      <c r="G9" s="7">
        <v>68</v>
      </c>
    </row>
    <row r="10" spans="1:11" x14ac:dyDescent="0.3">
      <c r="A10" s="1" t="s">
        <v>12</v>
      </c>
      <c r="B10" s="6" t="s">
        <v>87</v>
      </c>
      <c r="C10" s="7">
        <v>437</v>
      </c>
      <c r="D10" s="7">
        <v>437</v>
      </c>
      <c r="E10" s="7">
        <v>437</v>
      </c>
      <c r="F10" s="7">
        <v>437</v>
      </c>
      <c r="G10" s="7">
        <v>437</v>
      </c>
    </row>
    <row r="11" spans="1:11" x14ac:dyDescent="0.3">
      <c r="A11" s="1" t="s">
        <v>8</v>
      </c>
      <c r="B11" s="6" t="s">
        <v>88</v>
      </c>
      <c r="C11" s="7">
        <v>517</v>
      </c>
      <c r="D11" s="7">
        <v>527</v>
      </c>
      <c r="E11" s="7">
        <v>552</v>
      </c>
      <c r="F11" s="7">
        <v>583</v>
      </c>
      <c r="G11" s="7">
        <v>604</v>
      </c>
    </row>
    <row r="12" spans="1:11" x14ac:dyDescent="0.3">
      <c r="A12" s="1" t="s">
        <v>18</v>
      </c>
      <c r="B12" s="6" t="s">
        <v>89</v>
      </c>
      <c r="C12" s="7">
        <v>45</v>
      </c>
      <c r="D12" s="7">
        <v>45</v>
      </c>
      <c r="E12" s="7">
        <v>45</v>
      </c>
      <c r="F12" s="7">
        <v>45</v>
      </c>
      <c r="G12" s="7">
        <v>45</v>
      </c>
    </row>
    <row r="13" spans="1:11" x14ac:dyDescent="0.3">
      <c r="A13" s="1" t="s">
        <v>9</v>
      </c>
      <c r="B13" s="6" t="s">
        <v>90</v>
      </c>
      <c r="C13" s="7">
        <v>125</v>
      </c>
      <c r="D13" s="7">
        <v>145</v>
      </c>
      <c r="E13" s="7">
        <v>165</v>
      </c>
      <c r="F13" s="7">
        <v>195</v>
      </c>
      <c r="G13" s="7">
        <v>215</v>
      </c>
    </row>
    <row r="14" spans="1:11" x14ac:dyDescent="0.3">
      <c r="A14" s="1" t="s">
        <v>11</v>
      </c>
      <c r="B14" s="6" t="s">
        <v>91</v>
      </c>
      <c r="C14" s="7">
        <v>70.25</v>
      </c>
      <c r="D14" s="7">
        <v>70.25</v>
      </c>
      <c r="E14" s="7">
        <v>70.5</v>
      </c>
      <c r="F14" s="7">
        <v>71</v>
      </c>
      <c r="G14" s="7">
        <v>71.5</v>
      </c>
    </row>
    <row r="15" spans="1:11" x14ac:dyDescent="0.3">
      <c r="A15" s="1" t="s">
        <v>17</v>
      </c>
      <c r="B15" s="6" t="s">
        <v>92</v>
      </c>
      <c r="C15" s="7">
        <v>367</v>
      </c>
      <c r="D15" s="7">
        <v>364</v>
      </c>
      <c r="E15" s="7">
        <v>376</v>
      </c>
      <c r="F15" s="7">
        <v>392</v>
      </c>
      <c r="G15" s="7">
        <v>403</v>
      </c>
    </row>
    <row r="16" spans="1:11" x14ac:dyDescent="0.3">
      <c r="A16" s="1" t="s">
        <v>7</v>
      </c>
      <c r="B16" s="6" t="s">
        <v>93</v>
      </c>
      <c r="C16" s="7">
        <v>460</v>
      </c>
      <c r="D16" s="7">
        <v>480</v>
      </c>
      <c r="E16" s="7">
        <v>520</v>
      </c>
      <c r="F16" s="7">
        <v>550</v>
      </c>
      <c r="G16" s="7">
        <v>570</v>
      </c>
    </row>
    <row r="17" spans="1:12" x14ac:dyDescent="0.3">
      <c r="A17" s="1" t="s">
        <v>10</v>
      </c>
      <c r="B17" s="6" t="s">
        <v>94</v>
      </c>
      <c r="C17" s="7">
        <v>75</v>
      </c>
      <c r="D17" s="7">
        <v>74</v>
      </c>
      <c r="E17" s="7">
        <v>73.5</v>
      </c>
      <c r="F17" s="7">
        <v>73</v>
      </c>
      <c r="G17" s="7">
        <v>72.5</v>
      </c>
    </row>
    <row r="18" spans="1:12" x14ac:dyDescent="0.3">
      <c r="A18" s="1" t="s">
        <v>16</v>
      </c>
      <c r="B18" s="6" t="s">
        <v>95</v>
      </c>
      <c r="C18" s="7">
        <v>560</v>
      </c>
      <c r="D18" s="7">
        <v>580</v>
      </c>
      <c r="E18" s="7">
        <v>597</v>
      </c>
      <c r="F18" s="7">
        <v>627</v>
      </c>
      <c r="G18" s="7">
        <v>647</v>
      </c>
    </row>
    <row r="19" spans="1:12" x14ac:dyDescent="0.3">
      <c r="A19" s="1" t="s">
        <v>15</v>
      </c>
      <c r="B19" s="6" t="s">
        <v>96</v>
      </c>
      <c r="C19" s="1">
        <f>H19*25.4</f>
        <v>749.3</v>
      </c>
      <c r="D19" s="1">
        <f t="shared" ref="D19:G19" si="0">I19*25.4</f>
        <v>781.05</v>
      </c>
      <c r="E19" s="1">
        <f t="shared" si="0"/>
        <v>812.8</v>
      </c>
      <c r="F19" s="1">
        <f t="shared" si="0"/>
        <v>831.84999999999991</v>
      </c>
      <c r="G19" s="1">
        <f t="shared" si="0"/>
        <v>850.9</v>
      </c>
      <c r="H19" s="7">
        <v>29.5</v>
      </c>
      <c r="I19" s="7">
        <v>30.75</v>
      </c>
      <c r="J19" s="7">
        <v>32</v>
      </c>
      <c r="K19" s="7">
        <v>32.75</v>
      </c>
      <c r="L19" s="7">
        <v>33.5</v>
      </c>
    </row>
    <row r="20" spans="1:12" x14ac:dyDescent="0.3">
      <c r="A20" s="1" t="s">
        <v>14</v>
      </c>
      <c r="B20" s="6" t="s">
        <v>97</v>
      </c>
      <c r="C20" s="1">
        <v>1021</v>
      </c>
      <c r="D20" s="1">
        <v>1025</v>
      </c>
      <c r="E20" s="1">
        <v>1042</v>
      </c>
      <c r="F20" s="1">
        <v>1063</v>
      </c>
      <c r="G20" s="1">
        <v>1077</v>
      </c>
      <c r="H20" s="7"/>
      <c r="I20" s="7"/>
      <c r="J20" s="7"/>
      <c r="K20" s="7"/>
      <c r="L20" s="7"/>
    </row>
    <row r="21" spans="1:12" x14ac:dyDescent="0.3">
      <c r="A21" s="1" t="s">
        <v>23</v>
      </c>
      <c r="B21" s="6" t="s">
        <v>98</v>
      </c>
      <c r="C21" s="7">
        <v>1870</v>
      </c>
      <c r="D21" s="7">
        <v>1870</v>
      </c>
      <c r="E21" s="7">
        <v>1870</v>
      </c>
      <c r="F21" s="7">
        <v>1870</v>
      </c>
      <c r="G21" s="7">
        <v>1870</v>
      </c>
    </row>
    <row r="22" spans="1:12" x14ac:dyDescent="0.3">
      <c r="A22" s="1" t="s">
        <v>22</v>
      </c>
    </row>
    <row r="23" spans="1:12" x14ac:dyDescent="0.3">
      <c r="A23" s="1" t="s">
        <v>72</v>
      </c>
    </row>
    <row r="24" spans="1:12" x14ac:dyDescent="0.3">
      <c r="A24" s="1" t="s">
        <v>19</v>
      </c>
    </row>
    <row r="25" spans="1:12" x14ac:dyDescent="0.3">
      <c r="A25" s="1" t="s">
        <v>20</v>
      </c>
    </row>
    <row r="26" spans="1:12" x14ac:dyDescent="0.3">
      <c r="A26" s="1" t="s">
        <v>21</v>
      </c>
    </row>
    <row r="27" spans="1:12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2" x14ac:dyDescent="0.3">
      <c r="A28" s="1" t="s">
        <v>25</v>
      </c>
      <c r="C28" s="4"/>
      <c r="D28" s="4"/>
      <c r="E28" s="4"/>
      <c r="F28" s="4"/>
      <c r="G28" s="4"/>
      <c r="H28" s="4"/>
      <c r="I28" s="4"/>
      <c r="J28" s="4"/>
      <c r="K28" s="4"/>
    </row>
    <row r="29" spans="1:12" x14ac:dyDescent="0.3">
      <c r="A29" s="1" t="s">
        <v>26</v>
      </c>
    </row>
    <row r="30" spans="1:12" x14ac:dyDescent="0.3">
      <c r="A30" s="1" t="s">
        <v>27</v>
      </c>
      <c r="C30" s="8">
        <f>C32*2.54</f>
        <v>154.94</v>
      </c>
      <c r="D30" s="8">
        <f t="shared" ref="D30:G31" si="1">D32*2.54</f>
        <v>165.1</v>
      </c>
      <c r="E30" s="8">
        <f t="shared" si="1"/>
        <v>172.72</v>
      </c>
      <c r="F30" s="8">
        <f t="shared" si="1"/>
        <v>177.8</v>
      </c>
      <c r="G30" s="8">
        <f t="shared" si="1"/>
        <v>182.88</v>
      </c>
    </row>
    <row r="31" spans="1:12" x14ac:dyDescent="0.3">
      <c r="A31" s="1" t="s">
        <v>28</v>
      </c>
      <c r="C31" s="8">
        <f>C33*2.54</f>
        <v>167.64000000000001</v>
      </c>
      <c r="D31" s="8">
        <f t="shared" si="1"/>
        <v>175.26</v>
      </c>
      <c r="E31" s="8">
        <f t="shared" si="1"/>
        <v>180.34</v>
      </c>
      <c r="F31" s="8">
        <f t="shared" si="1"/>
        <v>185.42000000000002</v>
      </c>
      <c r="G31" s="8">
        <f t="shared" si="1"/>
        <v>193.04</v>
      </c>
    </row>
    <row r="32" spans="1:12" x14ac:dyDescent="0.3">
      <c r="C32" s="1">
        <v>61</v>
      </c>
      <c r="D32" s="1">
        <v>65</v>
      </c>
      <c r="E32" s="1">
        <v>68</v>
      </c>
      <c r="F32" s="1">
        <v>70</v>
      </c>
      <c r="G32" s="1">
        <v>72</v>
      </c>
    </row>
    <row r="33" spans="1:8" x14ac:dyDescent="0.3">
      <c r="A33" s="1" t="s">
        <v>29</v>
      </c>
      <c r="B33" s="1" t="s">
        <v>30</v>
      </c>
      <c r="C33" s="1">
        <v>66</v>
      </c>
      <c r="D33" s="1">
        <v>69</v>
      </c>
      <c r="E33" s="1">
        <v>71</v>
      </c>
      <c r="F33" s="1">
        <v>73</v>
      </c>
      <c r="G33" s="1">
        <v>76</v>
      </c>
      <c r="H33" s="4"/>
    </row>
    <row r="34" spans="1:8" x14ac:dyDescent="0.3">
      <c r="A34" s="1" t="s">
        <v>66</v>
      </c>
      <c r="B34" s="1" t="s">
        <v>67</v>
      </c>
      <c r="C34" s="7"/>
      <c r="D34" s="7"/>
      <c r="E34" s="7"/>
      <c r="F34" s="7"/>
      <c r="G34" s="7"/>
    </row>
    <row r="35" spans="1:8" x14ac:dyDescent="0.3">
      <c r="A35" s="1" t="s">
        <v>68</v>
      </c>
      <c r="B35" s="1" t="s">
        <v>78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80</v>
      </c>
    </row>
    <row r="38" spans="1:8" x14ac:dyDescent="0.3">
      <c r="A38" s="1" t="s">
        <v>32</v>
      </c>
      <c r="B38" s="1" t="s">
        <v>71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53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  <c r="B48" s="1" t="s">
        <v>76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71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77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  <c r="B60" s="1" t="s">
        <v>71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</row>
    <row r="64" spans="1:2" x14ac:dyDescent="0.3">
      <c r="A64" s="1" t="s">
        <v>58</v>
      </c>
      <c r="B64" s="1" t="s">
        <v>71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  <c r="B68" s="1">
        <v>1299</v>
      </c>
    </row>
    <row r="69" spans="1:2" x14ac:dyDescent="0.3">
      <c r="A69" s="1" t="s">
        <v>63</v>
      </c>
      <c r="B69" s="1">
        <v>2299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2025-10-14T14:33:02Z</dcterms:modified>
</cp:coreProperties>
</file>