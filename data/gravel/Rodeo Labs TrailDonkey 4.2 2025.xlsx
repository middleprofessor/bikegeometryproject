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6531400-B287-9443-B03E-FA7A504DA73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/>
  <c r="F31" i="1"/>
  <c r="C31" i="1"/>
  <c r="E30" i="1"/>
  <c r="F30" i="1"/>
  <c r="G30" i="1"/>
  <c r="D30" i="1"/>
  <c r="G31" i="1"/>
  <c r="C30" i="1"/>
  <c r="C33" i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<sst xmlns="http://schemas.openxmlformats.org/spreadsheetml/2006/main" count="123" uniqueCount="105">
  <si>
    <t>brand</t>
  </si>
  <si>
    <t>model</t>
  </si>
  <si>
    <t>model_year</t>
  </si>
  <si>
    <t>input_date</t>
  </si>
  <si>
    <t>url</t>
  </si>
  <si>
    <t>data_range</t>
  </si>
  <si>
    <t>frame_size</t>
  </si>
  <si>
    <t>52 cm</t>
  </si>
  <si>
    <t>54 cm</t>
  </si>
  <si>
    <t>56 cm</t>
  </si>
  <si>
    <t>58 cm</t>
  </si>
  <si>
    <t>61 cm</t>
  </si>
  <si>
    <t>seat_tube_length</t>
  </si>
  <si>
    <t>Seat tube (C-T)</t>
  </si>
  <si>
    <t>top_tube_effective_length</t>
  </si>
  <si>
    <t>Top tube length (effective)</t>
  </si>
  <si>
    <t>chainstay_length</t>
  </si>
  <si>
    <t>Chain stay length</t>
  </si>
  <si>
    <t>seat_tube_angle</t>
  </si>
  <si>
    <t>Seat tube angle</t>
  </si>
  <si>
    <t>bottom_bracket_drop</t>
  </si>
  <si>
    <t>Bottom bracket drop</t>
  </si>
  <si>
    <t>head_tube_length</t>
  </si>
  <si>
    <t>Head tube length</t>
  </si>
  <si>
    <t>head_tube_angle</t>
  </si>
  <si>
    <t>Head tube angle</t>
  </si>
  <si>
    <t>reach</t>
  </si>
  <si>
    <t>Reach</t>
  </si>
  <si>
    <t>stack</t>
  </si>
  <si>
    <t>Stack</t>
  </si>
  <si>
    <t>axle_crown</t>
  </si>
  <si>
    <t>Fork length</t>
  </si>
  <si>
    <t>fork_offset_rake</t>
  </si>
  <si>
    <t>Fork rake</t>
  </si>
  <si>
    <t>front_center</t>
  </si>
  <si>
    <t>Front center</t>
  </si>
  <si>
    <t>wheelbase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</si>
  <si>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</si>
  <si>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</si>
  <si>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</si>
  <si>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</si>
  <si>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</si>
  <si>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</si>
  <si>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</si>
  <si>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</si>
  <si>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</si>
  <si>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</si>
  <si>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</si>
  <si>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</si>
  <si>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</si>
  <si>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</si>
  <si>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</si>
  <si>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</si>
  <si>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</si>
  <si>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</si>
  <si>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</si>
  <si>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</si>
  <si>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</si>
  <si>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</si>
  <si>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</si>
  <si>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</si>
  <si>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</si>
  <si>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</si>
  <si>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</si>
  <si>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</si>
  <si>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</si>
  <si>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</si>
  <si>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</si>
  <si>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</si>
  <si>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</si>
  <si>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</si>
  <si>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</si>
  <si>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</si>
  <si>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</si>
  <si>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</si>
  <si>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</si>
  <si>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</si>
  <si>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</si>
  <si>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</si>
  <si>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</si>
  <si>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</si>
  <si>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</si>
  <si>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</si>
  <si>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</si>
  <si>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</si>
  <si>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</si>
  <si>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</si>
  <si>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</si>
  <si>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</si>
  <si>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</si>
  <si>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</si>
  <si>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</si>
  <si>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</si>
  <si>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https://www.rodeo-labs.com/td4-2-udh/</t>
  </si>
  <si>
    <t>all</t>
  </si>
  <si>
    <t>Frame size</t>
  </si>
  <si>
    <t>Standover height at center of top tube, 700 x 40mm</t>
  </si>
  <si>
    <t>rider_min_spec</t>
  </si>
  <si>
    <t>rider_max_spec</t>
  </si>
  <si>
    <t>TrailDonkey 4.2</t>
  </si>
  <si>
    <t>threaded</t>
  </si>
  <si>
    <t>50/34</t>
  </si>
  <si>
    <t>usd</t>
  </si>
  <si>
    <t>a8:g33</t>
  </si>
  <si>
    <t>Rodeo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</si>
</sst>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workbookViewId="0">
      <selection activeCell="B1" sqref="B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104</v>
      </c>
    </row>
    <row r="2" spans="1:7" x14ac:dyDescent="0.3">
      <c r="A2" t="s">
        <v>1</v>
      </c>
      <c r="B2" s="1" t="s">
        <v>99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45904</v>
      </c>
    </row>
    <row r="5" spans="1:7" x14ac:dyDescent="0.3">
      <c r="A5" t="s">
        <v>4</v>
      </c>
      <c r="B5" t="s">
        <v>93</v>
      </c>
    </row>
    <row r="7" spans="1:7" x14ac:dyDescent="0.3">
      <c r="A7" t="s">
        <v>5</v>
      </c>
      <c r="B7" s="1" t="s">
        <v>103</v>
      </c>
    </row>
    <row r="8" spans="1:7" ht="22" x14ac:dyDescent="0.3">
      <c r="A8" t="s">
        <v>6</v>
      </c>
      <c r="B8" s="3" t="s">
        <v>95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ht="22" x14ac:dyDescent="0.3">
      <c r="A9" t="s">
        <v>12</v>
      </c>
      <c r="B9" s="3" t="s">
        <v>13</v>
      </c>
      <c r="C9" s="4">
        <v>450</v>
      </c>
      <c r="D9" s="4">
        <v>470</v>
      </c>
      <c r="E9" s="4">
        <v>490</v>
      </c>
      <c r="F9" s="4">
        <v>520</v>
      </c>
      <c r="G9" s="4">
        <v>540</v>
      </c>
    </row>
    <row r="10" spans="1:7" ht="22" x14ac:dyDescent="0.3">
      <c r="A10" t="s">
        <v>14</v>
      </c>
      <c r="B10" s="3" t="s">
        <v>15</v>
      </c>
      <c r="C10" s="4">
        <v>520</v>
      </c>
      <c r="D10" s="4">
        <v>540</v>
      </c>
      <c r="E10" s="4">
        <v>563</v>
      </c>
      <c r="F10" s="4">
        <v>581</v>
      </c>
      <c r="G10" s="4">
        <v>605</v>
      </c>
    </row>
    <row r="11" spans="1:7" ht="22" x14ac:dyDescent="0.3">
      <c r="A11" t="s">
        <v>16</v>
      </c>
      <c r="B11" s="3" t="s">
        <v>17</v>
      </c>
      <c r="C11" s="4">
        <v>435</v>
      </c>
      <c r="D11" s="4">
        <v>435</v>
      </c>
      <c r="E11" s="4">
        <v>435</v>
      </c>
      <c r="F11" s="4">
        <v>435</v>
      </c>
      <c r="G11" s="4">
        <v>435</v>
      </c>
    </row>
    <row r="12" spans="1:7" ht="22" x14ac:dyDescent="0.3">
      <c r="A12" t="s">
        <v>18</v>
      </c>
      <c r="B12" s="3" t="s">
        <v>19</v>
      </c>
      <c r="C12" s="4">
        <v>74</v>
      </c>
      <c r="D12" s="4">
        <v>74</v>
      </c>
      <c r="E12" s="4">
        <v>73</v>
      </c>
      <c r="F12" s="4">
        <v>73</v>
      </c>
      <c r="G12" s="4">
        <v>73</v>
      </c>
    </row>
    <row r="13" spans="1:7" ht="22" x14ac:dyDescent="0.3">
      <c r="A13" t="s">
        <v>20</v>
      </c>
      <c r="B13" s="3" t="s">
        <v>21</v>
      </c>
      <c r="C13" s="4">
        <v>65</v>
      </c>
      <c r="D13" s="4">
        <v>65</v>
      </c>
      <c r="E13" s="4">
        <v>65</v>
      </c>
      <c r="F13" s="4">
        <v>65</v>
      </c>
      <c r="G13" s="4">
        <v>65</v>
      </c>
    </row>
    <row r="14" spans="1:7" ht="22" x14ac:dyDescent="0.3">
      <c r="A14" t="s">
        <v>22</v>
      </c>
      <c r="B14" s="3" t="s">
        <v>23</v>
      </c>
      <c r="C14" s="4">
        <v>125</v>
      </c>
      <c r="D14" s="4">
        <v>145</v>
      </c>
      <c r="E14" s="4">
        <v>160</v>
      </c>
      <c r="F14" s="4">
        <v>175</v>
      </c>
      <c r="G14" s="4">
        <v>207</v>
      </c>
    </row>
    <row r="15" spans="1:7" ht="22" x14ac:dyDescent="0.3">
      <c r="A15" t="s">
        <v>24</v>
      </c>
      <c r="B15" s="3" t="s">
        <v>25</v>
      </c>
      <c r="C15" s="4">
        <v>70</v>
      </c>
      <c r="D15" s="4">
        <v>71</v>
      </c>
      <c r="E15" s="4">
        <v>72</v>
      </c>
      <c r="F15" s="4">
        <v>72</v>
      </c>
      <c r="G15" s="4">
        <v>72</v>
      </c>
    </row>
    <row r="16" spans="1:7" ht="22" x14ac:dyDescent="0.3">
      <c r="A16" t="s">
        <v>26</v>
      </c>
      <c r="B16" s="3" t="s">
        <v>27</v>
      </c>
      <c r="C16" s="4">
        <v>366</v>
      </c>
      <c r="D16" s="4">
        <v>374</v>
      </c>
      <c r="E16" s="4">
        <v>386</v>
      </c>
      <c r="F16" s="4">
        <v>393</v>
      </c>
      <c r="G16" s="4">
        <v>408</v>
      </c>
    </row>
    <row r="17" spans="1:7" ht="22" x14ac:dyDescent="0.3">
      <c r="A17" t="s">
        <v>28</v>
      </c>
      <c r="B17" s="3" t="s">
        <v>29</v>
      </c>
      <c r="C17" s="4">
        <v>538</v>
      </c>
      <c r="D17" s="4">
        <v>559</v>
      </c>
      <c r="E17" s="4">
        <v>578</v>
      </c>
      <c r="F17" s="4">
        <v>595</v>
      </c>
      <c r="G17" s="4">
        <v>625</v>
      </c>
    </row>
    <row r="18" spans="1:7" ht="22" x14ac:dyDescent="0.3">
      <c r="A18" t="s">
        <v>30</v>
      </c>
      <c r="B18" s="3" t="s">
        <v>31</v>
      </c>
      <c r="C18" s="4">
        <v>395</v>
      </c>
      <c r="D18" s="4">
        <v>395</v>
      </c>
      <c r="E18" s="4">
        <v>395</v>
      </c>
      <c r="F18" s="4">
        <v>395</v>
      </c>
      <c r="G18" s="4">
        <v>395</v>
      </c>
    </row>
    <row r="19" spans="1:7" ht="22" x14ac:dyDescent="0.3">
      <c r="A19" t="s">
        <v>32</v>
      </c>
      <c r="B19" s="3" t="s">
        <v>33</v>
      </c>
      <c r="C19" s="4">
        <v>50</v>
      </c>
      <c r="D19" s="4">
        <v>50</v>
      </c>
      <c r="E19" s="4">
        <v>45</v>
      </c>
      <c r="F19" s="4">
        <v>45</v>
      </c>
      <c r="G19" s="4">
        <v>45</v>
      </c>
    </row>
    <row r="20" spans="1:7" ht="22" x14ac:dyDescent="0.3">
      <c r="A20" t="s">
        <v>34</v>
      </c>
      <c r="B20" s="3" t="s">
        <v>35</v>
      </c>
      <c r="C20" s="4">
        <v>595</v>
      </c>
      <c r="D20" s="4">
        <v>606</v>
      </c>
      <c r="E20" s="4">
        <v>609</v>
      </c>
      <c r="F20" s="4">
        <v>616</v>
      </c>
      <c r="G20" s="4">
        <v>641</v>
      </c>
    </row>
    <row r="21" spans="1:7" ht="22" x14ac:dyDescent="0.3">
      <c r="A21" t="s">
        <v>36</v>
      </c>
      <c r="B21" s="3" t="s">
        <v>37</v>
      </c>
      <c r="C21" s="4">
        <v>1022</v>
      </c>
      <c r="D21" s="4">
        <v>1032</v>
      </c>
      <c r="E21" s="4">
        <v>1036</v>
      </c>
      <c r="F21" s="4">
        <v>1043</v>
      </c>
      <c r="G21" s="4">
        <v>1067</v>
      </c>
    </row>
    <row r="22" spans="1:7" ht="22" x14ac:dyDescent="0.3">
      <c r="A22" t="s">
        <v>38</v>
      </c>
      <c r="B22" s="3" t="s">
        <v>96</v>
      </c>
      <c r="C22" s="4">
        <v>773</v>
      </c>
      <c r="D22" s="4">
        <v>793</v>
      </c>
      <c r="E22" s="4">
        <v>812</v>
      </c>
      <c r="F22" s="4">
        <v>833</v>
      </c>
      <c r="G22" s="4">
        <v>858</v>
      </c>
    </row>
    <row r="23" spans="1:7" x14ac:dyDescent="0.3">
      <c r="A23" t="s">
        <v>39</v>
      </c>
      <c r="B23" t="s">
        <v>39</v>
      </c>
    </row>
    <row r="24" spans="1:7" x14ac:dyDescent="0.3">
      <c r="A24" t="s">
        <v>40</v>
      </c>
      <c r="B24" t="s">
        <v>40</v>
      </c>
    </row>
    <row r="25" spans="1:7" x14ac:dyDescent="0.3">
      <c r="A25" t="s">
        <v>41</v>
      </c>
      <c r="B25" t="s">
        <v>41</v>
      </c>
    </row>
    <row r="26" spans="1:7" x14ac:dyDescent="0.3">
      <c r="A26" t="s">
        <v>42</v>
      </c>
      <c r="F26">
        <v>1190</v>
      </c>
    </row>
    <row r="27" spans="1:7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44</v>
      </c>
      <c r="B28" t="s">
        <v>44</v>
      </c>
      <c r="C28">
        <v>38</v>
      </c>
    </row>
    <row r="29" spans="1:7" x14ac:dyDescent="0.3">
      <c r="A29" t="s">
        <v>45</v>
      </c>
      <c r="B29" t="s">
        <v>45</v>
      </c>
      <c r="C29">
        <v>55</v>
      </c>
    </row>
    <row r="30" spans="1:7" x14ac:dyDescent="0.3">
      <c r="A30" t="s">
        <v>46</v>
      </c>
      <c r="B30" t="s">
        <v>46</v>
      </c>
      <c r="C30">
        <f>C32</f>
        <v>162.56</v>
      </c>
      <c r="D30">
        <f>AVERAGE(D32,C33)</f>
        <v>167.64000000000001</v>
      </c>
      <c r="E30">
        <f t="shared" ref="E30:G30" si="0">AVERAGE(E32,D33)</f>
        <v>175.26</v>
      </c>
      <c r="F30">
        <f t="shared" si="0"/>
        <v>182.88</v>
      </c>
      <c r="G30">
        <f t="shared" si="0"/>
        <v>186.69</v>
      </c>
    </row>
    <row r="31" spans="1:7" x14ac:dyDescent="0.3">
      <c r="A31" t="s">
        <v>47</v>
      </c>
      <c r="B31" t="s">
        <v>47</v>
      </c>
      <c r="C31">
        <f>D30</f>
        <v>167.64000000000001</v>
      </c>
      <c r="D31">
        <f t="shared" ref="D31:F31" si="1">E30</f>
        <v>175.26</v>
      </c>
      <c r="E31">
        <f t="shared" si="1"/>
        <v>182.88</v>
      </c>
      <c r="F31">
        <f t="shared" si="1"/>
        <v>186.69</v>
      </c>
      <c r="G31">
        <f t="shared" ref="G31" si="2">G33</f>
        <v>193.04</v>
      </c>
    </row>
    <row r="32" spans="1:7" x14ac:dyDescent="0.3">
      <c r="A32" s="1" t="s">
        <v>97</v>
      </c>
      <c r="C32">
        <f>C34*2.54</f>
        <v>162.56</v>
      </c>
      <c r="D32">
        <f t="shared" ref="D32:G33" si="3">D34*2.54</f>
        <v>167.64000000000001</v>
      </c>
      <c r="E32">
        <f t="shared" si="3"/>
        <v>175.26</v>
      </c>
      <c r="F32">
        <f t="shared" si="3"/>
        <v>182.88</v>
      </c>
      <c r="G32">
        <f t="shared" si="3"/>
        <v>185.42000000000002</v>
      </c>
    </row>
    <row r="33" spans="1:7" x14ac:dyDescent="0.3">
      <c r="A33" s="1" t="s">
        <v>98</v>
      </c>
      <c r="C33">
        <f>C35*2.54</f>
        <v>167.64000000000001</v>
      </c>
      <c r="D33">
        <f t="shared" si="3"/>
        <v>175.26</v>
      </c>
      <c r="E33">
        <f t="shared" si="3"/>
        <v>182.88</v>
      </c>
      <c r="F33">
        <f t="shared" si="3"/>
        <v>187.96</v>
      </c>
      <c r="G33">
        <f t="shared" si="3"/>
        <v>193.04</v>
      </c>
    </row>
    <row r="34" spans="1:7" x14ac:dyDescent="0.3">
      <c r="C34">
        <v>64</v>
      </c>
      <c r="D34">
        <v>66</v>
      </c>
      <c r="E34">
        <v>69</v>
      </c>
      <c r="F34">
        <v>72</v>
      </c>
      <c r="G34">
        <v>73</v>
      </c>
    </row>
    <row r="35" spans="1:7" x14ac:dyDescent="0.3">
      <c r="A35" t="s">
        <v>48</v>
      </c>
      <c r="B35" t="s">
        <v>49</v>
      </c>
      <c r="C35">
        <v>66</v>
      </c>
      <c r="D35">
        <v>69</v>
      </c>
      <c r="E35">
        <v>72</v>
      </c>
      <c r="F35">
        <v>74</v>
      </c>
      <c r="G35">
        <v>76</v>
      </c>
    </row>
    <row r="36" spans="1:7" x14ac:dyDescent="0.3">
      <c r="A36" t="s">
        <v>86</v>
      </c>
      <c r="B36" t="s">
        <v>87</v>
      </c>
    </row>
    <row r="37" spans="1:7" x14ac:dyDescent="0.3">
      <c r="A37" t="s">
        <v>88</v>
      </c>
      <c r="B37" t="s">
        <v>89</v>
      </c>
    </row>
    <row r="38" spans="1:7" x14ac:dyDescent="0.3">
      <c r="A38" t="s">
        <v>90</v>
      </c>
      <c r="B38" t="s">
        <v>91</v>
      </c>
    </row>
    <row r="39" spans="1:7" x14ac:dyDescent="0.3">
      <c r="A39" t="s">
        <v>50</v>
      </c>
      <c r="B39" t="s">
        <v>51</v>
      </c>
    </row>
    <row r="40" spans="1:7" x14ac:dyDescent="0.3">
      <c r="A40" t="s">
        <v>52</v>
      </c>
      <c r="B40" s="1" t="s">
        <v>92</v>
      </c>
    </row>
    <row r="41" spans="1:7" x14ac:dyDescent="0.3">
      <c r="A41" t="s">
        <v>53</v>
      </c>
      <c r="B41">
        <v>30</v>
      </c>
    </row>
    <row r="42" spans="1:7" x14ac:dyDescent="0.3">
      <c r="A42" t="s">
        <v>54</v>
      </c>
      <c r="B42">
        <v>55</v>
      </c>
    </row>
    <row r="43" spans="1:7" x14ac:dyDescent="0.3">
      <c r="A43" t="s">
        <v>55</v>
      </c>
      <c r="B43">
        <v>2.35</v>
      </c>
    </row>
    <row r="44" spans="1:7" x14ac:dyDescent="0.3">
      <c r="A44" t="s">
        <v>56</v>
      </c>
    </row>
    <row r="45" spans="1:7" x14ac:dyDescent="0.3">
      <c r="A45" t="s">
        <v>57</v>
      </c>
    </row>
    <row r="46" spans="1:7" x14ac:dyDescent="0.3">
      <c r="A46" t="s">
        <v>58</v>
      </c>
    </row>
    <row r="47" spans="1:7" x14ac:dyDescent="0.3">
      <c r="A47" t="s">
        <v>59</v>
      </c>
    </row>
    <row r="48" spans="1:7" x14ac:dyDescent="0.3">
      <c r="A48" t="s">
        <v>60</v>
      </c>
      <c r="B48">
        <v>142</v>
      </c>
    </row>
    <row r="49" spans="1:2" x14ac:dyDescent="0.3">
      <c r="A49" t="s">
        <v>61</v>
      </c>
      <c r="B49">
        <v>100</v>
      </c>
    </row>
    <row r="50" spans="1:2" x14ac:dyDescent="0.3">
      <c r="A50" t="s">
        <v>62</v>
      </c>
      <c r="B50" s="1" t="s">
        <v>100</v>
      </c>
    </row>
    <row r="51" spans="1:2" x14ac:dyDescent="0.3">
      <c r="A51" t="s">
        <v>63</v>
      </c>
    </row>
    <row r="52" spans="1:2" x14ac:dyDescent="0.3">
      <c r="A52" t="s">
        <v>64</v>
      </c>
      <c r="B52">
        <v>31.6</v>
      </c>
    </row>
    <row r="53" spans="1:2" x14ac:dyDescent="0.3">
      <c r="A53" t="s">
        <v>65</v>
      </c>
      <c r="B53" s="1" t="s">
        <v>92</v>
      </c>
    </row>
    <row r="54" spans="1:2" x14ac:dyDescent="0.3">
      <c r="A54" t="s">
        <v>66</v>
      </c>
      <c r="B54">
        <v>48</v>
      </c>
    </row>
    <row r="55" spans="1:2" x14ac:dyDescent="0.3">
      <c r="A55" t="s">
        <v>67</v>
      </c>
      <c r="B55" s="1" t="s">
        <v>101</v>
      </c>
    </row>
    <row r="56" spans="1:2" x14ac:dyDescent="0.3">
      <c r="A56" t="s">
        <v>68</v>
      </c>
      <c r="B56">
        <v>160</v>
      </c>
    </row>
    <row r="57" spans="1:2" x14ac:dyDescent="0.3">
      <c r="A57" t="s">
        <v>69</v>
      </c>
      <c r="B57">
        <v>160</v>
      </c>
    </row>
    <row r="58" spans="1:2" x14ac:dyDescent="0.3">
      <c r="A58" t="s">
        <v>70</v>
      </c>
    </row>
    <row r="59" spans="1:2" x14ac:dyDescent="0.3">
      <c r="A59" t="s">
        <v>71</v>
      </c>
      <c r="B59" s="1" t="s">
        <v>94</v>
      </c>
    </row>
    <row r="60" spans="1:2" x14ac:dyDescent="0.3">
      <c r="A60" t="s">
        <v>72</v>
      </c>
      <c r="B60" s="1" t="s">
        <v>92</v>
      </c>
    </row>
    <row r="61" spans="1:2" x14ac:dyDescent="0.3">
      <c r="A61" t="s">
        <v>73</v>
      </c>
      <c r="B61" s="1" t="s">
        <v>92</v>
      </c>
    </row>
    <row r="62" spans="1:2" x14ac:dyDescent="0.3">
      <c r="A62" t="s">
        <v>74</v>
      </c>
      <c r="B62" s="1" t="s">
        <v>92</v>
      </c>
    </row>
    <row r="63" spans="1:2" x14ac:dyDescent="0.3">
      <c r="A63" t="s">
        <v>75</v>
      </c>
      <c r="B63">
        <v>2</v>
      </c>
    </row>
    <row r="64" spans="1:2" x14ac:dyDescent="0.3">
      <c r="A64" t="s">
        <v>76</v>
      </c>
      <c r="B64">
        <v>1</v>
      </c>
    </row>
    <row r="65" spans="1:2" x14ac:dyDescent="0.3">
      <c r="A65" t="s">
        <v>77</v>
      </c>
      <c r="B65" s="1" t="s">
        <v>92</v>
      </c>
    </row>
    <row r="66" spans="1:2" x14ac:dyDescent="0.3">
      <c r="A66" t="s">
        <v>78</v>
      </c>
      <c r="B66" s="1" t="s">
        <v>92</v>
      </c>
    </row>
    <row r="67" spans="1:2" x14ac:dyDescent="0.3">
      <c r="A67" t="s">
        <v>79</v>
      </c>
      <c r="B67" s="1" t="s">
        <v>92</v>
      </c>
    </row>
    <row r="68" spans="1:2" x14ac:dyDescent="0.3">
      <c r="A68" t="s">
        <v>80</v>
      </c>
      <c r="B68" s="1" t="s">
        <v>92</v>
      </c>
    </row>
    <row r="69" spans="1:2" x14ac:dyDescent="0.3">
      <c r="A69" t="s">
        <v>81</v>
      </c>
      <c r="B69" s="1" t="s">
        <v>92</v>
      </c>
    </row>
    <row r="70" spans="1:2" x14ac:dyDescent="0.3">
      <c r="A70" t="s">
        <v>82</v>
      </c>
      <c r="B70">
        <v>3035</v>
      </c>
    </row>
    <row r="71" spans="1:2" x14ac:dyDescent="0.3">
      <c r="A71" t="s">
        <v>83</v>
      </c>
    </row>
    <row r="72" spans="1:2" x14ac:dyDescent="0.3">
      <c r="A72" t="s">
        <v>84</v>
      </c>
      <c r="B72" s="1" t="s">
        <v>92</v>
      </c>
    </row>
    <row r="73" spans="1:2" x14ac:dyDescent="0.3">
      <c r="A73" t="s">
        <v>85</v>
      </c>
      <c r="B73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2025-07-26T17:59:06Z</dcterms:created>
  <dcterms:modified xsi:type="dcterms:W3CDTF">2025-09-11T00:28:38Z</dcterms:modified>
</cp:coreProperties>
</file>