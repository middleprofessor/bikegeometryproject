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3627B88-CA74-6445-9757-E1F45F1B8E8B}" xr6:coauthVersionLast="47" xr6:coauthVersionMax="47" xr10:uidLastSave="{00000000-0000-0000-0000-000000000000}"/>
  <bookViews>
    <workbookView xWindow="7220" yWindow="1300" windowWidth="2664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C26" i="1"/>
  <c r="D25" i="1"/>
  <c r="E25" i="1"/>
  <c r="F25" i="1"/>
  <c r="C25" i="1"/>
</calcChain>
</file>

<file path=xl/sharedStrings.xml><?xml version="1.0" encoding="utf-8"?>
<sst xmlns="http://schemas.openxmlformats.org/spreadsheetml/2006/main" count="124" uniqueCount="118">
  <si>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</si>
  <si>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</si>
  <si>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</si>
  <si>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</si>
  <si>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</si>
  <si>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</si>
  <si>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</si>
  <si>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</si>
  <si>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</si>
  <si>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</si>
  <si>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</si>
  <si>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standover</t>
  </si>
  <si>
    <t>head_tube_length</t>
  </si>
  <si>
    <t>wheelbase</t>
  </si>
  <si>
    <t>chainstay_length</t>
  </si>
  <si>
    <t>bottom_bracket_drop</t>
  </si>
  <si>
    <t>bottom_bracket_height</t>
  </si>
  <si>
    <t>fork_offset_rake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</si>
  <si>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</si>
  <si>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</si>
  <si>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</si>
  <si>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</si>
  <si>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</si>
  <si>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</si>
  <si>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</si>
  <si>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</si>
  <si>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</si>
  <si>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</si>
  <si>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</si>
  <si>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</si>
  <si>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</si>
  <si>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</si>
  <si>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</si>
  <si>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</si>
  <si>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</si>
  <si>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</si>
  <si>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</si>
  <si>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</si>
  <si>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</si>
  <si>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</si>
  <si>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</si>
  <si>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</si>
  <si>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</si>
  <si>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</si>
  <si>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</si>
  <si>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</si>
  <si>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</si>
  <si>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</si>
  <si>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</si>
  <si>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</si>
  <si>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</si>
  <si>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</si>
  <si>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</si>
  <si>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</si>
  <si>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</si>
  <si>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</si>
  <si>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</si>
  <si>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</si>
  <si>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</si>
  <si>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</si>
  <si>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</si>
  <si>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</si>
  <si>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</si>
  <si>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</si>
  <si>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</si>
  <si>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</si>
  <si>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</si>
  <si>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</si>
  <si>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</si>
  <si>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axle_crown</t>
  </si>
  <si>
    <t>yes</t>
  </si>
  <si>
    <t>USD</t>
  </si>
  <si>
    <t>SM</t>
  </si>
  <si>
    <t>MD</t>
  </si>
  <si>
    <t>LG</t>
  </si>
  <si>
    <t>XL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</si>
  <si>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</si>
  <si>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</si>
  <si>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</si>
  <si>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</si>
  <si>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</si>
  <si>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</si>
  <si>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</si>
  <si>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frame size</t>
  </si>
  <si>
    <t>fork_travel</t>
  </si>
  <si>
    <t>fork_sag</t>
  </si>
  <si>
    <t>hardtail</t>
  </si>
  <si>
    <t>flat bar</t>
  </si>
  <si>
    <t>suspension</t>
  </si>
  <si>
    <t>carbon</t>
  </si>
  <si>
    <t>Yeti</t>
  </si>
  <si>
    <t>ARC</t>
  </si>
  <si>
    <t>https://yeticycles.com/en-us/bikes/arc</t>
  </si>
  <si>
    <t>https://cdn11.bigcommerce.com/s-5zdahzyh66/images/stencil/2880w/attribute_rule_images/604790_source_1758749697.png</t>
  </si>
  <si>
    <t>WHEEL SIZE</t>
  </si>
  <si>
    <t>REACH</t>
  </si>
  <si>
    <t>EFFECTIVE TOP TUBE LENGTH</t>
  </si>
  <si>
    <t>STACK</t>
  </si>
  <si>
    <t>HEADTUBE LENGTH</t>
  </si>
  <si>
    <t>SEAT TUBE LENGTH</t>
  </si>
  <si>
    <t>EFF. SEAT TUBE ANGLE</t>
  </si>
  <si>
    <t>HEADTUBE ANGLE</t>
  </si>
  <si>
    <t>ESTIMATED BB HEIGHT</t>
  </si>
  <si>
    <t>CHAINSTAY LENGTH</t>
  </si>
  <si>
    <t>FRONT CENTER</t>
  </si>
  <si>
    <t>WHEELBASE</t>
  </si>
  <si>
    <t>STANDOVER</t>
  </si>
  <si>
    <t>AXLE TO CROWN</t>
  </si>
  <si>
    <t>OFFSET</t>
  </si>
  <si>
    <t>VERTICAL FORK TRAVEL</t>
  </si>
  <si>
    <t>wheel_size_spec</t>
  </si>
  <si>
    <t>vertical_fork_travel</t>
  </si>
  <si>
    <t>press fit</t>
  </si>
  <si>
    <t>internal</t>
  </si>
  <si>
    <t>Golden, Colorado, USA</t>
  </si>
  <si>
    <t>chainstay_length_h</t>
  </si>
  <si>
    <t>front_center_h</t>
  </si>
  <si>
    <t>a8:f37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</si>
</sst>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3" t="s">
        <v>90</v>
      </c>
    </row>
    <row r="2" spans="1:16" x14ac:dyDescent="0.3">
      <c r="A2" t="s">
        <v>1</v>
      </c>
      <c r="B2" s="3" t="s">
        <v>91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1">
        <v>46002</v>
      </c>
    </row>
    <row r="5" spans="1:16" x14ac:dyDescent="0.3">
      <c r="A5" t="s">
        <v>4</v>
      </c>
      <c r="B5" t="s">
        <v>92</v>
      </c>
    </row>
    <row r="6" spans="1:16" x14ac:dyDescent="0.3">
      <c r="B6" t="s">
        <v>93</v>
      </c>
    </row>
    <row r="7" spans="1:16" x14ac:dyDescent="0.3">
      <c r="A7" t="s">
        <v>5</v>
      </c>
      <c r="B7" s="3" t="s">
        <v>117</v>
      </c>
    </row>
    <row r="8" spans="1:16" x14ac:dyDescent="0.3">
      <c r="A8" t="s">
        <v>6</v>
      </c>
      <c r="B8" s="3" t="s">
        <v>83</v>
      </c>
      <c r="C8" s="3" t="s">
        <v>72</v>
      </c>
      <c r="D8" s="3" t="s">
        <v>73</v>
      </c>
      <c r="E8" s="3" t="s">
        <v>74</v>
      </c>
      <c r="F8" s="3" t="s">
        <v>75</v>
      </c>
      <c r="G8" s="3"/>
      <c r="J8" s="2"/>
      <c r="K8" s="2"/>
      <c r="L8" s="2"/>
      <c r="M8" s="2"/>
      <c r="N8" s="2"/>
      <c r="O8" s="2"/>
      <c r="P8" s="2"/>
    </row>
    <row r="9" spans="1:16" x14ac:dyDescent="0.3">
      <c r="A9" s="3" t="s">
        <v>110</v>
      </c>
      <c r="B9" s="3" t="s">
        <v>94</v>
      </c>
      <c r="C9">
        <v>740</v>
      </c>
      <c r="D9">
        <v>740</v>
      </c>
      <c r="E9">
        <v>740</v>
      </c>
      <c r="F9">
        <v>740</v>
      </c>
      <c r="G9" s="3"/>
      <c r="L9" s="2"/>
      <c r="M9" s="2"/>
      <c r="N9" s="2"/>
      <c r="O9" s="2"/>
      <c r="P9" s="2"/>
    </row>
    <row r="10" spans="1:16" x14ac:dyDescent="0.3">
      <c r="A10" t="s">
        <v>19</v>
      </c>
      <c r="B10" s="3" t="s">
        <v>95</v>
      </c>
      <c r="C10">
        <v>420</v>
      </c>
      <c r="D10">
        <v>445</v>
      </c>
      <c r="E10">
        <v>465</v>
      </c>
      <c r="F10">
        <v>490</v>
      </c>
      <c r="L10" s="2"/>
      <c r="M10" s="2"/>
      <c r="N10" s="2"/>
      <c r="O10" s="2"/>
      <c r="P10" s="2"/>
    </row>
    <row r="11" spans="1:16" x14ac:dyDescent="0.3">
      <c r="A11" t="s">
        <v>8</v>
      </c>
      <c r="B11" s="3" t="s">
        <v>96</v>
      </c>
      <c r="C11">
        <v>577.4</v>
      </c>
      <c r="D11">
        <v>604.29999999999995</v>
      </c>
      <c r="E11">
        <v>626</v>
      </c>
      <c r="F11">
        <v>653.4</v>
      </c>
      <c r="L11" s="2"/>
      <c r="M11" s="2"/>
      <c r="N11" s="2"/>
      <c r="O11" s="2"/>
      <c r="P11" s="2"/>
    </row>
    <row r="12" spans="1:16" x14ac:dyDescent="0.3">
      <c r="A12" t="s">
        <v>18</v>
      </c>
      <c r="B12" s="3" t="s">
        <v>97</v>
      </c>
      <c r="C12">
        <v>631.70000000000005</v>
      </c>
      <c r="D12">
        <v>638.9</v>
      </c>
      <c r="E12">
        <v>645.1</v>
      </c>
      <c r="F12">
        <v>654.29999999999995</v>
      </c>
      <c r="L12" s="2"/>
      <c r="M12" s="2"/>
      <c r="N12" s="2"/>
      <c r="O12" s="2"/>
      <c r="P12" s="2"/>
    </row>
    <row r="13" spans="1:16" x14ac:dyDescent="0.3">
      <c r="A13" t="s">
        <v>12</v>
      </c>
      <c r="B13" s="3" t="s">
        <v>98</v>
      </c>
      <c r="C13">
        <v>95</v>
      </c>
      <c r="D13">
        <v>102.9</v>
      </c>
      <c r="E13">
        <v>109.6</v>
      </c>
      <c r="F13">
        <v>119.6</v>
      </c>
      <c r="L13" s="2"/>
      <c r="M13" s="2"/>
      <c r="N13" s="2"/>
      <c r="O13" s="2"/>
      <c r="P13" s="2"/>
    </row>
    <row r="14" spans="1:16" x14ac:dyDescent="0.3">
      <c r="A14" t="s">
        <v>7</v>
      </c>
      <c r="B14" s="3" t="s">
        <v>99</v>
      </c>
      <c r="C14">
        <v>380</v>
      </c>
      <c r="D14">
        <v>410</v>
      </c>
      <c r="E14">
        <v>450</v>
      </c>
      <c r="F14">
        <v>495</v>
      </c>
      <c r="L14" s="2"/>
      <c r="M14" s="2"/>
      <c r="N14" s="2"/>
      <c r="O14" s="2"/>
      <c r="P14" s="2"/>
    </row>
    <row r="15" spans="1:16" x14ac:dyDescent="0.3">
      <c r="A15" t="s">
        <v>10</v>
      </c>
      <c r="B15" s="3" t="s">
        <v>100</v>
      </c>
      <c r="C15">
        <v>76</v>
      </c>
      <c r="D15">
        <v>76</v>
      </c>
      <c r="E15">
        <v>76</v>
      </c>
      <c r="F15">
        <v>76</v>
      </c>
      <c r="L15" s="2"/>
      <c r="M15" s="2"/>
      <c r="N15" s="2"/>
      <c r="O15" s="2"/>
      <c r="P15" s="2"/>
    </row>
    <row r="16" spans="1:16" x14ac:dyDescent="0.3">
      <c r="A16" t="s">
        <v>9</v>
      </c>
      <c r="B16" s="3" t="s">
        <v>101</v>
      </c>
      <c r="C16">
        <v>67</v>
      </c>
      <c r="D16">
        <v>67</v>
      </c>
      <c r="E16">
        <v>67</v>
      </c>
      <c r="F16">
        <v>67</v>
      </c>
      <c r="L16" s="2"/>
      <c r="M16" s="2"/>
      <c r="N16" s="2"/>
      <c r="O16" s="2"/>
      <c r="P16" s="2"/>
    </row>
    <row r="17" spans="1:16" x14ac:dyDescent="0.3">
      <c r="A17" t="s">
        <v>16</v>
      </c>
      <c r="B17" s="3" t="s">
        <v>102</v>
      </c>
      <c r="C17">
        <v>310</v>
      </c>
      <c r="D17">
        <v>310</v>
      </c>
      <c r="E17">
        <v>310</v>
      </c>
      <c r="F17">
        <v>310</v>
      </c>
      <c r="L17" s="2"/>
      <c r="M17" s="2"/>
      <c r="N17" s="2"/>
      <c r="O17" s="2"/>
      <c r="P17" s="2"/>
    </row>
    <row r="18" spans="1:16" x14ac:dyDescent="0.3">
      <c r="A18" s="3" t="s">
        <v>115</v>
      </c>
      <c r="B18" s="3" t="s">
        <v>103</v>
      </c>
      <c r="C18">
        <v>433</v>
      </c>
      <c r="D18">
        <v>433</v>
      </c>
      <c r="E18">
        <v>433</v>
      </c>
      <c r="F18">
        <v>433</v>
      </c>
      <c r="L18" s="2"/>
      <c r="M18" s="2"/>
      <c r="N18" s="2"/>
      <c r="O18" s="2"/>
      <c r="P18" s="2"/>
    </row>
    <row r="19" spans="1:16" x14ac:dyDescent="0.3">
      <c r="A19" s="3" t="s">
        <v>116</v>
      </c>
      <c r="B19" s="3" t="s">
        <v>104</v>
      </c>
      <c r="C19">
        <v>710.5</v>
      </c>
      <c r="D19">
        <v>738.5</v>
      </c>
      <c r="E19">
        <v>761.2</v>
      </c>
      <c r="F19">
        <v>790.1</v>
      </c>
      <c r="L19" s="2"/>
      <c r="M19" s="2"/>
      <c r="N19" s="2"/>
      <c r="O19" s="2"/>
      <c r="P19" s="2"/>
    </row>
    <row r="20" spans="1:16" x14ac:dyDescent="0.3">
      <c r="A20" t="s">
        <v>13</v>
      </c>
      <c r="B20" s="3" t="s">
        <v>105</v>
      </c>
      <c r="C20">
        <v>1143.5</v>
      </c>
      <c r="D20">
        <v>1171.5</v>
      </c>
      <c r="E20">
        <v>1194.2</v>
      </c>
      <c r="F20">
        <v>1223.0999999999999</v>
      </c>
      <c r="L20" s="2"/>
      <c r="M20" s="2"/>
      <c r="N20" s="2"/>
      <c r="O20" s="2"/>
      <c r="P20" s="2"/>
    </row>
    <row r="21" spans="1:16" x14ac:dyDescent="0.3">
      <c r="A21" t="s">
        <v>11</v>
      </c>
      <c r="B21" s="3" t="s">
        <v>106</v>
      </c>
      <c r="C21">
        <v>723</v>
      </c>
      <c r="D21">
        <v>722</v>
      </c>
      <c r="E21">
        <v>720</v>
      </c>
      <c r="F21">
        <v>720</v>
      </c>
      <c r="L21" s="2"/>
      <c r="M21" s="2"/>
      <c r="N21" s="2"/>
      <c r="O21" s="2"/>
      <c r="P21" s="2"/>
    </row>
    <row r="22" spans="1:16" x14ac:dyDescent="0.3">
      <c r="A22" s="3" t="s">
        <v>69</v>
      </c>
      <c r="B22" s="3" t="s">
        <v>107</v>
      </c>
      <c r="C22">
        <v>543.70000000000005</v>
      </c>
      <c r="D22">
        <v>543.70000000000005</v>
      </c>
      <c r="E22">
        <v>543.70000000000005</v>
      </c>
      <c r="F22">
        <v>543.70000000000005</v>
      </c>
      <c r="L22" s="2"/>
      <c r="M22" s="2"/>
      <c r="N22" s="2"/>
      <c r="O22" s="2"/>
      <c r="P22" s="2"/>
    </row>
    <row r="23" spans="1:16" x14ac:dyDescent="0.3">
      <c r="A23" t="s">
        <v>17</v>
      </c>
      <c r="B23" s="3" t="s">
        <v>108</v>
      </c>
      <c r="C23">
        <v>44</v>
      </c>
      <c r="D23">
        <v>44</v>
      </c>
      <c r="E23">
        <v>44</v>
      </c>
      <c r="F23">
        <v>44</v>
      </c>
      <c r="L23" s="2"/>
      <c r="M23" s="2"/>
      <c r="N23" s="2"/>
      <c r="O23" s="2"/>
      <c r="P23" s="2"/>
    </row>
    <row r="24" spans="1:16" x14ac:dyDescent="0.3">
      <c r="A24" s="3" t="s">
        <v>111</v>
      </c>
      <c r="B24" s="3" t="s">
        <v>109</v>
      </c>
      <c r="C24">
        <v>119.7</v>
      </c>
      <c r="D24">
        <v>119.7</v>
      </c>
      <c r="E24">
        <v>119.7</v>
      </c>
      <c r="F24">
        <v>119.7</v>
      </c>
      <c r="L24" s="2"/>
      <c r="M24" s="2"/>
      <c r="N24" s="2"/>
      <c r="O24" s="2"/>
      <c r="P24" s="2"/>
    </row>
    <row r="25" spans="1:16" x14ac:dyDescent="0.3">
      <c r="A25" t="s">
        <v>15</v>
      </c>
      <c r="C25">
        <f>(2.6*25.4*2+622)/2 -C17</f>
        <v>67.039999999999964</v>
      </c>
      <c r="D25">
        <f t="shared" ref="D25:F25" si="0">(2.6*25.4*2+622)/2 -D17</f>
        <v>67.039999999999964</v>
      </c>
      <c r="E25">
        <f t="shared" si="0"/>
        <v>67.039999999999964</v>
      </c>
      <c r="F25">
        <f t="shared" si="0"/>
        <v>67.039999999999964</v>
      </c>
      <c r="J25" s="2"/>
      <c r="K25" s="2"/>
      <c r="L25" s="2"/>
      <c r="M25" s="2"/>
      <c r="N25" s="2"/>
      <c r="O25" s="2"/>
      <c r="P25" s="2"/>
    </row>
    <row r="26" spans="1:16" x14ac:dyDescent="0.3">
      <c r="A26" s="3" t="s">
        <v>14</v>
      </c>
      <c r="C26">
        <f>SQRT(C25^2+C18^2)</f>
        <v>438.1590597032087</v>
      </c>
      <c r="D26">
        <f t="shared" ref="D26:F26" si="1">SQRT(D25^2+D18^2)</f>
        <v>438.1590597032087</v>
      </c>
      <c r="E26">
        <f t="shared" si="1"/>
        <v>438.1590597032087</v>
      </c>
      <c r="F26">
        <f t="shared" si="1"/>
        <v>438.1590597032087</v>
      </c>
      <c r="J26" s="2"/>
      <c r="K26" s="2"/>
      <c r="L26" s="2"/>
      <c r="M26" s="2"/>
      <c r="N26" s="2"/>
      <c r="O26" s="2"/>
      <c r="P26" s="2"/>
    </row>
    <row r="27" spans="1:16" x14ac:dyDescent="0.3">
      <c r="A27" s="3" t="s">
        <v>84</v>
      </c>
      <c r="B27" s="3"/>
      <c r="C27">
        <v>130</v>
      </c>
      <c r="D27">
        <v>130</v>
      </c>
      <c r="E27">
        <v>130</v>
      </c>
      <c r="F27">
        <v>130</v>
      </c>
    </row>
    <row r="28" spans="1:16" x14ac:dyDescent="0.3">
      <c r="A28" s="3" t="s">
        <v>85</v>
      </c>
    </row>
    <row r="29" spans="1:16" x14ac:dyDescent="0.3">
      <c r="A29" t="s">
        <v>20</v>
      </c>
    </row>
    <row r="30" spans="1:16" x14ac:dyDescent="0.3">
      <c r="A30" t="s">
        <v>21</v>
      </c>
    </row>
    <row r="31" spans="1:16" x14ac:dyDescent="0.3">
      <c r="A31" t="s">
        <v>22</v>
      </c>
    </row>
    <row r="32" spans="1:16" x14ac:dyDescent="0.3">
      <c r="A32" t="s">
        <v>23</v>
      </c>
    </row>
    <row r="33" spans="1:6" x14ac:dyDescent="0.3">
      <c r="A33" t="s">
        <v>24</v>
      </c>
      <c r="B33" t="s">
        <v>24</v>
      </c>
      <c r="C33">
        <v>29</v>
      </c>
      <c r="D33">
        <v>29</v>
      </c>
      <c r="E33">
        <v>29</v>
      </c>
      <c r="F33">
        <v>29</v>
      </c>
    </row>
    <row r="34" spans="1:6" x14ac:dyDescent="0.3">
      <c r="A34" t="s">
        <v>25</v>
      </c>
      <c r="B34" t="s">
        <v>25</v>
      </c>
      <c r="C34">
        <v>2.6</v>
      </c>
      <c r="D34">
        <v>2.6</v>
      </c>
      <c r="E34">
        <v>2.6</v>
      </c>
      <c r="F34">
        <v>2.6</v>
      </c>
    </row>
    <row r="35" spans="1:6" x14ac:dyDescent="0.3">
      <c r="A35" t="s">
        <v>26</v>
      </c>
      <c r="B35" t="s">
        <v>26</v>
      </c>
      <c r="C35">
        <v>2.6</v>
      </c>
      <c r="D35">
        <v>2.6</v>
      </c>
      <c r="E35">
        <v>2.6</v>
      </c>
      <c r="F35">
        <v>2.6</v>
      </c>
    </row>
    <row r="36" spans="1:6" x14ac:dyDescent="0.3">
      <c r="A36" t="s">
        <v>27</v>
      </c>
      <c r="B36" t="s">
        <v>27</v>
      </c>
      <c r="C36">
        <v>155</v>
      </c>
      <c r="D36">
        <v>165</v>
      </c>
      <c r="E36">
        <v>178</v>
      </c>
      <c r="F36">
        <v>185</v>
      </c>
    </row>
    <row r="37" spans="1:6" x14ac:dyDescent="0.3">
      <c r="A37" t="s">
        <v>28</v>
      </c>
      <c r="B37" t="s">
        <v>28</v>
      </c>
      <c r="C37">
        <v>170</v>
      </c>
      <c r="D37">
        <v>180</v>
      </c>
      <c r="E37">
        <v>191</v>
      </c>
      <c r="F37">
        <v>201</v>
      </c>
    </row>
    <row r="39" spans="1:6" x14ac:dyDescent="0.3">
      <c r="A39" t="s">
        <v>29</v>
      </c>
      <c r="B39" t="s">
        <v>30</v>
      </c>
    </row>
    <row r="40" spans="1:6" x14ac:dyDescent="0.3">
      <c r="A40" t="s">
        <v>66</v>
      </c>
      <c r="B40" s="3" t="s">
        <v>86</v>
      </c>
    </row>
    <row r="41" spans="1:6" x14ac:dyDescent="0.3">
      <c r="A41" t="s">
        <v>67</v>
      </c>
      <c r="B41" s="3" t="s">
        <v>87</v>
      </c>
    </row>
    <row r="42" spans="1:6" x14ac:dyDescent="0.3">
      <c r="A42" t="s">
        <v>68</v>
      </c>
      <c r="B42" s="3" t="s">
        <v>88</v>
      </c>
    </row>
    <row r="43" spans="1:6" x14ac:dyDescent="0.3">
      <c r="A43" t="s">
        <v>31</v>
      </c>
      <c r="B43" s="3" t="s">
        <v>89</v>
      </c>
    </row>
    <row r="44" spans="1:6" x14ac:dyDescent="0.3">
      <c r="A44" t="s">
        <v>32</v>
      </c>
      <c r="B44" s="3" t="s">
        <v>70</v>
      </c>
    </row>
    <row r="45" spans="1:6" x14ac:dyDescent="0.3">
      <c r="A45" t="s">
        <v>33</v>
      </c>
    </row>
    <row r="46" spans="1:6" x14ac:dyDescent="0.3">
      <c r="A46" t="s">
        <v>34</v>
      </c>
      <c r="B46">
        <v>2.6</v>
      </c>
      <c r="C46" s="3"/>
    </row>
    <row r="47" spans="1:6" x14ac:dyDescent="0.3">
      <c r="A47" t="s">
        <v>35</v>
      </c>
    </row>
    <row r="48" spans="1:6" x14ac:dyDescent="0.3">
      <c r="A48" t="s">
        <v>36</v>
      </c>
      <c r="B48">
        <v>130</v>
      </c>
    </row>
    <row r="49" spans="1:2" x14ac:dyDescent="0.3">
      <c r="A49" t="s">
        <v>37</v>
      </c>
      <c r="B49">
        <v>130</v>
      </c>
    </row>
    <row r="50" spans="1:2" x14ac:dyDescent="0.3">
      <c r="A50" t="s">
        <v>38</v>
      </c>
      <c r="B50" s="4"/>
    </row>
    <row r="51" spans="1:2" x14ac:dyDescent="0.3">
      <c r="A51" t="s">
        <v>39</v>
      </c>
    </row>
    <row r="52" spans="1:2" x14ac:dyDescent="0.3">
      <c r="A52" t="s">
        <v>40</v>
      </c>
      <c r="B52">
        <v>148</v>
      </c>
    </row>
    <row r="53" spans="1:2" x14ac:dyDescent="0.3">
      <c r="A53" t="s">
        <v>41</v>
      </c>
      <c r="B53">
        <v>110</v>
      </c>
    </row>
    <row r="54" spans="1:2" x14ac:dyDescent="0.3">
      <c r="A54" t="s">
        <v>77</v>
      </c>
    </row>
    <row r="55" spans="1:2" x14ac:dyDescent="0.3">
      <c r="A55" t="s">
        <v>78</v>
      </c>
    </row>
    <row r="56" spans="1:2" x14ac:dyDescent="0.3">
      <c r="A56" t="s">
        <v>79</v>
      </c>
    </row>
    <row r="57" spans="1:2" x14ac:dyDescent="0.3">
      <c r="A57" t="s">
        <v>80</v>
      </c>
    </row>
    <row r="58" spans="1:2" x14ac:dyDescent="0.3">
      <c r="A58" t="s">
        <v>81</v>
      </c>
    </row>
    <row r="59" spans="1:2" x14ac:dyDescent="0.3">
      <c r="A59" t="s">
        <v>82</v>
      </c>
    </row>
    <row r="60" spans="1:2" x14ac:dyDescent="0.3">
      <c r="A60" t="s">
        <v>42</v>
      </c>
      <c r="B60" s="3" t="s">
        <v>112</v>
      </c>
    </row>
    <row r="61" spans="1:2" x14ac:dyDescent="0.3">
      <c r="A61" t="s">
        <v>43</v>
      </c>
    </row>
    <row r="62" spans="1:2" x14ac:dyDescent="0.3">
      <c r="A62" t="s">
        <v>44</v>
      </c>
      <c r="B62">
        <v>31.6</v>
      </c>
    </row>
    <row r="63" spans="1:2" x14ac:dyDescent="0.3">
      <c r="A63" t="s">
        <v>45</v>
      </c>
      <c r="B63" s="3"/>
    </row>
    <row r="64" spans="1:2" x14ac:dyDescent="0.3">
      <c r="A64" t="s">
        <v>46</v>
      </c>
    </row>
    <row r="65" spans="1:2" x14ac:dyDescent="0.3">
      <c r="A65" t="s">
        <v>47</v>
      </c>
    </row>
    <row r="66" spans="1:2" x14ac:dyDescent="0.3">
      <c r="A66" t="s">
        <v>48</v>
      </c>
    </row>
    <row r="67" spans="1:2" x14ac:dyDescent="0.3">
      <c r="A67" t="s">
        <v>49</v>
      </c>
    </row>
    <row r="68" spans="1:2" x14ac:dyDescent="0.3">
      <c r="A68" t="s">
        <v>50</v>
      </c>
    </row>
    <row r="69" spans="1:2" x14ac:dyDescent="0.3">
      <c r="A69" t="s">
        <v>51</v>
      </c>
      <c r="B69" s="3" t="s">
        <v>113</v>
      </c>
    </row>
    <row r="70" spans="1:2" x14ac:dyDescent="0.3">
      <c r="A70" t="s">
        <v>52</v>
      </c>
      <c r="B70" s="3" t="s">
        <v>113</v>
      </c>
    </row>
    <row r="71" spans="1:2" x14ac:dyDescent="0.3">
      <c r="A71" t="s">
        <v>53</v>
      </c>
    </row>
    <row r="72" spans="1:2" x14ac:dyDescent="0.3">
      <c r="A72" t="s">
        <v>54</v>
      </c>
      <c r="B72" s="3"/>
    </row>
    <row r="73" spans="1:2" x14ac:dyDescent="0.3">
      <c r="A73" t="s">
        <v>55</v>
      </c>
      <c r="B73">
        <v>1</v>
      </c>
    </row>
    <row r="74" spans="1:2" x14ac:dyDescent="0.3">
      <c r="A74" t="s">
        <v>56</v>
      </c>
      <c r="B74">
        <v>1</v>
      </c>
    </row>
    <row r="75" spans="1:2" x14ac:dyDescent="0.3">
      <c r="A75" t="s">
        <v>57</v>
      </c>
    </row>
    <row r="76" spans="1:2" x14ac:dyDescent="0.3">
      <c r="A76" t="s">
        <v>58</v>
      </c>
    </row>
    <row r="77" spans="1:2" x14ac:dyDescent="0.3">
      <c r="A77" t="s">
        <v>59</v>
      </c>
      <c r="B77" s="3"/>
    </row>
    <row r="78" spans="1:2" x14ac:dyDescent="0.3">
      <c r="A78" t="s">
        <v>60</v>
      </c>
    </row>
    <row r="79" spans="1:2" x14ac:dyDescent="0.3">
      <c r="A79" t="s">
        <v>61</v>
      </c>
    </row>
    <row r="80" spans="1:2" x14ac:dyDescent="0.3">
      <c r="A80" t="s">
        <v>62</v>
      </c>
      <c r="B80">
        <v>2100</v>
      </c>
    </row>
    <row r="81" spans="1:2" x14ac:dyDescent="0.3">
      <c r="A81" t="s">
        <v>63</v>
      </c>
      <c r="B81">
        <v>4500</v>
      </c>
    </row>
    <row r="82" spans="1:2" x14ac:dyDescent="0.3">
      <c r="A82" t="s">
        <v>64</v>
      </c>
    </row>
    <row r="83" spans="1:2" x14ac:dyDescent="0.3">
      <c r="A83" t="s">
        <v>65</v>
      </c>
      <c r="B83" s="3" t="s">
        <v>71</v>
      </c>
    </row>
    <row r="84" spans="1:2" x14ac:dyDescent="0.3">
      <c r="A84" t="s">
        <v>76</v>
      </c>
      <c r="B84" s="3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2025-12-11T22:10:46Z</dcterms:modified>
</cp:coreProperties>
</file>