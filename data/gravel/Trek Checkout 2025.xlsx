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8E8B164-3265-754E-ACDB-9B903B77ED8D}" xr6:coauthVersionLast="47" xr6:coauthVersionMax="47" xr10:uidLastSave="{00000000-0000-0000-0000-000000000000}"/>
  <bookViews>
    <workbookView xWindow="32320" yWindow="-23620" windowWidth="2880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C12" i="1"/>
  <c r="C13" i="1"/>
  <c r="C11" i="1"/>
  <c r="C22" i="1"/>
  <c r="C21" i="1"/>
  <c r="C20" i="1"/>
  <c r="C19" i="1"/>
  <c r="C18" i="1"/>
  <c r="C17" i="1"/>
  <c r="C16" i="1"/>
  <c r="C15" i="1"/>
  <c r="C14" i="1"/>
  <c r="C10" i="1"/>
</calcChain>
</file>

<file path=xl/sharedStrings.xml><?xml version="1.0" encoding="utf-8"?>
<sst xmlns="http://schemas.openxmlformats.org/spreadsheetml/2006/main" count="169" uniqueCount="148">
  <si>
    <t>brand</t>
  </si>
  <si>
    <t>Trek</t>
  </si>
  <si>
    <t>model</t>
  </si>
  <si>
    <t>model year</t>
  </si>
  <si>
    <t>2025</t>
  </si>
  <si>
    <t>input date</t>
  </si>
  <si>
    <t>URL</t>
  </si>
  <si>
    <t>data_range</t>
  </si>
  <si>
    <t>frame_size</t>
  </si>
  <si>
    <t>Frame size letter</t>
  </si>
  <si>
    <t>S</t>
  </si>
  <si>
    <t>M</t>
  </si>
  <si>
    <t>ML</t>
  </si>
  <si>
    <t>L</t>
  </si>
  <si>
    <t>XL</t>
  </si>
  <si>
    <t>wheel_size</t>
  </si>
  <si>
    <t>Wheel size</t>
  </si>
  <si>
    <t>seat_tube_length</t>
  </si>
  <si>
    <t>A — Seat tube</t>
  </si>
  <si>
    <t>B — Seat tube angle</t>
  </si>
  <si>
    <t>seat_tube_angle</t>
  </si>
  <si>
    <t>head_tube_length</t>
  </si>
  <si>
    <t>C — Head tube length</t>
  </si>
  <si>
    <t>head_tube_angle</t>
  </si>
  <si>
    <t>D — Head angle</t>
  </si>
  <si>
    <t>top_tube_effective_length</t>
  </si>
  <si>
    <t>E — Effective top tube</t>
  </si>
  <si>
    <t>bottom_bracket_drop</t>
  </si>
  <si>
    <t>G — Bottom bracket drop</t>
  </si>
  <si>
    <t>chainstay_length</t>
  </si>
  <si>
    <t>H — Chainstay length</t>
  </si>
  <si>
    <t>fork_offset_rake</t>
  </si>
  <si>
    <t>I — Offset</t>
  </si>
  <si>
    <t>trail</t>
  </si>
  <si>
    <t>J — Trail</t>
  </si>
  <si>
    <t>wheelbase</t>
  </si>
  <si>
    <t>K — Wheelbase</t>
  </si>
  <si>
    <t>standover</t>
  </si>
  <si>
    <t>L — Standover</t>
  </si>
  <si>
    <t>reach</t>
  </si>
  <si>
    <t>M — Frame reach</t>
  </si>
  <si>
    <t>stack</t>
  </si>
  <si>
    <t>N — Frame stack</t>
  </si>
  <si>
    <t>axle_crown</t>
  </si>
  <si>
    <t>handlebar_width</t>
  </si>
  <si>
    <t>stem_length</t>
  </si>
  <si>
    <t>crank_length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</si>
  <si>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</si>
  <si>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</si>
  <si>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</si>
  <si>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</si>
  <si>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</si>
  <si>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</si>
  <si>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</si>
  <si>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</si>
  <si>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</si>
  <si>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</si>
  <si>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</si>
  <si>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</si>
  <si>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</si>
  <si>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</si>
  <si>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</si>
  <si>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</si>
  <si>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</si>
  <si>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</si>
  <si>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</si>
  <si>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threaded</t>
  </si>
  <si>
    <t>q_factor</t>
  </si>
  <si>
    <t>seatpost_diameter</t>
  </si>
  <si>
    <t>max_chainring_1x</t>
  </si>
  <si>
    <t>max_chainring_2x</t>
  </si>
  <si>
    <t>rotor_max_front</t>
  </si>
  <si>
    <t>rotor_max_rear</t>
  </si>
  <si>
    <t>iso_astm</t>
  </si>
  <si>
    <t>routing_shifter</t>
  </si>
  <si>
    <t>internal</t>
  </si>
  <si>
    <t>routing_dropper</t>
  </si>
  <si>
    <t>routing_dynamo</t>
  </si>
  <si>
    <t>front_derailleur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</si>
  <si>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</si>
  <si>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</si>
  <si>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</si>
  <si>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</si>
  <si>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</si>
  <si>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</si>
  <si>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</si>
  <si>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</si>
  <si>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</si>
  <si>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</si>
  <si>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</si>
  <si>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</si>
  <si>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</si>
  <si>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</si>
  <si>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</si>
  <si>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</si>
  <si>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</si>
  <si>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Checkout</t>
  </si>
  <si>
    <t>https://www.trekbikes.com/us/en_US/bikes/road-bikes/gravel-bikes/checkout/f/F226/checkout-sl-7-axs/57828/5339754</t>
  </si>
  <si>
    <t>USD</t>
  </si>
  <si>
    <t>700c</t>
  </si>
  <si>
    <t>A – Seat tube</t>
  </si>
  <si>
    <t>B – Seat tube angle</t>
  </si>
  <si>
    <t>C – Head tube length</t>
  </si>
  <si>
    <t>D – Head angle</t>
  </si>
  <si>
    <t>E – Effective top tube</t>
  </si>
  <si>
    <t>G – Bottom bracket drop</t>
  </si>
  <si>
    <t>H – Chainstay length</t>
  </si>
  <si>
    <t>I – Offset</t>
  </si>
  <si>
    <t>J – Trail</t>
  </si>
  <si>
    <t>K – Wheelbase</t>
  </si>
  <si>
    <t>L – Standover</t>
  </si>
  <si>
    <t>M – Frame reach</t>
  </si>
  <si>
    <t>N – Frame stack</t>
  </si>
  <si>
    <t>frame_weight</t>
  </si>
  <si>
    <t>carbon</t>
  </si>
  <si>
    <t>suspension</t>
  </si>
  <si>
    <t>Size</t>
  </si>
  <si>
    <t>Rider Height</t>
  </si>
  <si>
    <t>Inseam</t>
  </si>
  <si>
    <t>S (49cm)</t>
  </si>
  <si>
    <t>158 - 164 cm</t>
  </si>
  <si>
    <t>5'2" - 5'5"</t>
  </si>
  <si>
    <t>74 - 77 cm</t>
  </si>
  <si>
    <t>29" - 30"</t>
  </si>
  <si>
    <t>M (52-54cm)</t>
  </si>
  <si>
    <t>164 - 177 cm</t>
  </si>
  <si>
    <t>5'5" - 5'10"</t>
  </si>
  <si>
    <t>77 - 83 cm</t>
  </si>
  <si>
    <t>30" - 33"</t>
  </si>
  <si>
    <t>ML (56cm)</t>
  </si>
  <si>
    <t>177 - 188 cm</t>
  </si>
  <si>
    <t>5'10" - 6'2"</t>
  </si>
  <si>
    <t>83 - 88 cm</t>
  </si>
  <si>
    <t>33" - 35"</t>
  </si>
  <si>
    <t>L (58cm)</t>
  </si>
  <si>
    <t>188 - 194 cm</t>
  </si>
  <si>
    <t>6'2" - 6'4"</t>
  </si>
  <si>
    <t>88 - 91 cm</t>
  </si>
  <si>
    <t>35" - 36"</t>
  </si>
  <si>
    <t>XL (61cm)</t>
  </si>
  <si>
    <t>194 - 203 cm</t>
  </si>
  <si>
    <t>6'4" - 6'8"</t>
  </si>
  <si>
    <t>91 - 95 cm</t>
  </si>
  <si>
    <t>36" - 37"</t>
  </si>
  <si>
    <t>a8:g31</t>
  </si>
  <si>
    <t>semi-integrated</t>
  </si>
  <si>
    <t>20% sag</t>
  </si>
  <si>
    <t>https://media.trekbikes.com/image/upload/w_1920,h_1440,c_pad,f_auto,fl_progressive:semi,q_auto/CheckoutSL7AXS-26-57828-B-Primary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</si>
</sst>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13131"/>
      <name val="Arial"/>
      <family val="2"/>
    </font>
    <font>
      <sz val="14"/>
      <color rgb="FF313131"/>
      <name val="Arial"/>
      <family val="2"/>
    </font>
    <font>
      <b/>
      <sz val="14"/>
      <color rgb="FF3131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1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22" x14ac:dyDescent="0.3">
      <c r="A1" t="s">
        <v>0</v>
      </c>
      <c r="B1" t="s">
        <v>1</v>
      </c>
    </row>
    <row r="2" spans="1:22" x14ac:dyDescent="0.3">
      <c r="A2" t="s">
        <v>2</v>
      </c>
      <c r="B2" s="1" t="s">
        <v>96</v>
      </c>
    </row>
    <row r="3" spans="1:22" x14ac:dyDescent="0.3">
      <c r="A3" t="s">
        <v>3</v>
      </c>
      <c r="B3" t="s">
        <v>4</v>
      </c>
    </row>
    <row r="4" spans="1:22" x14ac:dyDescent="0.3">
      <c r="A4" t="s">
        <v>5</v>
      </c>
      <c r="B4" s="4">
        <v>45925</v>
      </c>
    </row>
    <row r="5" spans="1:22" x14ac:dyDescent="0.3">
      <c r="A5" t="s">
        <v>6</v>
      </c>
      <c r="B5" t="s">
        <v>97</v>
      </c>
    </row>
    <row r="6" spans="1:22" x14ac:dyDescent="0.3">
      <c r="B6" t="s">
        <v>147</v>
      </c>
    </row>
    <row r="7" spans="1:22" x14ac:dyDescent="0.3">
      <c r="A7" t="s">
        <v>7</v>
      </c>
      <c r="B7" s="1" t="s">
        <v>144</v>
      </c>
    </row>
    <row r="8" spans="1:22" x14ac:dyDescent="0.3">
      <c r="A8" t="s">
        <v>8</v>
      </c>
      <c r="B8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I8" s="2" t="s">
        <v>9</v>
      </c>
      <c r="J8" s="2" t="s">
        <v>10</v>
      </c>
      <c r="K8" s="2" t="s">
        <v>11</v>
      </c>
      <c r="L8" s="2" t="s">
        <v>12</v>
      </c>
      <c r="M8" s="2" t="s">
        <v>13</v>
      </c>
      <c r="N8" s="2" t="s">
        <v>14</v>
      </c>
      <c r="O8" s="2"/>
      <c r="P8" s="2"/>
      <c r="Q8" s="2"/>
      <c r="R8" s="2"/>
      <c r="S8" s="2"/>
      <c r="T8" s="2"/>
      <c r="U8" s="2"/>
      <c r="V8" s="2"/>
    </row>
    <row r="9" spans="1:22" x14ac:dyDescent="0.3">
      <c r="A9" t="s">
        <v>15</v>
      </c>
      <c r="B9" t="s">
        <v>16</v>
      </c>
      <c r="C9">
        <v>700</v>
      </c>
      <c r="D9">
        <v>700</v>
      </c>
      <c r="E9">
        <v>700</v>
      </c>
      <c r="F9">
        <v>700</v>
      </c>
      <c r="G9">
        <v>700</v>
      </c>
      <c r="I9" t="s">
        <v>16</v>
      </c>
      <c r="J9" t="s">
        <v>99</v>
      </c>
      <c r="K9" t="s">
        <v>99</v>
      </c>
      <c r="L9" t="s">
        <v>99</v>
      </c>
      <c r="M9" t="s">
        <v>99</v>
      </c>
      <c r="N9" t="s">
        <v>99</v>
      </c>
      <c r="O9" s="3"/>
      <c r="P9" s="3"/>
      <c r="Q9" s="3"/>
      <c r="R9" s="3"/>
      <c r="S9" s="3"/>
      <c r="T9" s="3"/>
      <c r="U9" s="3"/>
      <c r="V9" s="3"/>
    </row>
    <row r="10" spans="1:22" x14ac:dyDescent="0.3">
      <c r="A10" t="s">
        <v>17</v>
      </c>
      <c r="B10" s="3" t="s">
        <v>18</v>
      </c>
      <c r="C10">
        <f>J10*10</f>
        <v>440</v>
      </c>
      <c r="D10">
        <f t="shared" ref="D10:G10" si="0">K10*10</f>
        <v>470</v>
      </c>
      <c r="E10">
        <f t="shared" si="0"/>
        <v>520</v>
      </c>
      <c r="F10">
        <f t="shared" si="0"/>
        <v>540</v>
      </c>
      <c r="G10">
        <f t="shared" si="0"/>
        <v>560</v>
      </c>
      <c r="I10" s="3" t="s">
        <v>100</v>
      </c>
      <c r="J10" s="3">
        <v>44</v>
      </c>
      <c r="K10" s="3">
        <v>47</v>
      </c>
      <c r="L10" s="3">
        <v>52</v>
      </c>
      <c r="M10" s="3">
        <v>54</v>
      </c>
      <c r="N10" s="3">
        <v>56</v>
      </c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t="s">
        <v>20</v>
      </c>
      <c r="B11" s="3" t="s">
        <v>19</v>
      </c>
      <c r="C11">
        <f>J11</f>
        <v>74.599999999999994</v>
      </c>
      <c r="D11">
        <f t="shared" ref="D11:G11" si="1">K11</f>
        <v>74.2</v>
      </c>
      <c r="E11">
        <f t="shared" si="1"/>
        <v>73.7</v>
      </c>
      <c r="F11">
        <f t="shared" si="1"/>
        <v>73</v>
      </c>
      <c r="G11">
        <f t="shared" si="1"/>
        <v>72.599999999999994</v>
      </c>
      <c r="I11" s="3" t="s">
        <v>101</v>
      </c>
      <c r="J11" s="3">
        <v>74.599999999999994</v>
      </c>
      <c r="K11" s="3">
        <v>74.2</v>
      </c>
      <c r="L11" s="3">
        <v>73.7</v>
      </c>
      <c r="M11" s="3">
        <v>73</v>
      </c>
      <c r="N11" s="3">
        <v>72.599999999999994</v>
      </c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t="s">
        <v>21</v>
      </c>
      <c r="B12" s="3" t="s">
        <v>22</v>
      </c>
      <c r="C12">
        <f>J12*10</f>
        <v>83</v>
      </c>
      <c r="D12">
        <f t="shared" ref="D12:G12" si="2">K12*10</f>
        <v>122</v>
      </c>
      <c r="E12">
        <f t="shared" si="2"/>
        <v>138</v>
      </c>
      <c r="F12">
        <f t="shared" si="2"/>
        <v>159</v>
      </c>
      <c r="G12">
        <f t="shared" si="2"/>
        <v>182</v>
      </c>
      <c r="I12" s="3" t="s">
        <v>102</v>
      </c>
      <c r="J12" s="3">
        <v>8.3000000000000007</v>
      </c>
      <c r="K12" s="3">
        <v>12.2</v>
      </c>
      <c r="L12" s="3">
        <v>13.8</v>
      </c>
      <c r="M12" s="3">
        <v>15.9</v>
      </c>
      <c r="N12" s="3">
        <v>18.2</v>
      </c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t="s">
        <v>23</v>
      </c>
      <c r="B13" s="3" t="s">
        <v>24</v>
      </c>
      <c r="C13">
        <f t="shared" ref="C13" si="3">J13</f>
        <v>68.8</v>
      </c>
      <c r="D13">
        <f t="shared" ref="D13" si="4">K13</f>
        <v>69</v>
      </c>
      <c r="E13">
        <f t="shared" ref="E13" si="5">L13</f>
        <v>69.400000000000006</v>
      </c>
      <c r="F13">
        <f t="shared" ref="F13" si="6">M13</f>
        <v>69.5</v>
      </c>
      <c r="G13">
        <f t="shared" ref="G13" si="7">N13</f>
        <v>69.400000000000006</v>
      </c>
      <c r="I13" s="3" t="s">
        <v>103</v>
      </c>
      <c r="J13" s="3">
        <v>68.8</v>
      </c>
      <c r="K13" s="3">
        <v>69</v>
      </c>
      <c r="L13" s="3">
        <v>69.400000000000006</v>
      </c>
      <c r="M13" s="3">
        <v>69.5</v>
      </c>
      <c r="N13" s="3">
        <v>69.400000000000006</v>
      </c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t="s">
        <v>25</v>
      </c>
      <c r="B14" s="3" t="s">
        <v>26</v>
      </c>
      <c r="C14">
        <f t="shared" ref="C14:C22" si="8">J14*10</f>
        <v>564</v>
      </c>
      <c r="D14">
        <f t="shared" ref="D14:D22" si="9">K14*10</f>
        <v>589</v>
      </c>
      <c r="E14">
        <f t="shared" ref="E14:E22" si="10">L14*10</f>
        <v>597</v>
      </c>
      <c r="F14">
        <f t="shared" ref="F14:F22" si="11">M14*10</f>
        <v>613</v>
      </c>
      <c r="G14">
        <f t="shared" ref="G14:G22" si="12">N14*10</f>
        <v>628</v>
      </c>
      <c r="I14" s="3" t="s">
        <v>104</v>
      </c>
      <c r="J14" s="3">
        <v>56.4</v>
      </c>
      <c r="K14" s="3">
        <v>58.9</v>
      </c>
      <c r="L14" s="3">
        <v>59.7</v>
      </c>
      <c r="M14" s="3">
        <v>61.3</v>
      </c>
      <c r="N14" s="3">
        <v>62.8</v>
      </c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t="s">
        <v>27</v>
      </c>
      <c r="B15" s="3" t="s">
        <v>28</v>
      </c>
      <c r="C15">
        <f t="shared" si="8"/>
        <v>70</v>
      </c>
      <c r="D15">
        <f t="shared" si="9"/>
        <v>70</v>
      </c>
      <c r="E15">
        <f t="shared" si="10"/>
        <v>70</v>
      </c>
      <c r="F15">
        <f t="shared" si="11"/>
        <v>68</v>
      </c>
      <c r="G15">
        <f t="shared" si="12"/>
        <v>68</v>
      </c>
      <c r="I15" s="3" t="s">
        <v>105</v>
      </c>
      <c r="J15" s="3">
        <v>7</v>
      </c>
      <c r="K15" s="3">
        <v>7</v>
      </c>
      <c r="L15" s="3">
        <v>7</v>
      </c>
      <c r="M15" s="3">
        <v>6.8</v>
      </c>
      <c r="N15" s="3">
        <v>6.8</v>
      </c>
    </row>
    <row r="16" spans="1:22" x14ac:dyDescent="0.3">
      <c r="A16" t="s">
        <v>29</v>
      </c>
      <c r="B16" t="s">
        <v>30</v>
      </c>
      <c r="C16">
        <f t="shared" si="8"/>
        <v>442</v>
      </c>
      <c r="D16">
        <f t="shared" si="9"/>
        <v>442</v>
      </c>
      <c r="E16">
        <f t="shared" si="10"/>
        <v>442</v>
      </c>
      <c r="F16">
        <f t="shared" si="11"/>
        <v>442</v>
      </c>
      <c r="G16">
        <f t="shared" si="12"/>
        <v>442</v>
      </c>
      <c r="I16" t="s">
        <v>106</v>
      </c>
      <c r="J16">
        <v>44.2</v>
      </c>
      <c r="K16">
        <v>44.2</v>
      </c>
      <c r="L16">
        <v>44.2</v>
      </c>
      <c r="M16">
        <v>44.2</v>
      </c>
      <c r="N16">
        <v>44.2</v>
      </c>
    </row>
    <row r="17" spans="1:14" x14ac:dyDescent="0.3">
      <c r="A17" t="s">
        <v>31</v>
      </c>
      <c r="B17" s="2" t="s">
        <v>32</v>
      </c>
      <c r="C17">
        <f t="shared" si="8"/>
        <v>48</v>
      </c>
      <c r="D17">
        <f t="shared" si="9"/>
        <v>48</v>
      </c>
      <c r="E17">
        <f t="shared" si="10"/>
        <v>48</v>
      </c>
      <c r="F17">
        <f t="shared" si="11"/>
        <v>48</v>
      </c>
      <c r="G17">
        <f t="shared" si="12"/>
        <v>48</v>
      </c>
      <c r="I17" s="2" t="s">
        <v>107</v>
      </c>
      <c r="J17" s="3">
        <v>4.8</v>
      </c>
      <c r="K17" s="3">
        <v>4.8</v>
      </c>
      <c r="L17" s="3">
        <v>4.8</v>
      </c>
      <c r="M17" s="3">
        <v>4.8</v>
      </c>
      <c r="N17" s="3">
        <v>4.8</v>
      </c>
    </row>
    <row r="18" spans="1:14" x14ac:dyDescent="0.3">
      <c r="A18" t="s">
        <v>33</v>
      </c>
      <c r="B18" s="2" t="s">
        <v>34</v>
      </c>
      <c r="C18">
        <f t="shared" si="8"/>
        <v>92</v>
      </c>
      <c r="D18">
        <f t="shared" si="9"/>
        <v>91</v>
      </c>
      <c r="E18">
        <f t="shared" si="10"/>
        <v>88</v>
      </c>
      <c r="F18">
        <f t="shared" si="11"/>
        <v>88</v>
      </c>
      <c r="G18">
        <f t="shared" si="12"/>
        <v>88</v>
      </c>
      <c r="I18" s="2" t="s">
        <v>108</v>
      </c>
      <c r="J18" s="3">
        <v>9.1999999999999993</v>
      </c>
      <c r="K18" s="3">
        <v>9.1</v>
      </c>
      <c r="L18" s="3">
        <v>8.8000000000000007</v>
      </c>
      <c r="M18" s="3">
        <v>8.8000000000000007</v>
      </c>
      <c r="N18" s="3">
        <v>8.8000000000000007</v>
      </c>
    </row>
    <row r="19" spans="1:14" x14ac:dyDescent="0.3">
      <c r="A19" t="s">
        <v>35</v>
      </c>
      <c r="B19" s="2" t="s">
        <v>36</v>
      </c>
      <c r="C19">
        <f t="shared" si="8"/>
        <v>1081</v>
      </c>
      <c r="D19">
        <f t="shared" si="9"/>
        <v>1105</v>
      </c>
      <c r="E19">
        <f t="shared" si="10"/>
        <v>1117</v>
      </c>
      <c r="F19">
        <f t="shared" si="11"/>
        <v>1135</v>
      </c>
      <c r="G19">
        <f t="shared" si="12"/>
        <v>1150</v>
      </c>
      <c r="I19" s="2" t="s">
        <v>109</v>
      </c>
      <c r="J19" s="3">
        <v>108.1</v>
      </c>
      <c r="K19" s="3">
        <v>110.5</v>
      </c>
      <c r="L19" s="3">
        <v>111.7</v>
      </c>
      <c r="M19" s="3">
        <v>113.5</v>
      </c>
      <c r="N19" s="3">
        <v>115</v>
      </c>
    </row>
    <row r="20" spans="1:14" x14ac:dyDescent="0.3">
      <c r="A20" t="s">
        <v>37</v>
      </c>
      <c r="B20" s="2" t="s">
        <v>38</v>
      </c>
      <c r="C20">
        <f t="shared" si="8"/>
        <v>772</v>
      </c>
      <c r="D20">
        <f t="shared" si="9"/>
        <v>804</v>
      </c>
      <c r="E20">
        <f t="shared" si="10"/>
        <v>840</v>
      </c>
      <c r="F20">
        <f t="shared" si="11"/>
        <v>861</v>
      </c>
      <c r="G20">
        <f t="shared" si="12"/>
        <v>861</v>
      </c>
      <c r="I20" s="2" t="s">
        <v>110</v>
      </c>
      <c r="J20" s="3">
        <v>77.2</v>
      </c>
      <c r="K20" s="3">
        <v>80.400000000000006</v>
      </c>
      <c r="L20" s="3">
        <v>84</v>
      </c>
      <c r="M20" s="3">
        <v>86.1</v>
      </c>
      <c r="N20" s="3">
        <v>86.1</v>
      </c>
    </row>
    <row r="21" spans="1:14" x14ac:dyDescent="0.3">
      <c r="A21" t="s">
        <v>39</v>
      </c>
      <c r="B21" s="2" t="s">
        <v>40</v>
      </c>
      <c r="C21">
        <f t="shared" si="8"/>
        <v>395</v>
      </c>
      <c r="D21">
        <f t="shared" si="9"/>
        <v>407</v>
      </c>
      <c r="E21">
        <f t="shared" si="10"/>
        <v>417</v>
      </c>
      <c r="F21">
        <f t="shared" si="11"/>
        <v>427</v>
      </c>
      <c r="G21">
        <f t="shared" si="12"/>
        <v>435</v>
      </c>
      <c r="I21" s="2" t="s">
        <v>111</v>
      </c>
      <c r="J21" s="3">
        <v>39.5</v>
      </c>
      <c r="K21" s="3">
        <v>40.700000000000003</v>
      </c>
      <c r="L21" s="3">
        <v>41.7</v>
      </c>
      <c r="M21" s="3">
        <v>42.7</v>
      </c>
      <c r="N21" s="3">
        <v>43.5</v>
      </c>
    </row>
    <row r="22" spans="1:14" x14ac:dyDescent="0.3">
      <c r="A22" t="s">
        <v>41</v>
      </c>
      <c r="B22" s="2" t="s">
        <v>42</v>
      </c>
      <c r="C22">
        <f t="shared" si="8"/>
        <v>580</v>
      </c>
      <c r="D22">
        <f t="shared" si="9"/>
        <v>617</v>
      </c>
      <c r="E22">
        <f t="shared" si="10"/>
        <v>634</v>
      </c>
      <c r="F22">
        <f t="shared" si="11"/>
        <v>652</v>
      </c>
      <c r="G22">
        <f t="shared" si="12"/>
        <v>673</v>
      </c>
      <c r="I22" s="2" t="s">
        <v>112</v>
      </c>
      <c r="J22" s="3">
        <v>58</v>
      </c>
      <c r="K22" s="3">
        <v>61.7</v>
      </c>
      <c r="L22" s="3">
        <v>63.4</v>
      </c>
      <c r="M22" s="3">
        <v>65.2</v>
      </c>
      <c r="N22" s="3">
        <v>67.3</v>
      </c>
    </row>
    <row r="23" spans="1:14" x14ac:dyDescent="0.3">
      <c r="A23" s="1" t="s">
        <v>113</v>
      </c>
      <c r="B23" s="2"/>
      <c r="I23" s="2"/>
      <c r="J23" s="3"/>
      <c r="K23" s="3"/>
      <c r="L23" s="3"/>
      <c r="M23" s="3"/>
      <c r="N23" s="3"/>
    </row>
    <row r="24" spans="1:14" x14ac:dyDescent="0.3">
      <c r="A24" t="s">
        <v>43</v>
      </c>
      <c r="B24" t="s">
        <v>43</v>
      </c>
      <c r="C24">
        <v>475</v>
      </c>
      <c r="D24">
        <v>475</v>
      </c>
      <c r="E24">
        <v>475</v>
      </c>
      <c r="F24">
        <v>475</v>
      </c>
      <c r="G24">
        <v>475</v>
      </c>
      <c r="I24" s="2" t="s">
        <v>146</v>
      </c>
      <c r="J24" s="3">
        <f>475 - 0.2*60</f>
        <v>463</v>
      </c>
      <c r="K24" s="3"/>
      <c r="L24" s="3"/>
      <c r="M24" s="3"/>
      <c r="N24" s="3"/>
    </row>
    <row r="25" spans="1:14" x14ac:dyDescent="0.3">
      <c r="A25" t="s">
        <v>44</v>
      </c>
      <c r="B25" t="s">
        <v>44</v>
      </c>
      <c r="I25" s="2"/>
      <c r="J25" s="3"/>
      <c r="K25" s="3"/>
      <c r="L25" s="3"/>
      <c r="M25" s="3"/>
      <c r="N25" s="3"/>
    </row>
    <row r="26" spans="1:14" x14ac:dyDescent="0.3">
      <c r="A26" t="s">
        <v>45</v>
      </c>
      <c r="B26" t="s">
        <v>45</v>
      </c>
      <c r="C26">
        <v>60</v>
      </c>
      <c r="D26">
        <v>60</v>
      </c>
      <c r="E26">
        <v>70</v>
      </c>
      <c r="F26">
        <v>70</v>
      </c>
      <c r="G26">
        <v>80</v>
      </c>
      <c r="I26" s="2"/>
      <c r="J26" s="3"/>
      <c r="K26" s="3"/>
      <c r="L26" s="3"/>
      <c r="M26" s="3"/>
      <c r="N26" s="3"/>
    </row>
    <row r="27" spans="1:14" x14ac:dyDescent="0.3">
      <c r="A27" t="s">
        <v>46</v>
      </c>
      <c r="B27" t="s">
        <v>46</v>
      </c>
      <c r="I27" s="2"/>
      <c r="J27" s="3"/>
      <c r="K27" s="3"/>
      <c r="L27" s="3"/>
      <c r="M27" s="3"/>
      <c r="N27" s="3"/>
    </row>
    <row r="28" spans="1:14" x14ac:dyDescent="0.3">
      <c r="A28" t="s">
        <v>47</v>
      </c>
      <c r="B28" t="s">
        <v>47</v>
      </c>
      <c r="C28">
        <v>50</v>
      </c>
      <c r="D28">
        <v>50</v>
      </c>
      <c r="E28">
        <v>50</v>
      </c>
      <c r="F28">
        <v>50</v>
      </c>
      <c r="G28">
        <v>50</v>
      </c>
      <c r="I28" s="2"/>
      <c r="J28" s="3"/>
      <c r="K28" s="3"/>
      <c r="L28" s="3"/>
      <c r="M28" s="3"/>
      <c r="N28" s="3"/>
    </row>
    <row r="29" spans="1:14" x14ac:dyDescent="0.3">
      <c r="A29" t="s">
        <v>48</v>
      </c>
      <c r="B29" t="s">
        <v>48</v>
      </c>
      <c r="C29">
        <v>56</v>
      </c>
      <c r="D29">
        <v>56</v>
      </c>
      <c r="E29">
        <v>56</v>
      </c>
      <c r="F29">
        <v>56</v>
      </c>
      <c r="G29">
        <v>56</v>
      </c>
      <c r="I29" s="2"/>
      <c r="J29" s="3"/>
      <c r="K29" s="3"/>
      <c r="L29" s="3"/>
      <c r="M29" s="3"/>
      <c r="N29" s="3"/>
    </row>
    <row r="30" spans="1:14" x14ac:dyDescent="0.3">
      <c r="A30" t="s">
        <v>49</v>
      </c>
      <c r="B30" t="s">
        <v>49</v>
      </c>
      <c r="C30">
        <v>158</v>
      </c>
      <c r="D30">
        <v>164</v>
      </c>
      <c r="E30">
        <v>177</v>
      </c>
      <c r="F30">
        <v>188</v>
      </c>
      <c r="G30">
        <v>194</v>
      </c>
      <c r="I30" s="2"/>
      <c r="J30" s="3"/>
      <c r="K30" s="3"/>
      <c r="L30" s="3"/>
      <c r="M30" s="3"/>
      <c r="N30" s="3"/>
    </row>
    <row r="31" spans="1:14" x14ac:dyDescent="0.3">
      <c r="A31" t="s">
        <v>50</v>
      </c>
      <c r="B31" t="s">
        <v>50</v>
      </c>
      <c r="C31">
        <v>164</v>
      </c>
      <c r="D31">
        <v>177</v>
      </c>
      <c r="E31">
        <v>188</v>
      </c>
      <c r="F31">
        <v>194</v>
      </c>
      <c r="G31">
        <v>203</v>
      </c>
    </row>
    <row r="32" spans="1:14" x14ac:dyDescent="0.3">
      <c r="C32" s="5" t="s">
        <v>116</v>
      </c>
      <c r="D32" s="5" t="s">
        <v>117</v>
      </c>
      <c r="E32" s="5" t="s">
        <v>118</v>
      </c>
    </row>
    <row r="33" spans="1:5" x14ac:dyDescent="0.3">
      <c r="A33" t="s">
        <v>51</v>
      </c>
      <c r="B33" t="s">
        <v>52</v>
      </c>
      <c r="C33" s="6" t="s">
        <v>119</v>
      </c>
      <c r="D33" s="2" t="s">
        <v>120</v>
      </c>
      <c r="E33" s="2" t="s">
        <v>122</v>
      </c>
    </row>
    <row r="34" spans="1:5" x14ac:dyDescent="0.3">
      <c r="A34" t="s">
        <v>91</v>
      </c>
      <c r="B34" t="s">
        <v>92</v>
      </c>
      <c r="C34" s="6"/>
      <c r="D34" s="2" t="s">
        <v>121</v>
      </c>
      <c r="E34" s="2" t="s">
        <v>123</v>
      </c>
    </row>
    <row r="35" spans="1:5" x14ac:dyDescent="0.3">
      <c r="A35" t="s">
        <v>93</v>
      </c>
      <c r="B35" t="s">
        <v>94</v>
      </c>
      <c r="C35" s="6" t="s">
        <v>124</v>
      </c>
      <c r="D35" s="2" t="s">
        <v>125</v>
      </c>
      <c r="E35" s="2" t="s">
        <v>127</v>
      </c>
    </row>
    <row r="36" spans="1:5" x14ac:dyDescent="0.3">
      <c r="A36" t="s">
        <v>95</v>
      </c>
      <c r="B36" s="1" t="s">
        <v>115</v>
      </c>
      <c r="C36" s="6"/>
      <c r="D36" s="2" t="s">
        <v>126</v>
      </c>
      <c r="E36" s="2" t="s">
        <v>128</v>
      </c>
    </row>
    <row r="37" spans="1:5" x14ac:dyDescent="0.3">
      <c r="A37" t="s">
        <v>53</v>
      </c>
      <c r="B37" s="1" t="s">
        <v>114</v>
      </c>
      <c r="C37" s="6" t="s">
        <v>129</v>
      </c>
      <c r="D37" s="2" t="s">
        <v>130</v>
      </c>
      <c r="E37" s="2" t="s">
        <v>132</v>
      </c>
    </row>
    <row r="38" spans="1:5" x14ac:dyDescent="0.3">
      <c r="A38" t="s">
        <v>54</v>
      </c>
      <c r="B38" t="s">
        <v>55</v>
      </c>
      <c r="C38" s="6"/>
      <c r="D38" s="2" t="s">
        <v>131</v>
      </c>
      <c r="E38" s="2" t="s">
        <v>133</v>
      </c>
    </row>
    <row r="39" spans="1:5" x14ac:dyDescent="0.3">
      <c r="A39" t="s">
        <v>56</v>
      </c>
      <c r="C39" s="6" t="s">
        <v>134</v>
      </c>
      <c r="D39" s="2" t="s">
        <v>135</v>
      </c>
      <c r="E39" s="2" t="s">
        <v>137</v>
      </c>
    </row>
    <row r="40" spans="1:5" x14ac:dyDescent="0.3">
      <c r="A40" t="s">
        <v>57</v>
      </c>
      <c r="B40">
        <v>56</v>
      </c>
      <c r="C40" s="6"/>
      <c r="D40" s="2" t="s">
        <v>136</v>
      </c>
      <c r="E40" s="2" t="s">
        <v>138</v>
      </c>
    </row>
    <row r="41" spans="1:5" x14ac:dyDescent="0.3">
      <c r="A41" t="s">
        <v>58</v>
      </c>
      <c r="C41" s="6" t="s">
        <v>139</v>
      </c>
      <c r="D41" s="2" t="s">
        <v>140</v>
      </c>
      <c r="E41" s="2" t="s">
        <v>142</v>
      </c>
    </row>
    <row r="42" spans="1:5" x14ac:dyDescent="0.3">
      <c r="A42" t="s">
        <v>59</v>
      </c>
      <c r="B42">
        <v>60</v>
      </c>
      <c r="C42" s="6"/>
      <c r="D42" s="2" t="s">
        <v>141</v>
      </c>
      <c r="E42" s="2" t="s">
        <v>143</v>
      </c>
    </row>
    <row r="43" spans="1:5" x14ac:dyDescent="0.3">
      <c r="A43" t="s">
        <v>60</v>
      </c>
      <c r="B43">
        <v>60</v>
      </c>
    </row>
    <row r="44" spans="1:5" x14ac:dyDescent="0.3">
      <c r="A44" t="s">
        <v>61</v>
      </c>
    </row>
    <row r="45" spans="1:5" x14ac:dyDescent="0.3">
      <c r="A45" t="s">
        <v>62</v>
      </c>
      <c r="B45">
        <v>55</v>
      </c>
    </row>
    <row r="46" spans="1:5" x14ac:dyDescent="0.3">
      <c r="A46" t="s">
        <v>63</v>
      </c>
      <c r="B46">
        <v>142</v>
      </c>
    </row>
    <row r="47" spans="1:5" x14ac:dyDescent="0.3">
      <c r="A47" t="s">
        <v>64</v>
      </c>
      <c r="B47">
        <v>100</v>
      </c>
    </row>
    <row r="48" spans="1:5" x14ac:dyDescent="0.3">
      <c r="A48" t="s">
        <v>65</v>
      </c>
      <c r="B48" s="1" t="s">
        <v>66</v>
      </c>
    </row>
    <row r="49" spans="1:2" x14ac:dyDescent="0.3">
      <c r="A49" t="s">
        <v>67</v>
      </c>
    </row>
    <row r="50" spans="1:2" x14ac:dyDescent="0.3">
      <c r="A50" t="s">
        <v>68</v>
      </c>
      <c r="B50">
        <v>31.6</v>
      </c>
    </row>
    <row r="51" spans="1:2" x14ac:dyDescent="0.3">
      <c r="A51" t="s">
        <v>78</v>
      </c>
    </row>
    <row r="52" spans="1:2" x14ac:dyDescent="0.3">
      <c r="A52" t="s">
        <v>69</v>
      </c>
      <c r="B52">
        <v>38</v>
      </c>
    </row>
    <row r="53" spans="1:2" x14ac:dyDescent="0.3">
      <c r="A53" t="s">
        <v>70</v>
      </c>
    </row>
    <row r="54" spans="1:2" x14ac:dyDescent="0.3">
      <c r="A54" t="s">
        <v>71</v>
      </c>
    </row>
    <row r="55" spans="1:2" x14ac:dyDescent="0.3">
      <c r="A55" t="s">
        <v>72</v>
      </c>
    </row>
    <row r="56" spans="1:2" x14ac:dyDescent="0.3">
      <c r="A56" t="s">
        <v>73</v>
      </c>
    </row>
    <row r="57" spans="1:2" x14ac:dyDescent="0.3">
      <c r="A57" t="s">
        <v>74</v>
      </c>
      <c r="B57" s="1" t="s">
        <v>145</v>
      </c>
    </row>
    <row r="58" spans="1:2" x14ac:dyDescent="0.3">
      <c r="A58" t="s">
        <v>76</v>
      </c>
      <c r="B58" s="1" t="s">
        <v>75</v>
      </c>
    </row>
    <row r="59" spans="1:2" x14ac:dyDescent="0.3">
      <c r="A59" t="s">
        <v>77</v>
      </c>
    </row>
    <row r="60" spans="1:2" x14ac:dyDescent="0.3">
      <c r="A60" t="s">
        <v>79</v>
      </c>
      <c r="B60" s="1" t="s">
        <v>55</v>
      </c>
    </row>
    <row r="61" spans="1:2" x14ac:dyDescent="0.3">
      <c r="A61" t="s">
        <v>80</v>
      </c>
      <c r="B61">
        <v>2</v>
      </c>
    </row>
    <row r="62" spans="1:2" x14ac:dyDescent="0.3">
      <c r="A62" t="s">
        <v>81</v>
      </c>
      <c r="B62">
        <v>1</v>
      </c>
    </row>
    <row r="63" spans="1:2" x14ac:dyDescent="0.3">
      <c r="A63" t="s">
        <v>82</v>
      </c>
      <c r="B63">
        <v>1</v>
      </c>
    </row>
    <row r="64" spans="1:2" x14ac:dyDescent="0.3">
      <c r="A64" t="s">
        <v>83</v>
      </c>
    </row>
    <row r="65" spans="1:2" x14ac:dyDescent="0.3">
      <c r="A65" t="s">
        <v>84</v>
      </c>
    </row>
    <row r="66" spans="1:2" x14ac:dyDescent="0.3">
      <c r="A66" t="s">
        <v>85</v>
      </c>
      <c r="B66" s="1"/>
    </row>
    <row r="67" spans="1:2" x14ac:dyDescent="0.3">
      <c r="A67" t="s">
        <v>86</v>
      </c>
      <c r="B67" s="1" t="s">
        <v>55</v>
      </c>
    </row>
    <row r="68" spans="1:2" x14ac:dyDescent="0.3">
      <c r="A68" t="s">
        <v>87</v>
      </c>
      <c r="B68">
        <v>3699.99</v>
      </c>
    </row>
    <row r="69" spans="1:2" x14ac:dyDescent="0.3">
      <c r="A69" t="s">
        <v>88</v>
      </c>
      <c r="B69">
        <v>5799.99</v>
      </c>
    </row>
    <row r="70" spans="1:2" x14ac:dyDescent="0.3">
      <c r="A70" t="s">
        <v>89</v>
      </c>
    </row>
    <row r="71" spans="1:2" x14ac:dyDescent="0.3">
      <c r="A71" t="s">
        <v>90</v>
      </c>
      <c r="B71" s="1" t="s">
        <v>98</v>
      </c>
    </row>
  </sheetData>
  <mergeCells count="5">
    <mergeCell ref="C33:C34"/>
    <mergeCell ref="C35:C36"/>
    <mergeCell ref="C37:C38"/>
    <mergeCell ref="C39:C40"/>
    <mergeCell ref="C41:C4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2025-07-25T13:16:29Z</dcterms:created>
  <dcterms:modified xsi:type="dcterms:W3CDTF">2025-10-14T13:13:23Z</dcterms:modified>
</cp:coreProperties>
</file>