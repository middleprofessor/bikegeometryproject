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FC5DF913-2219-EB45-AAC9-CB17414E17B8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3" i="1" l="1"/>
  <c r="F23" i="1" s="1"/>
  <c r="E24" i="1"/>
  <c r="F24" i="1" s="1"/>
  <c r="D24" i="1"/>
  <c r="D23" i="1"/>
  <c r="C24" i="1"/>
  <c r="C23" i="1"/>
</calcChain>
</file>

<file path=xl/sharedStrings.xml><?xml version="1.0" encoding="utf-8"?>
<sst xmlns="http://schemas.openxmlformats.org/spreadsheetml/2006/main" count="114" uniqueCount="112">
  <si>
    <t>brand</t>
  </si>
  <si>
    <t>model</t>
  </si>
  <si>
    <t>model year</t>
  </si>
  <si>
    <t>2025</t>
  </si>
  <si>
    <t>input date</t>
  </si>
  <si>
    <t>URL</t>
  </si>
  <si>
    <t>data_range</t>
  </si>
  <si>
    <t>frame_size</t>
  </si>
  <si>
    <t>top_tube_effective_length</t>
  </si>
  <si>
    <t>seat_tube_length</t>
  </si>
  <si>
    <t>chainstay_length</t>
  </si>
  <si>
    <t>front_center</t>
  </si>
  <si>
    <t>wheelbase</t>
  </si>
  <si>
    <t>bottom_bracket_drop</t>
  </si>
  <si>
    <t>head_tube_length</t>
  </si>
  <si>
    <t>head_tube_angle</t>
  </si>
  <si>
    <t>seat_tube_angle</t>
  </si>
  <si>
    <t>standover</t>
  </si>
  <si>
    <t>reach</t>
  </si>
  <si>
    <t>stack</t>
  </si>
  <si>
    <t>fork_offset_rake</t>
  </si>
  <si>
    <t>frame_weight</t>
  </si>
  <si>
    <t>trail</t>
  </si>
  <si>
    <t>axle_crown</t>
  </si>
  <si>
    <t>crank_length</t>
  </si>
  <si>
    <t>handlebar_width</t>
  </si>
  <si>
    <t>stem_length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</si>
  <si>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</si>
  <si>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</si>
  <si>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</si>
  <si>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</si>
  <si>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</si>
  <si>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</si>
  <si>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</si>
  <si>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</si>
  <si>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</si>
  <si>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</si>
  <si>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</si>
  <si>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</si>
  <si>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</si>
  <si>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</si>
  <si>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</si>
  <si>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</si>
  <si>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</si>
  <si>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</si>
  <si>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</si>
  <si>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</si>
  <si>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</si>
  <si>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</si>
  <si>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</si>
  <si>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</si>
  <si>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</si>
  <si>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</si>
  <si>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</si>
  <si>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</si>
  <si>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</si>
  <si>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</si>
  <si>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</si>
  <si>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</si>
  <si>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</si>
  <si>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</si>
  <si>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</si>
  <si>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</si>
  <si>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</si>
  <si>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</si>
  <si>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</si>
  <si>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</si>
  <si>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</si>
  <si>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</si>
  <si>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</si>
  <si>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</si>
  <si>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</si>
  <si>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</si>
  <si>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</si>
  <si>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USD</t>
  </si>
  <si>
    <t>S</t>
  </si>
  <si>
    <t>M</t>
  </si>
  <si>
    <t>L</t>
  </si>
  <si>
    <t>XL</t>
  </si>
  <si>
    <t>threaded</t>
  </si>
  <si>
    <t>Height (cm)</t>
  </si>
  <si>
    <t>150-163</t>
  </si>
  <si>
    <t>163-175</t>
  </si>
  <si>
    <t>175-188</t>
  </si>
  <si>
    <t>188-195</t>
  </si>
  <si>
    <t>Seat Tube Length (A)</t>
  </si>
  <si>
    <t>Seat Tube Angle (B)</t>
  </si>
  <si>
    <t>Effective Seat Tube Angle (C)</t>
  </si>
  <si>
    <t>Head Tube Length (D)</t>
  </si>
  <si>
    <t>Head Tube Angle (E)</t>
  </si>
  <si>
    <t>Effective Top Tube (F)</t>
  </si>
  <si>
    <t>Bb Height (G)</t>
  </si>
  <si>
    <t>Bb Offset (H)</t>
  </si>
  <si>
    <t>Chainstay Length (I)</t>
  </si>
  <si>
    <t>Wheelbase (J)</t>
  </si>
  <si>
    <t>Frame Reach (K)</t>
  </si>
  <si>
    <t>Frame Stack (L)</t>
  </si>
  <si>
    <t>Standover Height (M)</t>
  </si>
  <si>
    <t>Polygon</t>
  </si>
  <si>
    <t>https://www.polygonbikes.com/us/bend-series-us/</t>
  </si>
  <si>
    <t>bb_height</t>
  </si>
  <si>
    <t>actual_seat_tube_angle</t>
  </si>
  <si>
    <t>a8:f34</t>
  </si>
  <si>
    <t>internal</t>
  </si>
  <si>
    <t>yes</t>
  </si>
  <si>
    <t>aluminum</t>
  </si>
  <si>
    <t>Bend R Series</t>
  </si>
  <si>
    <t>rigid</t>
  </si>
  <si>
    <t>estimates -- what's going on in size M?</t>
  </si>
  <si>
    <t>https://media.polygonbikes.com/wp-content/uploads/2023/07/14144816/MY23-BEND-RX9-P.png</t>
  </si>
  <si>
    <t>location</t>
  </si>
  <si>
    <t>Sidoarjo, Indonesia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</si>
</sst>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2E2E2E"/>
      <name val="Futura Medium"/>
    </font>
    <font>
      <sz val="14"/>
      <color rgb="FF2E2E2E"/>
      <name val="Futura Medium"/>
    </font>
    <font>
      <sz val="14"/>
      <color rgb="FF2E2E2E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5"/>
  <sheetViews>
    <sheetView tabSelected="1" topLeftCell="A61" workbookViewId="0">
      <selection activeCell="A75" sqref="A75:B75"/>
    </sheetView>
  </sheetViews>
  <sheetFormatPr baseColWidth="10" defaultRowHeight="20" x14ac:dyDescent="0.3"/>
  <cols>
    <col min="1" max="2" width="19.6640625" customWidth="1"/>
  </cols>
  <sheetData>
    <row r="1" spans="1:6" x14ac:dyDescent="0.3">
      <c r="A1" t="s">
        <v>0</v>
      </c>
      <c r="B1" s="1" t="s">
        <v>98</v>
      </c>
    </row>
    <row r="2" spans="1:6" x14ac:dyDescent="0.3">
      <c r="A2" t="s">
        <v>1</v>
      </c>
      <c r="B2" s="1" t="s">
        <v>106</v>
      </c>
    </row>
    <row r="3" spans="1:6" x14ac:dyDescent="0.3">
      <c r="A3" t="s">
        <v>2</v>
      </c>
      <c r="B3" t="s">
        <v>3</v>
      </c>
    </row>
    <row r="4" spans="1:6" x14ac:dyDescent="0.3">
      <c r="A4" t="s">
        <v>4</v>
      </c>
      <c r="B4" s="2">
        <v>45923</v>
      </c>
    </row>
    <row r="5" spans="1:6" x14ac:dyDescent="0.3">
      <c r="A5" t="s">
        <v>5</v>
      </c>
      <c r="B5" t="s">
        <v>99</v>
      </c>
    </row>
    <row r="6" spans="1:6" x14ac:dyDescent="0.3">
      <c r="B6" t="s">
        <v>109</v>
      </c>
    </row>
    <row r="7" spans="1:6" x14ac:dyDescent="0.3">
      <c r="A7" t="s">
        <v>6</v>
      </c>
      <c r="B7" s="1" t="s">
        <v>102</v>
      </c>
    </row>
    <row r="8" spans="1:6" x14ac:dyDescent="0.3">
      <c r="A8" t="s">
        <v>7</v>
      </c>
      <c r="C8" s="3" t="s">
        <v>75</v>
      </c>
      <c r="D8" s="3" t="s">
        <v>76</v>
      </c>
      <c r="E8" s="3" t="s">
        <v>77</v>
      </c>
      <c r="F8" s="3" t="s">
        <v>78</v>
      </c>
    </row>
    <row r="9" spans="1:6" x14ac:dyDescent="0.3">
      <c r="A9" t="s">
        <v>9</v>
      </c>
      <c r="B9" s="4" t="s">
        <v>85</v>
      </c>
      <c r="C9" s="5">
        <v>405</v>
      </c>
      <c r="D9" s="5">
        <v>450</v>
      </c>
      <c r="E9" s="5">
        <v>495</v>
      </c>
      <c r="F9" s="5">
        <v>540</v>
      </c>
    </row>
    <row r="10" spans="1:6" x14ac:dyDescent="0.3">
      <c r="A10" s="1" t="s">
        <v>101</v>
      </c>
      <c r="B10" s="4" t="s">
        <v>86</v>
      </c>
      <c r="C10" s="5">
        <v>74.5</v>
      </c>
      <c r="D10" s="5">
        <v>74</v>
      </c>
      <c r="E10" s="5">
        <v>73.5</v>
      </c>
      <c r="F10" s="5">
        <v>73.5</v>
      </c>
    </row>
    <row r="11" spans="1:6" x14ac:dyDescent="0.3">
      <c r="A11" t="s">
        <v>16</v>
      </c>
      <c r="B11" s="4" t="s">
        <v>87</v>
      </c>
      <c r="C11" s="5">
        <v>74.5</v>
      </c>
      <c r="D11" s="5">
        <v>74</v>
      </c>
      <c r="E11" s="5">
        <v>73.5</v>
      </c>
      <c r="F11" s="5">
        <v>73.5</v>
      </c>
    </row>
    <row r="12" spans="1:6" x14ac:dyDescent="0.3">
      <c r="A12" t="s">
        <v>14</v>
      </c>
      <c r="B12" s="4" t="s">
        <v>88</v>
      </c>
      <c r="C12" s="5">
        <v>140</v>
      </c>
      <c r="D12" s="5">
        <v>165</v>
      </c>
      <c r="E12" s="5">
        <v>200</v>
      </c>
      <c r="F12" s="5">
        <v>235</v>
      </c>
    </row>
    <row r="13" spans="1:6" x14ac:dyDescent="0.3">
      <c r="A13" t="s">
        <v>15</v>
      </c>
      <c r="B13" s="4" t="s">
        <v>89</v>
      </c>
      <c r="C13" s="5">
        <v>70</v>
      </c>
      <c r="D13" s="5">
        <v>70</v>
      </c>
      <c r="E13" s="5">
        <v>70.5</v>
      </c>
      <c r="F13" s="5">
        <v>70.5</v>
      </c>
    </row>
    <row r="14" spans="1:6" x14ac:dyDescent="0.3">
      <c r="A14" t="s">
        <v>8</v>
      </c>
      <c r="B14" s="4" t="s">
        <v>90</v>
      </c>
      <c r="C14" s="5">
        <v>520</v>
      </c>
      <c r="D14" s="5">
        <v>550</v>
      </c>
      <c r="E14" s="5">
        <v>580</v>
      </c>
      <c r="F14" s="5">
        <v>610</v>
      </c>
    </row>
    <row r="15" spans="1:6" x14ac:dyDescent="0.3">
      <c r="A15" s="1" t="s">
        <v>100</v>
      </c>
      <c r="B15" s="4" t="s">
        <v>91</v>
      </c>
      <c r="C15" s="5">
        <v>282</v>
      </c>
      <c r="D15" s="5">
        <v>282</v>
      </c>
      <c r="E15" s="5">
        <v>282</v>
      </c>
      <c r="F15" s="5">
        <v>282</v>
      </c>
    </row>
    <row r="16" spans="1:6" x14ac:dyDescent="0.3">
      <c r="A16" t="s">
        <v>13</v>
      </c>
      <c r="B16" s="4" t="s">
        <v>92</v>
      </c>
      <c r="C16" s="5">
        <v>72</v>
      </c>
      <c r="D16" s="5">
        <v>72</v>
      </c>
      <c r="E16" s="5">
        <v>72</v>
      </c>
      <c r="F16" s="5">
        <v>72</v>
      </c>
    </row>
    <row r="17" spans="1:10" x14ac:dyDescent="0.3">
      <c r="A17" t="s">
        <v>10</v>
      </c>
      <c r="B17" s="4" t="s">
        <v>93</v>
      </c>
      <c r="C17" s="5">
        <v>440</v>
      </c>
      <c r="D17" s="5">
        <v>440</v>
      </c>
      <c r="E17" s="5">
        <v>440</v>
      </c>
      <c r="F17" s="5">
        <v>440</v>
      </c>
    </row>
    <row r="18" spans="1:10" x14ac:dyDescent="0.3">
      <c r="A18" t="s">
        <v>12</v>
      </c>
      <c r="B18" s="4" t="s">
        <v>94</v>
      </c>
      <c r="C18" s="5">
        <v>1030</v>
      </c>
      <c r="D18" s="5">
        <v>1056</v>
      </c>
      <c r="E18" s="5">
        <v>1078</v>
      </c>
      <c r="F18" s="5">
        <v>1110</v>
      </c>
    </row>
    <row r="19" spans="1:10" x14ac:dyDescent="0.3">
      <c r="A19" t="s">
        <v>18</v>
      </c>
      <c r="B19" s="4" t="s">
        <v>95</v>
      </c>
      <c r="C19" s="5">
        <v>364</v>
      </c>
      <c r="D19" s="5">
        <v>382</v>
      </c>
      <c r="E19" s="5">
        <v>396</v>
      </c>
      <c r="F19" s="5">
        <v>416</v>
      </c>
    </row>
    <row r="20" spans="1:10" x14ac:dyDescent="0.3">
      <c r="A20" t="s">
        <v>19</v>
      </c>
      <c r="B20" s="4" t="s">
        <v>96</v>
      </c>
      <c r="C20" s="5">
        <v>563</v>
      </c>
      <c r="D20" s="5">
        <v>612</v>
      </c>
      <c r="E20" s="5">
        <v>621</v>
      </c>
      <c r="F20" s="5">
        <v>654</v>
      </c>
    </row>
    <row r="21" spans="1:10" x14ac:dyDescent="0.3">
      <c r="A21" s="1" t="s">
        <v>17</v>
      </c>
      <c r="B21" s="4" t="s">
        <v>97</v>
      </c>
      <c r="C21" s="5">
        <v>694</v>
      </c>
      <c r="D21" s="5">
        <v>736</v>
      </c>
      <c r="E21" s="5">
        <v>781</v>
      </c>
      <c r="F21" s="5">
        <v>823</v>
      </c>
    </row>
    <row r="22" spans="1:10" x14ac:dyDescent="0.3">
      <c r="A22" t="s">
        <v>11</v>
      </c>
      <c r="B22" s="3"/>
      <c r="C22" s="3"/>
      <c r="D22" s="3"/>
      <c r="E22" s="3"/>
      <c r="F22" s="3"/>
      <c r="G22" s="1" t="s">
        <v>108</v>
      </c>
    </row>
    <row r="23" spans="1:10" x14ac:dyDescent="0.3">
      <c r="A23" t="s">
        <v>23</v>
      </c>
      <c r="C23">
        <f>AVERAGE(G23,I23,J23)</f>
        <v>401.63176666666664</v>
      </c>
      <c r="D23">
        <f>C23</f>
        <v>401.63176666666664</v>
      </c>
      <c r="E23">
        <f t="shared" ref="E23:F23" si="0">D23</f>
        <v>401.63176666666664</v>
      </c>
      <c r="F23">
        <f t="shared" si="0"/>
        <v>401.63176666666664</v>
      </c>
      <c r="G23">
        <v>401.4538</v>
      </c>
      <c r="H23">
        <v>424.45780000000002</v>
      </c>
      <c r="I23">
        <v>401.83839999999998</v>
      </c>
      <c r="J23">
        <v>401.60309999999998</v>
      </c>
    </row>
    <row r="24" spans="1:10" x14ac:dyDescent="0.3">
      <c r="A24" t="s">
        <v>20</v>
      </c>
      <c r="C24">
        <f>AVERAGE(G24,I24,J24)</f>
        <v>50.402620000000006</v>
      </c>
      <c r="D24">
        <f>C24</f>
        <v>50.402620000000006</v>
      </c>
      <c r="E24">
        <f t="shared" ref="E24:F24" si="1">D24</f>
        <v>50.402620000000006</v>
      </c>
      <c r="F24">
        <f t="shared" si="1"/>
        <v>50.402620000000006</v>
      </c>
      <c r="G24">
        <v>50.44997</v>
      </c>
      <c r="H24">
        <v>40.770400000000002</v>
      </c>
      <c r="I24">
        <v>50.011850000000003</v>
      </c>
      <c r="J24">
        <v>50.746040000000001</v>
      </c>
    </row>
    <row r="25" spans="1:10" x14ac:dyDescent="0.3">
      <c r="A25" t="s">
        <v>21</v>
      </c>
    </row>
    <row r="26" spans="1:10" x14ac:dyDescent="0.3">
      <c r="A26" t="s">
        <v>22</v>
      </c>
    </row>
    <row r="27" spans="1:10" x14ac:dyDescent="0.3">
      <c r="A27" t="s">
        <v>24</v>
      </c>
    </row>
    <row r="28" spans="1:10" x14ac:dyDescent="0.3">
      <c r="A28" t="s">
        <v>25</v>
      </c>
    </row>
    <row r="29" spans="1:10" x14ac:dyDescent="0.3">
      <c r="A29" t="s">
        <v>26</v>
      </c>
    </row>
    <row r="30" spans="1:10" x14ac:dyDescent="0.3">
      <c r="A30" t="s">
        <v>27</v>
      </c>
      <c r="C30">
        <v>700</v>
      </c>
      <c r="D30">
        <v>700</v>
      </c>
      <c r="E30">
        <v>700</v>
      </c>
      <c r="F30">
        <v>700</v>
      </c>
    </row>
    <row r="31" spans="1:10" x14ac:dyDescent="0.3">
      <c r="A31" t="s">
        <v>28</v>
      </c>
      <c r="C31">
        <v>50</v>
      </c>
      <c r="D31">
        <v>50</v>
      </c>
      <c r="E31">
        <v>50</v>
      </c>
      <c r="F31">
        <v>50</v>
      </c>
    </row>
    <row r="32" spans="1:10" x14ac:dyDescent="0.3">
      <c r="A32" t="s">
        <v>29</v>
      </c>
      <c r="C32">
        <v>50</v>
      </c>
      <c r="D32">
        <v>50</v>
      </c>
      <c r="E32">
        <v>50</v>
      </c>
      <c r="F32">
        <v>50</v>
      </c>
    </row>
    <row r="33" spans="1:7" x14ac:dyDescent="0.3">
      <c r="A33" t="s">
        <v>30</v>
      </c>
      <c r="C33">
        <v>150</v>
      </c>
      <c r="D33">
        <v>163</v>
      </c>
      <c r="E33">
        <v>175</v>
      </c>
      <c r="F33">
        <v>188</v>
      </c>
    </row>
    <row r="34" spans="1:7" x14ac:dyDescent="0.3">
      <c r="A34" t="s">
        <v>31</v>
      </c>
      <c r="C34">
        <v>163</v>
      </c>
      <c r="D34">
        <v>175</v>
      </c>
      <c r="E34">
        <v>188</v>
      </c>
      <c r="F34">
        <v>195</v>
      </c>
    </row>
    <row r="35" spans="1:7" x14ac:dyDescent="0.3">
      <c r="C35" s="3" t="s">
        <v>81</v>
      </c>
      <c r="D35" s="3" t="s">
        <v>82</v>
      </c>
      <c r="E35" s="3" t="s">
        <v>83</v>
      </c>
      <c r="F35" s="3" t="s">
        <v>84</v>
      </c>
      <c r="G35" s="3" t="s">
        <v>80</v>
      </c>
    </row>
    <row r="36" spans="1:7" x14ac:dyDescent="0.3">
      <c r="A36" t="s">
        <v>32</v>
      </c>
      <c r="B36" t="s">
        <v>33</v>
      </c>
    </row>
    <row r="37" spans="1:7" x14ac:dyDescent="0.3">
      <c r="A37" t="s">
        <v>69</v>
      </c>
      <c r="B37" t="s">
        <v>70</v>
      </c>
    </row>
    <row r="38" spans="1:7" x14ac:dyDescent="0.3">
      <c r="A38" t="s">
        <v>71</v>
      </c>
      <c r="B38" t="s">
        <v>72</v>
      </c>
    </row>
    <row r="39" spans="1:7" x14ac:dyDescent="0.3">
      <c r="A39" t="s">
        <v>73</v>
      </c>
      <c r="B39" s="1" t="s">
        <v>107</v>
      </c>
    </row>
    <row r="40" spans="1:7" x14ac:dyDescent="0.3">
      <c r="A40" t="s">
        <v>34</v>
      </c>
      <c r="B40" s="1" t="s">
        <v>105</v>
      </c>
    </row>
    <row r="41" spans="1:7" x14ac:dyDescent="0.3">
      <c r="A41" t="s">
        <v>35</v>
      </c>
    </row>
    <row r="42" spans="1:7" x14ac:dyDescent="0.3">
      <c r="A42" t="s">
        <v>36</v>
      </c>
    </row>
    <row r="43" spans="1:7" x14ac:dyDescent="0.3">
      <c r="A43" t="s">
        <v>37</v>
      </c>
      <c r="B43">
        <v>50</v>
      </c>
    </row>
    <row r="44" spans="1:7" x14ac:dyDescent="0.3">
      <c r="A44" t="s">
        <v>38</v>
      </c>
    </row>
    <row r="45" spans="1:7" x14ac:dyDescent="0.3">
      <c r="A45" t="s">
        <v>39</v>
      </c>
    </row>
    <row r="46" spans="1:7" x14ac:dyDescent="0.3">
      <c r="A46" t="s">
        <v>40</v>
      </c>
    </row>
    <row r="47" spans="1:7" x14ac:dyDescent="0.3">
      <c r="A47" t="s">
        <v>41</v>
      </c>
    </row>
    <row r="48" spans="1:7" x14ac:dyDescent="0.3">
      <c r="A48" t="s">
        <v>42</v>
      </c>
    </row>
    <row r="49" spans="1:2" x14ac:dyDescent="0.3">
      <c r="A49" t="s">
        <v>43</v>
      </c>
      <c r="B49">
        <v>142</v>
      </c>
    </row>
    <row r="50" spans="1:2" x14ac:dyDescent="0.3">
      <c r="A50" t="s">
        <v>44</v>
      </c>
      <c r="B50">
        <v>100</v>
      </c>
    </row>
    <row r="51" spans="1:2" x14ac:dyDescent="0.3">
      <c r="A51" t="s">
        <v>45</v>
      </c>
      <c r="B51" s="1" t="s">
        <v>79</v>
      </c>
    </row>
    <row r="52" spans="1:2" x14ac:dyDescent="0.3">
      <c r="A52" t="s">
        <v>46</v>
      </c>
    </row>
    <row r="53" spans="1:2" x14ac:dyDescent="0.3">
      <c r="A53" t="s">
        <v>47</v>
      </c>
      <c r="B53">
        <v>27.2</v>
      </c>
    </row>
    <row r="54" spans="1:2" x14ac:dyDescent="0.3">
      <c r="A54" t="s">
        <v>48</v>
      </c>
    </row>
    <row r="55" spans="1:2" x14ac:dyDescent="0.3">
      <c r="A55" t="s">
        <v>49</v>
      </c>
      <c r="B55">
        <v>42</v>
      </c>
    </row>
    <row r="56" spans="1:2" x14ac:dyDescent="0.3">
      <c r="A56" t="s">
        <v>50</v>
      </c>
    </row>
    <row r="57" spans="1:2" x14ac:dyDescent="0.3">
      <c r="A57" t="s">
        <v>51</v>
      </c>
      <c r="B57">
        <v>160</v>
      </c>
    </row>
    <row r="58" spans="1:2" x14ac:dyDescent="0.3">
      <c r="A58" t="s">
        <v>52</v>
      </c>
      <c r="B58">
        <v>160</v>
      </c>
    </row>
    <row r="59" spans="1:2" x14ac:dyDescent="0.3">
      <c r="A59" t="s">
        <v>53</v>
      </c>
    </row>
    <row r="60" spans="1:2" x14ac:dyDescent="0.3">
      <c r="A60" t="s">
        <v>54</v>
      </c>
    </row>
    <row r="61" spans="1:2" x14ac:dyDescent="0.3">
      <c r="A61" t="s">
        <v>55</v>
      </c>
      <c r="B61" s="1" t="s">
        <v>103</v>
      </c>
    </row>
    <row r="62" spans="1:2" x14ac:dyDescent="0.3">
      <c r="A62" t="s">
        <v>56</v>
      </c>
    </row>
    <row r="63" spans="1:2" x14ac:dyDescent="0.3">
      <c r="A63" t="s">
        <v>57</v>
      </c>
    </row>
    <row r="64" spans="1:2" x14ac:dyDescent="0.3">
      <c r="A64" t="s">
        <v>58</v>
      </c>
      <c r="B64">
        <v>3</v>
      </c>
    </row>
    <row r="65" spans="1:2" x14ac:dyDescent="0.3">
      <c r="A65" t="s">
        <v>59</v>
      </c>
      <c r="B65">
        <v>1</v>
      </c>
    </row>
    <row r="66" spans="1:2" x14ac:dyDescent="0.3">
      <c r="A66" t="s">
        <v>60</v>
      </c>
      <c r="B66">
        <v>1</v>
      </c>
    </row>
    <row r="67" spans="1:2" x14ac:dyDescent="0.3">
      <c r="A67" t="s">
        <v>61</v>
      </c>
      <c r="B67">
        <v>3</v>
      </c>
    </row>
    <row r="68" spans="1:2" x14ac:dyDescent="0.3">
      <c r="A68" t="s">
        <v>62</v>
      </c>
      <c r="B68" s="1" t="s">
        <v>104</v>
      </c>
    </row>
    <row r="69" spans="1:2" x14ac:dyDescent="0.3">
      <c r="A69" t="s">
        <v>63</v>
      </c>
      <c r="B69" s="1" t="s">
        <v>104</v>
      </c>
    </row>
    <row r="70" spans="1:2" x14ac:dyDescent="0.3">
      <c r="A70" t="s">
        <v>64</v>
      </c>
      <c r="B70" s="1" t="s">
        <v>104</v>
      </c>
    </row>
    <row r="71" spans="1:2" x14ac:dyDescent="0.3">
      <c r="A71" t="s">
        <v>65</v>
      </c>
    </row>
    <row r="72" spans="1:2" x14ac:dyDescent="0.3">
      <c r="A72" t="s">
        <v>66</v>
      </c>
      <c r="B72">
        <v>1449</v>
      </c>
    </row>
    <row r="73" spans="1:2" x14ac:dyDescent="0.3">
      <c r="A73" t="s">
        <v>67</v>
      </c>
    </row>
    <row r="74" spans="1:2" x14ac:dyDescent="0.3">
      <c r="A74" t="s">
        <v>68</v>
      </c>
      <c r="B74" s="1" t="s">
        <v>74</v>
      </c>
    </row>
    <row r="75" spans="1:2" x14ac:dyDescent="0.3">
      <c r="A75" t="s">
        <v>110</v>
      </c>
      <c r="B75" t="s">
        <v>111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2025-07-26T16:23:50Z</dcterms:created>
  <dcterms:modified xsi:type="dcterms:W3CDTF">2025-10-18T18:38:34Z</dcterms:modified>
</cp:coreProperties>
</file>