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C19A7F4-8E81-6C4D-97D1-B669865EEB7B}" xr6:coauthVersionLast="47" xr6:coauthVersionMax="47" xr10:uidLastSave="{00000000-0000-0000-0000-000000000000}"/>
  <bookViews>
    <workbookView xWindow="36040" yWindow="-18120" windowWidth="2684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D33" i="1"/>
  <c r="E33" i="1"/>
  <c r="F33" i="1"/>
  <c r="D32" i="1"/>
  <c r="E32" i="1"/>
  <c r="F32" i="1"/>
  <c r="C32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D20" i="1"/>
  <c r="E20" i="1"/>
  <c r="F20" i="1"/>
  <c r="D21" i="1"/>
  <c r="E21" i="1"/>
  <c r="F21" i="1"/>
  <c r="D22" i="1"/>
  <c r="E22" i="1"/>
  <c r="F22" i="1"/>
  <c r="D23" i="1"/>
  <c r="E23" i="1"/>
  <c r="F23" i="1"/>
  <c r="D24" i="1"/>
  <c r="E24" i="1"/>
  <c r="F24" i="1"/>
  <c r="C20" i="1"/>
  <c r="C19" i="1"/>
  <c r="C17" i="1"/>
  <c r="C14" i="1"/>
  <c r="C12" i="1"/>
  <c r="C13" i="1"/>
  <c r="C15" i="1"/>
  <c r="C16" i="1"/>
  <c r="C18" i="1"/>
  <c r="C21" i="1"/>
  <c r="C22" i="1"/>
  <c r="C23" i="1"/>
  <c r="C24" i="1"/>
  <c r="C11" i="1"/>
  <c r="C10" i="1"/>
  <c r="C9" i="1"/>
  <c r="C8" i="1"/>
  <c r="D8" i="1"/>
  <c r="E8" i="1"/>
  <c r="F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8" i="1"/>
</calcChain>
</file>

<file path=xl/sharedStrings.xml><?xml version="1.0" encoding="utf-8"?>
<sst xmlns="http://schemas.openxmlformats.org/spreadsheetml/2006/main" count="183" uniqueCount="154">
  <si>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</si>
  <si>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</si>
  <si>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</si>
  <si>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</si>
  <si>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</si>
  <si>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</si>
  <si>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</si>
  <si>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</si>
  <si>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</si>
  <si>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</si>
  <si>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</si>
  <si>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</si>
  <si>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</si>
  <si>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</si>
  <si>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</si>
  <si>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</si>
  <si>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</si>
  <si>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</si>
  <si>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</si>
  <si>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</si>
  <si>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</si>
  <si>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</si>
  <si>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</si>
  <si>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</si>
  <si>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</si>
  <si>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</si>
  <si>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</si>
  <si>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</si>
  <si>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</si>
  <si>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</si>
  <si>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</si>
  <si>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</si>
  <si>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</si>
  <si>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</si>
  <si>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</si>
  <si>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</si>
  <si>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</si>
  <si>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</si>
  <si>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</si>
  <si>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</si>
  <si>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</si>
  <si>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</si>
  <si>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</si>
  <si>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</si>
  <si>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</si>
  <si>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</si>
  <si>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</si>
  <si>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</si>
  <si>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</si>
  <si>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</si>
  <si>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</si>
  <si>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</si>
  <si>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</si>
  <si>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</si>
  <si>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</si>
  <si>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</si>
  <si>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</si>
  <si>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</si>
  <si>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</si>
  <si>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</si>
  <si>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</si>
  <si>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</si>
  <si>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</si>
  <si>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</si>
  <si>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</si>
  <si>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</si>
  <si>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</si>
  <si>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</si>
  <si>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</si>
  <si>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</si>
  <si>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internal</t>
  </si>
  <si>
    <t>class</t>
  </si>
  <si>
    <t>gravel</t>
  </si>
  <si>
    <t>handlebar</t>
  </si>
  <si>
    <t>fork</t>
  </si>
  <si>
    <t>rigid</t>
  </si>
  <si>
    <t>USD</t>
  </si>
  <si>
    <t>threaded 68</t>
  </si>
  <si>
    <t>Evil</t>
  </si>
  <si>
    <t>https://www.evil-bikes.com/products/chamois-hagar</t>
  </si>
  <si>
    <t>Chamois Hagar</t>
  </si>
  <si>
    <t>GEOMETRY</t>
  </si>
  <si>
    <t>SMALL</t>
  </si>
  <si>
    <t>MEDIUM</t>
  </si>
  <si>
    <t>LARGE</t>
  </si>
  <si>
    <t>X-LARGE</t>
  </si>
  <si>
    <t>A - Head Angle</t>
  </si>
  <si>
    <t>B - Seat Tube Angle</t>
  </si>
  <si>
    <t>C - Virtual Top Tube Length</t>
  </si>
  <si>
    <t>586mm | 23.07"</t>
  </si>
  <si>
    <t>605mm | 23.80"</t>
  </si>
  <si>
    <t>624mm | 24.56"</t>
  </si>
  <si>
    <t>643mm | 25.33"</t>
  </si>
  <si>
    <t>D - Seat Tube Length</t>
  </si>
  <si>
    <t>450mm | 17.72"</t>
  </si>
  <si>
    <t>470mm | 18.50"</t>
  </si>
  <si>
    <t>490mm | 19.29"</t>
  </si>
  <si>
    <t>510mm | 20.08"</t>
  </si>
  <si>
    <t>E - Bottom Bracket Height</t>
  </si>
  <si>
    <t>278mm | 10.93"</t>
  </si>
  <si>
    <t>F - Bottom Bracket Drop</t>
  </si>
  <si>
    <t>80mm | 3.15"</t>
  </si>
  <si>
    <t>G - Head Tube Length</t>
  </si>
  <si>
    <t>140mm | 5.51"</t>
  </si>
  <si>
    <t>160mm | 6.30"</t>
  </si>
  <si>
    <t>180mm | 7.09"</t>
  </si>
  <si>
    <t>200mm | 7.87"</t>
  </si>
  <si>
    <t>H - Chain Stay Length</t>
  </si>
  <si>
    <t>430mm | 16.93"</t>
  </si>
  <si>
    <t>I - Wheel Base</t>
  </si>
  <si>
    <t>1098mm | 43.22"</t>
  </si>
  <si>
    <t>1126mm | 44.32"</t>
  </si>
  <si>
    <t>1154mm | 45.42"</t>
  </si>
  <si>
    <t>1182mm | 46.52</t>
  </si>
  <si>
    <t>J - Axle to Crown</t>
  </si>
  <si>
    <t>428mm | 16.84"</t>
  </si>
  <si>
    <t>K - Fork Offset</t>
  </si>
  <si>
    <t>57mm | 2.23"</t>
  </si>
  <si>
    <t>L - Trail</t>
  </si>
  <si>
    <t>93mm | 3.64"</t>
  </si>
  <si>
    <t>M - Front to Center</t>
  </si>
  <si>
    <t>680mm | 26.77"</t>
  </si>
  <si>
    <t>708mm | 27.86"</t>
  </si>
  <si>
    <t>736mm | 28.96"</t>
  </si>
  <si>
    <t>763mm | 30.05"</t>
  </si>
  <si>
    <t>N - Reach</t>
  </si>
  <si>
    <t>400mm | 15.75"</t>
  </si>
  <si>
    <t>420mm | 16.54"</t>
  </si>
  <si>
    <t>440mm | 17.32"</t>
  </si>
  <si>
    <t>460mm | 18.11"</t>
  </si>
  <si>
    <t>O - Stack</t>
  </si>
  <si>
    <t>575mm | 22.66"</t>
  </si>
  <si>
    <t>594mm | 23.38"</t>
  </si>
  <si>
    <t>612mm | 24.10"</t>
  </si>
  <si>
    <t>631mm | 24.83"</t>
  </si>
  <si>
    <t>P - Stand Over</t>
  </si>
  <si>
    <t>662mm | 26.08"</t>
  </si>
  <si>
    <t>671mm | 26.40"</t>
  </si>
  <si>
    <t>682mm | 26.85"</t>
  </si>
  <si>
    <t>696mm | 27.38"</t>
  </si>
  <si>
    <t>Q - Sizing</t>
  </si>
  <si>
    <t>5'0" - 5'6"</t>
  </si>
  <si>
    <t>5'6" - 5'10"</t>
  </si>
  <si>
    <t>5'10" - 6'2"</t>
  </si>
  <si>
    <t>6'2" +</t>
  </si>
  <si>
    <t>R - Road Sizing</t>
  </si>
  <si>
    <t>43-52cm</t>
  </si>
  <si>
    <t>53-56cm</t>
  </si>
  <si>
    <t>57-60cm</t>
  </si>
  <si>
    <t>61cm +</t>
  </si>
  <si>
    <t>bb_height</t>
  </si>
  <si>
    <t>both</t>
  </si>
  <si>
    <t>a8:f33</t>
  </si>
  <si>
    <t>https://www.evil-bikes.com/cdn/shop/files/420_Apex_Chamois_UDH_Profile_2.4k_Clear.png?v=1755794418&amp;width=1080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</si>
</sst>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4"/>
      <color rgb="FF000000"/>
      <name val="Futura"/>
    </font>
    <font>
      <sz val="14"/>
      <color rgb="FF000000"/>
      <name val="Futura"/>
      <family val="2"/>
    </font>
    <font>
      <sz val="15"/>
      <color rgb="FF202020"/>
      <name val="Avenir-next-pro"/>
    </font>
    <font>
      <sz val="14"/>
      <color rgb="FF000000"/>
      <name val="Futura Medium"/>
    </font>
    <font>
      <sz val="15"/>
      <color rgb="FF20202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tabSelected="1" workbookViewId="0">
      <selection activeCell="B6" sqref="B6"/>
    </sheetView>
  </sheetViews>
  <sheetFormatPr baseColWidth="10" defaultRowHeight="20"/>
  <cols>
    <col min="1" max="2" width="19.6640625" customWidth="1"/>
    <col min="3" max="7" width="12.44140625" customWidth="1"/>
  </cols>
  <sheetData>
    <row r="1" spans="1:12">
      <c r="A1" t="s">
        <v>0</v>
      </c>
      <c r="B1" s="1" t="s">
        <v>78</v>
      </c>
    </row>
    <row r="2" spans="1:12">
      <c r="A2" t="s">
        <v>1</v>
      </c>
      <c r="B2" s="1" t="s">
        <v>80</v>
      </c>
    </row>
    <row r="3" spans="1:12">
      <c r="A3" t="s">
        <v>2</v>
      </c>
      <c r="B3">
        <v>2025</v>
      </c>
    </row>
    <row r="4" spans="1:12">
      <c r="A4" t="s">
        <v>3</v>
      </c>
      <c r="B4" s="3">
        <v>45935</v>
      </c>
    </row>
    <row r="5" spans="1:12">
      <c r="A5" t="s">
        <v>4</v>
      </c>
      <c r="B5" t="s">
        <v>79</v>
      </c>
    </row>
    <row r="6" spans="1:12">
      <c r="B6" t="s">
        <v>153</v>
      </c>
    </row>
    <row r="7" spans="1:12">
      <c r="A7" t="s">
        <v>5</v>
      </c>
      <c r="B7" s="1" t="s">
        <v>152</v>
      </c>
    </row>
    <row r="8" spans="1:12">
      <c r="A8" t="s">
        <v>6</v>
      </c>
      <c r="B8" t="str">
        <f>H8</f>
        <v>GEOMETRY</v>
      </c>
      <c r="C8" s="4" t="str">
        <f t="shared" ref="C8:F10" si="0">I8</f>
        <v>SMALL</v>
      </c>
      <c r="D8" s="4" t="str">
        <f t="shared" si="0"/>
        <v>MEDIUM</v>
      </c>
      <c r="E8" s="4" t="str">
        <f t="shared" si="0"/>
        <v>LARGE</v>
      </c>
      <c r="F8" s="4" t="str">
        <f t="shared" si="0"/>
        <v>X-LARGE</v>
      </c>
      <c r="H8" t="s">
        <v>81</v>
      </c>
      <c r="I8" t="s">
        <v>82</v>
      </c>
      <c r="J8" t="s">
        <v>83</v>
      </c>
      <c r="K8" t="s">
        <v>84</v>
      </c>
      <c r="L8" t="s">
        <v>85</v>
      </c>
    </row>
    <row r="9" spans="1:12" ht="21">
      <c r="A9" t="s">
        <v>11</v>
      </c>
      <c r="B9" t="str">
        <f t="shared" ref="B9:B24" si="1">H9</f>
        <v>A - Head Angle</v>
      </c>
      <c r="C9" s="4">
        <f>I9</f>
        <v>66.599999999999994</v>
      </c>
      <c r="D9" s="4">
        <f t="shared" si="0"/>
        <v>66.599999999999994</v>
      </c>
      <c r="E9" s="4">
        <f t="shared" si="0"/>
        <v>66.599999999999994</v>
      </c>
      <c r="F9" s="4">
        <f t="shared" si="0"/>
        <v>66.599999999999994</v>
      </c>
      <c r="H9" s="2" t="s">
        <v>86</v>
      </c>
      <c r="I9" s="2">
        <v>66.599999999999994</v>
      </c>
      <c r="J9" s="2">
        <v>66.599999999999994</v>
      </c>
      <c r="K9">
        <v>66.599999999999994</v>
      </c>
      <c r="L9">
        <v>66.599999999999994</v>
      </c>
    </row>
    <row r="10" spans="1:12">
      <c r="A10" t="s">
        <v>8</v>
      </c>
      <c r="B10" t="str">
        <f t="shared" si="1"/>
        <v>B - Seat Tube Angle</v>
      </c>
      <c r="C10" s="4">
        <f>I10</f>
        <v>73</v>
      </c>
      <c r="D10" s="4">
        <f t="shared" si="0"/>
        <v>73.5</v>
      </c>
      <c r="E10" s="4">
        <f t="shared" si="0"/>
        <v>74</v>
      </c>
      <c r="F10" s="4">
        <f t="shared" si="0"/>
        <v>74.5</v>
      </c>
      <c r="H10" t="s">
        <v>87</v>
      </c>
      <c r="I10">
        <v>73</v>
      </c>
      <c r="J10">
        <v>73.5</v>
      </c>
      <c r="K10">
        <v>74</v>
      </c>
      <c r="L10">
        <v>74.5</v>
      </c>
    </row>
    <row r="11" spans="1:12" ht="21">
      <c r="A11" t="s">
        <v>9</v>
      </c>
      <c r="B11" t="str">
        <f t="shared" si="1"/>
        <v>C - Virtual Top Tube Length</v>
      </c>
      <c r="C11" s="5">
        <f>VALUE(LEFT(I11,3))</f>
        <v>586</v>
      </c>
      <c r="D11" s="5">
        <f t="shared" ref="D11:F13" si="2">VALUE(LEFT(J11,3))</f>
        <v>605</v>
      </c>
      <c r="E11" s="5">
        <f t="shared" si="2"/>
        <v>624</v>
      </c>
      <c r="F11" s="5">
        <f t="shared" si="2"/>
        <v>643</v>
      </c>
      <c r="H11" s="2" t="s">
        <v>88</v>
      </c>
      <c r="I11" s="2" t="s">
        <v>89</v>
      </c>
      <c r="J11" s="2" t="s">
        <v>90</v>
      </c>
      <c r="K11" t="s">
        <v>91</v>
      </c>
      <c r="L11" t="s">
        <v>92</v>
      </c>
    </row>
    <row r="12" spans="1:12" ht="21">
      <c r="A12" t="s">
        <v>7</v>
      </c>
      <c r="B12" t="str">
        <f t="shared" si="1"/>
        <v>D - Seat Tube Length</v>
      </c>
      <c r="C12" s="5">
        <f t="shared" ref="C12:C24" si="3">VALUE(LEFT(I12,3))</f>
        <v>450</v>
      </c>
      <c r="D12" s="5">
        <f t="shared" si="2"/>
        <v>470</v>
      </c>
      <c r="E12" s="5">
        <f t="shared" si="2"/>
        <v>490</v>
      </c>
      <c r="F12" s="5">
        <f t="shared" si="2"/>
        <v>510</v>
      </c>
      <c r="H12" t="s">
        <v>93</v>
      </c>
      <c r="I12" t="s">
        <v>94</v>
      </c>
      <c r="J12" t="s">
        <v>95</v>
      </c>
      <c r="K12" t="s">
        <v>96</v>
      </c>
      <c r="L12" t="s">
        <v>97</v>
      </c>
    </row>
    <row r="13" spans="1:12" ht="21">
      <c r="A13" s="1" t="s">
        <v>150</v>
      </c>
      <c r="B13" t="str">
        <f t="shared" si="1"/>
        <v>E - Bottom Bracket Height</v>
      </c>
      <c r="C13" s="5">
        <f t="shared" si="3"/>
        <v>278</v>
      </c>
      <c r="D13" s="5">
        <f t="shared" si="2"/>
        <v>278</v>
      </c>
      <c r="E13" s="5">
        <f t="shared" si="2"/>
        <v>278</v>
      </c>
      <c r="F13" s="5">
        <f t="shared" si="2"/>
        <v>278</v>
      </c>
      <c r="H13" t="s">
        <v>98</v>
      </c>
      <c r="I13" t="s">
        <v>99</v>
      </c>
      <c r="J13" t="s">
        <v>99</v>
      </c>
      <c r="K13" t="s">
        <v>99</v>
      </c>
      <c r="L13" t="s">
        <v>99</v>
      </c>
    </row>
    <row r="14" spans="1:12" ht="21">
      <c r="A14" t="s">
        <v>16</v>
      </c>
      <c r="B14" t="str">
        <f t="shared" si="1"/>
        <v>F - Bottom Bracket Drop</v>
      </c>
      <c r="C14" s="5">
        <f>VALUE(LEFT(I14,2))</f>
        <v>80</v>
      </c>
      <c r="D14" s="5">
        <f t="shared" ref="D14:F14" si="4">VALUE(LEFT(J14,2))</f>
        <v>80</v>
      </c>
      <c r="E14" s="5">
        <f t="shared" si="4"/>
        <v>80</v>
      </c>
      <c r="F14" s="5">
        <f t="shared" si="4"/>
        <v>80</v>
      </c>
      <c r="H14" t="s">
        <v>100</v>
      </c>
      <c r="I14" t="s">
        <v>101</v>
      </c>
      <c r="J14" t="s">
        <v>101</v>
      </c>
      <c r="K14" t="s">
        <v>101</v>
      </c>
      <c r="L14" t="s">
        <v>101</v>
      </c>
    </row>
    <row r="15" spans="1:12" ht="21">
      <c r="A15" t="s">
        <v>10</v>
      </c>
      <c r="B15" t="str">
        <f t="shared" si="1"/>
        <v>G - Head Tube Length</v>
      </c>
      <c r="C15" s="5">
        <f t="shared" si="3"/>
        <v>140</v>
      </c>
      <c r="D15" s="5">
        <f t="shared" ref="D15:D16" si="5">VALUE(LEFT(J15,3))</f>
        <v>160</v>
      </c>
      <c r="E15" s="5">
        <f t="shared" ref="E15:E16" si="6">VALUE(LEFT(K15,3))</f>
        <v>180</v>
      </c>
      <c r="F15" s="5">
        <f t="shared" ref="F15:F16" si="7">VALUE(LEFT(L15,3))</f>
        <v>200</v>
      </c>
      <c r="H15" t="s">
        <v>102</v>
      </c>
      <c r="I15" t="s">
        <v>103</v>
      </c>
      <c r="J15" t="s">
        <v>104</v>
      </c>
      <c r="K15" t="s">
        <v>105</v>
      </c>
      <c r="L15" t="s">
        <v>106</v>
      </c>
    </row>
    <row r="16" spans="1:12" ht="21">
      <c r="A16" t="s">
        <v>15</v>
      </c>
      <c r="B16" t="str">
        <f t="shared" si="1"/>
        <v>H - Chain Stay Length</v>
      </c>
      <c r="C16" s="5">
        <f t="shared" si="3"/>
        <v>430</v>
      </c>
      <c r="D16" s="5">
        <f t="shared" si="5"/>
        <v>430</v>
      </c>
      <c r="E16" s="5">
        <f t="shared" si="6"/>
        <v>430</v>
      </c>
      <c r="F16" s="5">
        <f t="shared" si="7"/>
        <v>430</v>
      </c>
      <c r="H16" t="s">
        <v>107</v>
      </c>
      <c r="I16" t="s">
        <v>108</v>
      </c>
      <c r="J16" t="s">
        <v>108</v>
      </c>
      <c r="K16" t="s">
        <v>108</v>
      </c>
      <c r="L16" t="s">
        <v>108</v>
      </c>
    </row>
    <row r="17" spans="1:12" ht="21">
      <c r="A17" t="s">
        <v>14</v>
      </c>
      <c r="B17" t="str">
        <f t="shared" si="1"/>
        <v>I - Wheel Base</v>
      </c>
      <c r="C17" s="5">
        <f>VALUE(LEFT(I17,4))</f>
        <v>1098</v>
      </c>
      <c r="D17" s="5">
        <f t="shared" ref="D17:F17" si="8">VALUE(LEFT(J17,4))</f>
        <v>1126</v>
      </c>
      <c r="E17" s="5">
        <f t="shared" si="8"/>
        <v>1154</v>
      </c>
      <c r="F17" s="5">
        <f t="shared" si="8"/>
        <v>1182</v>
      </c>
      <c r="H17" t="s">
        <v>109</v>
      </c>
      <c r="I17" t="s">
        <v>110</v>
      </c>
      <c r="J17" t="s">
        <v>111</v>
      </c>
      <c r="K17" t="s">
        <v>112</v>
      </c>
      <c r="L17" t="s">
        <v>113</v>
      </c>
    </row>
    <row r="18" spans="1:12" ht="21">
      <c r="A18" t="s">
        <v>24</v>
      </c>
      <c r="B18" t="str">
        <f t="shared" si="1"/>
        <v>J - Axle to Crown</v>
      </c>
      <c r="C18" s="5">
        <f t="shared" si="3"/>
        <v>428</v>
      </c>
      <c r="D18" s="5">
        <f t="shared" ref="D18" si="9">VALUE(LEFT(J18,3))</f>
        <v>428</v>
      </c>
      <c r="E18" s="5">
        <f t="shared" ref="E18" si="10">VALUE(LEFT(K18,3))</f>
        <v>428</v>
      </c>
      <c r="F18" s="5">
        <f t="shared" ref="F18" si="11">VALUE(LEFT(L18,3))</f>
        <v>428</v>
      </c>
      <c r="H18" t="s">
        <v>114</v>
      </c>
      <c r="I18" t="s">
        <v>115</v>
      </c>
      <c r="J18" t="s">
        <v>115</v>
      </c>
      <c r="K18" t="s">
        <v>115</v>
      </c>
      <c r="L18" t="s">
        <v>115</v>
      </c>
    </row>
    <row r="19" spans="1:12" ht="21">
      <c r="A19" t="s">
        <v>12</v>
      </c>
      <c r="B19" t="str">
        <f t="shared" si="1"/>
        <v>K - Fork Offset</v>
      </c>
      <c r="C19" s="5">
        <f>VALUE(LEFT(I19,2))</f>
        <v>57</v>
      </c>
      <c r="D19" s="5">
        <f t="shared" ref="D19:F20" si="12">VALUE(LEFT(J19,2))</f>
        <v>57</v>
      </c>
      <c r="E19" s="5">
        <f t="shared" si="12"/>
        <v>57</v>
      </c>
      <c r="F19" s="5">
        <f t="shared" si="12"/>
        <v>57</v>
      </c>
      <c r="H19" t="s">
        <v>116</v>
      </c>
      <c r="I19" t="s">
        <v>117</v>
      </c>
      <c r="J19" t="s">
        <v>117</v>
      </c>
      <c r="K19" t="s">
        <v>117</v>
      </c>
      <c r="L19" t="s">
        <v>117</v>
      </c>
    </row>
    <row r="20" spans="1:12" ht="21">
      <c r="A20" t="s">
        <v>13</v>
      </c>
      <c r="B20" t="str">
        <f t="shared" si="1"/>
        <v>L - Trail</v>
      </c>
      <c r="C20" s="5">
        <f>VALUE(LEFT(I20,2))</f>
        <v>93</v>
      </c>
      <c r="D20" s="5">
        <f t="shared" si="12"/>
        <v>93</v>
      </c>
      <c r="E20" s="5">
        <f t="shared" si="12"/>
        <v>93</v>
      </c>
      <c r="F20" s="5">
        <f t="shared" si="12"/>
        <v>93</v>
      </c>
      <c r="H20" t="s">
        <v>118</v>
      </c>
      <c r="I20" t="s">
        <v>119</v>
      </c>
      <c r="J20" t="s">
        <v>119</v>
      </c>
      <c r="K20" t="s">
        <v>119</v>
      </c>
      <c r="L20" t="s">
        <v>119</v>
      </c>
    </row>
    <row r="21" spans="1:12" ht="21">
      <c r="A21" s="1" t="s">
        <v>67</v>
      </c>
      <c r="B21" t="str">
        <f t="shared" si="1"/>
        <v>M - Front to Center</v>
      </c>
      <c r="C21" s="5">
        <f t="shared" si="3"/>
        <v>680</v>
      </c>
      <c r="D21" s="5">
        <f t="shared" ref="D21:D24" si="13">VALUE(LEFT(J21,3))</f>
        <v>708</v>
      </c>
      <c r="E21" s="5">
        <f t="shared" ref="E21:E24" si="14">VALUE(LEFT(K21,3))</f>
        <v>736</v>
      </c>
      <c r="F21" s="5">
        <f t="shared" ref="F21:F24" si="15">VALUE(LEFT(L21,3))</f>
        <v>763</v>
      </c>
      <c r="G21" s="1"/>
      <c r="H21" t="s">
        <v>120</v>
      </c>
      <c r="I21" t="s">
        <v>121</v>
      </c>
      <c r="J21" t="s">
        <v>122</v>
      </c>
      <c r="K21" t="s">
        <v>123</v>
      </c>
      <c r="L21" t="s">
        <v>124</v>
      </c>
    </row>
    <row r="22" spans="1:12" ht="21">
      <c r="A22" t="s">
        <v>18</v>
      </c>
      <c r="B22" t="str">
        <f t="shared" si="1"/>
        <v>N - Reach</v>
      </c>
      <c r="C22" s="5">
        <f t="shared" si="3"/>
        <v>400</v>
      </c>
      <c r="D22" s="5">
        <f t="shared" si="13"/>
        <v>420</v>
      </c>
      <c r="E22" s="5">
        <f t="shared" si="14"/>
        <v>440</v>
      </c>
      <c r="F22" s="5">
        <f t="shared" si="15"/>
        <v>460</v>
      </c>
      <c r="G22" s="1"/>
      <c r="H22" t="s">
        <v>125</v>
      </c>
      <c r="I22" t="s">
        <v>126</v>
      </c>
      <c r="J22" t="s">
        <v>127</v>
      </c>
      <c r="K22" t="s">
        <v>128</v>
      </c>
      <c r="L22" t="s">
        <v>129</v>
      </c>
    </row>
    <row r="23" spans="1:12" ht="21">
      <c r="A23" t="s">
        <v>17</v>
      </c>
      <c r="B23" t="str">
        <f t="shared" si="1"/>
        <v>O - Stack</v>
      </c>
      <c r="C23" s="5">
        <f t="shared" si="3"/>
        <v>575</v>
      </c>
      <c r="D23" s="5">
        <f t="shared" si="13"/>
        <v>594</v>
      </c>
      <c r="E23" s="5">
        <f t="shared" si="14"/>
        <v>612</v>
      </c>
      <c r="F23" s="5">
        <f t="shared" si="15"/>
        <v>631</v>
      </c>
      <c r="H23" t="s">
        <v>130</v>
      </c>
      <c r="I23" t="s">
        <v>131</v>
      </c>
      <c r="J23" t="s">
        <v>132</v>
      </c>
      <c r="K23" t="s">
        <v>133</v>
      </c>
      <c r="L23" t="s">
        <v>134</v>
      </c>
    </row>
    <row r="24" spans="1:12" ht="21">
      <c r="A24" t="s">
        <v>19</v>
      </c>
      <c r="B24" t="str">
        <f t="shared" si="1"/>
        <v>P - Stand Over</v>
      </c>
      <c r="C24" s="5">
        <f t="shared" si="3"/>
        <v>662</v>
      </c>
      <c r="D24" s="5">
        <f t="shared" si="13"/>
        <v>671</v>
      </c>
      <c r="E24" s="5">
        <f t="shared" si="14"/>
        <v>682</v>
      </c>
      <c r="F24" s="5">
        <f t="shared" si="15"/>
        <v>696</v>
      </c>
      <c r="H24" t="s">
        <v>135</v>
      </c>
      <c r="I24" t="s">
        <v>136</v>
      </c>
      <c r="J24" t="s">
        <v>137</v>
      </c>
      <c r="K24" t="s">
        <v>138</v>
      </c>
      <c r="L24" t="s">
        <v>139</v>
      </c>
    </row>
    <row r="25" spans="1:12" ht="21">
      <c r="A25" s="1" t="s">
        <v>69</v>
      </c>
      <c r="C25" s="5"/>
      <c r="D25" s="5"/>
      <c r="E25" s="5"/>
      <c r="F25" s="5"/>
    </row>
    <row r="26" spans="1:12" ht="21">
      <c r="A26" t="s">
        <v>20</v>
      </c>
      <c r="C26" s="2"/>
      <c r="H26" t="s">
        <v>140</v>
      </c>
      <c r="I26" t="s">
        <v>141</v>
      </c>
      <c r="J26" t="s">
        <v>142</v>
      </c>
      <c r="K26" t="s">
        <v>143</v>
      </c>
      <c r="L26" t="s">
        <v>144</v>
      </c>
    </row>
    <row r="27" spans="1:12" ht="21">
      <c r="A27" t="s">
        <v>21</v>
      </c>
      <c r="C27" s="2">
        <v>50</v>
      </c>
      <c r="H27" t="s">
        <v>145</v>
      </c>
      <c r="I27" t="s">
        <v>146</v>
      </c>
      <c r="J27" t="s">
        <v>147</v>
      </c>
      <c r="K27" t="s">
        <v>148</v>
      </c>
      <c r="L27" t="s">
        <v>149</v>
      </c>
    </row>
    <row r="28" spans="1:12">
      <c r="A28" t="s">
        <v>22</v>
      </c>
    </row>
    <row r="29" spans="1:12">
      <c r="A29" t="s">
        <v>23</v>
      </c>
      <c r="C29">
        <v>700</v>
      </c>
      <c r="D29">
        <v>700</v>
      </c>
      <c r="E29">
        <v>700</v>
      </c>
      <c r="F29">
        <v>700</v>
      </c>
    </row>
    <row r="30" spans="1:12">
      <c r="A30" t="s">
        <v>25</v>
      </c>
    </row>
    <row r="31" spans="1:12">
      <c r="A31" t="s">
        <v>26</v>
      </c>
      <c r="C31">
        <v>50</v>
      </c>
    </row>
    <row r="32" spans="1:12">
      <c r="A32" t="s">
        <v>27</v>
      </c>
      <c r="C32">
        <f>C34*2.54</f>
        <v>152.4</v>
      </c>
      <c r="D32">
        <f t="shared" ref="D32:F33" si="16">D34*2.54</f>
        <v>167.64000000000001</v>
      </c>
      <c r="E32">
        <f t="shared" si="16"/>
        <v>177.8</v>
      </c>
      <c r="F32">
        <f t="shared" si="16"/>
        <v>187.96</v>
      </c>
    </row>
    <row r="33" spans="1:6">
      <c r="A33" t="s">
        <v>28</v>
      </c>
      <c r="C33">
        <f>C35*2.54</f>
        <v>167.64000000000001</v>
      </c>
      <c r="D33">
        <f t="shared" si="16"/>
        <v>177.8</v>
      </c>
      <c r="E33">
        <f t="shared" si="16"/>
        <v>187.96</v>
      </c>
      <c r="F33">
        <f t="shared" si="16"/>
        <v>203.2</v>
      </c>
    </row>
    <row r="34" spans="1:6">
      <c r="C34">
        <v>60</v>
      </c>
      <c r="D34">
        <v>66</v>
      </c>
      <c r="E34">
        <v>70</v>
      </c>
      <c r="F34">
        <v>74</v>
      </c>
    </row>
    <row r="35" spans="1:6">
      <c r="A35" t="s">
        <v>29</v>
      </c>
      <c r="B35" t="s">
        <v>30</v>
      </c>
      <c r="C35">
        <v>66</v>
      </c>
      <c r="D35">
        <v>70</v>
      </c>
      <c r="E35">
        <v>74</v>
      </c>
      <c r="F35">
        <v>80</v>
      </c>
    </row>
    <row r="36" spans="1:6">
      <c r="A36" t="s">
        <v>71</v>
      </c>
      <c r="B36" t="s">
        <v>72</v>
      </c>
      <c r="C36" t="s">
        <v>141</v>
      </c>
      <c r="D36" t="s">
        <v>142</v>
      </c>
      <c r="E36" t="s">
        <v>143</v>
      </c>
      <c r="F36" t="s">
        <v>144</v>
      </c>
    </row>
    <row r="37" spans="1:6">
      <c r="A37" t="s">
        <v>73</v>
      </c>
      <c r="B37" s="1" t="s">
        <v>151</v>
      </c>
      <c r="C37" t="s">
        <v>146</v>
      </c>
      <c r="D37" t="s">
        <v>147</v>
      </c>
      <c r="E37" t="s">
        <v>148</v>
      </c>
      <c r="F37" t="s">
        <v>149</v>
      </c>
    </row>
    <row r="38" spans="1:6">
      <c r="A38" t="s">
        <v>74</v>
      </c>
      <c r="B38" t="s">
        <v>75</v>
      </c>
    </row>
    <row r="39" spans="1:6">
      <c r="A39" t="s">
        <v>31</v>
      </c>
      <c r="B39" t="s">
        <v>32</v>
      </c>
    </row>
    <row r="40" spans="1:6">
      <c r="A40" t="s">
        <v>33</v>
      </c>
      <c r="B40" s="1" t="s">
        <v>68</v>
      </c>
    </row>
    <row r="41" spans="1:6">
      <c r="A41" t="s">
        <v>34</v>
      </c>
    </row>
    <row r="42" spans="1:6">
      <c r="A42" t="s">
        <v>35</v>
      </c>
      <c r="B42">
        <v>50</v>
      </c>
    </row>
    <row r="43" spans="1:6">
      <c r="A43" t="s">
        <v>36</v>
      </c>
      <c r="B43" s="1"/>
    </row>
    <row r="44" spans="1:6">
      <c r="A44" t="s">
        <v>37</v>
      </c>
      <c r="B44" s="1"/>
    </row>
    <row r="45" spans="1:6">
      <c r="A45" t="s">
        <v>38</v>
      </c>
      <c r="B45" s="1"/>
    </row>
    <row r="46" spans="1:6">
      <c r="A46" t="s">
        <v>39</v>
      </c>
    </row>
    <row r="47" spans="1:6">
      <c r="A47" t="s">
        <v>40</v>
      </c>
    </row>
    <row r="48" spans="1:6">
      <c r="A48" t="s">
        <v>41</v>
      </c>
      <c r="B48">
        <v>142</v>
      </c>
    </row>
    <row r="49" spans="1:2">
      <c r="A49" t="s">
        <v>42</v>
      </c>
      <c r="B49">
        <v>100</v>
      </c>
    </row>
    <row r="50" spans="1:2">
      <c r="A50" t="s">
        <v>43</v>
      </c>
      <c r="B50" s="1" t="s">
        <v>77</v>
      </c>
    </row>
    <row r="51" spans="1:2">
      <c r="A51" t="s">
        <v>44</v>
      </c>
    </row>
    <row r="52" spans="1:2">
      <c r="A52" t="s">
        <v>45</v>
      </c>
      <c r="B52">
        <v>30.9</v>
      </c>
    </row>
    <row r="53" spans="1:2">
      <c r="A53" t="s">
        <v>46</v>
      </c>
      <c r="B53" s="1" t="s">
        <v>68</v>
      </c>
    </row>
    <row r="54" spans="1:2">
      <c r="A54" t="s">
        <v>47</v>
      </c>
      <c r="B54">
        <v>48</v>
      </c>
    </row>
    <row r="55" spans="1:2">
      <c r="A55" t="s">
        <v>48</v>
      </c>
      <c r="B55" s="1">
        <v>50</v>
      </c>
    </row>
    <row r="56" spans="1:2">
      <c r="A56" t="s">
        <v>49</v>
      </c>
      <c r="B56" s="1">
        <v>160</v>
      </c>
    </row>
    <row r="57" spans="1:2">
      <c r="A57" t="s">
        <v>50</v>
      </c>
      <c r="B57" s="1">
        <v>160</v>
      </c>
    </row>
    <row r="58" spans="1:2">
      <c r="A58" t="s">
        <v>51</v>
      </c>
    </row>
    <row r="59" spans="1:2">
      <c r="A59" s="1" t="s">
        <v>52</v>
      </c>
      <c r="B59" s="1" t="s">
        <v>70</v>
      </c>
    </row>
    <row r="60" spans="1:2">
      <c r="A60" t="s">
        <v>53</v>
      </c>
      <c r="B60" s="1" t="s">
        <v>70</v>
      </c>
    </row>
    <row r="61" spans="1:2">
      <c r="A61" t="s">
        <v>54</v>
      </c>
    </row>
    <row r="62" spans="1:2">
      <c r="A62" t="s">
        <v>55</v>
      </c>
      <c r="B62" s="1"/>
    </row>
    <row r="63" spans="1:2">
      <c r="A63" t="s">
        <v>56</v>
      </c>
      <c r="B63" s="1">
        <v>3</v>
      </c>
    </row>
    <row r="64" spans="1:2">
      <c r="A64" t="s">
        <v>57</v>
      </c>
      <c r="B64">
        <v>1</v>
      </c>
    </row>
    <row r="65" spans="1:2">
      <c r="A65" t="s">
        <v>58</v>
      </c>
      <c r="B65" s="1">
        <v>1</v>
      </c>
    </row>
    <row r="66" spans="1:2">
      <c r="A66" t="s">
        <v>59</v>
      </c>
      <c r="B66" s="1">
        <v>3</v>
      </c>
    </row>
    <row r="67" spans="1:2">
      <c r="A67" t="s">
        <v>60</v>
      </c>
      <c r="B67" s="1" t="s">
        <v>68</v>
      </c>
    </row>
    <row r="68" spans="1:2">
      <c r="A68" t="s">
        <v>61</v>
      </c>
      <c r="B68" s="1"/>
    </row>
    <row r="69" spans="1:2">
      <c r="A69" t="s">
        <v>62</v>
      </c>
      <c r="B69" s="1"/>
    </row>
    <row r="70" spans="1:2">
      <c r="A70" t="s">
        <v>63</v>
      </c>
    </row>
    <row r="71" spans="1:2">
      <c r="A71" t="s">
        <v>64</v>
      </c>
      <c r="B71">
        <v>4499</v>
      </c>
    </row>
    <row r="72" spans="1:2">
      <c r="A72" t="s">
        <v>65</v>
      </c>
      <c r="B72" s="1"/>
    </row>
    <row r="73" spans="1:2">
      <c r="A73" t="s">
        <v>66</v>
      </c>
      <c r="B73" s="1" t="s">
        <v>76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2025-10-14T13:46:15Z</dcterms:modified>
</cp:coreProperties>
</file>