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E92D87B-3F11-2F49-9364-BBD7C23CC91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E30" i="1"/>
  <c r="D29" i="1"/>
  <c r="E29" i="1"/>
  <c r="C29" i="1"/>
  <c r="E32" i="1"/>
  <c r="E31" i="1"/>
  <c r="D18" i="1"/>
  <c r="E18" i="1"/>
  <c r="C18" i="1"/>
  <c r="D32" i="1"/>
  <c r="D31" i="1"/>
  <c r="C32" i="1"/>
  <c r="C31" i="1"/>
</calcChain>
</file>

<file path=xl/sharedStrings.xml><?xml version="1.0" encoding="utf-8"?>
<sst xmlns="http://schemas.openxmlformats.org/spreadsheetml/2006/main" count="160" uniqueCount="119">
  <si>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</si>
  <si>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</si>
  <si>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</si>
  <si>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</si>
  <si>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</si>
  <si>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</si>
  <si>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</si>
  <si>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</si>
  <si>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</si>
  <si>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</si>
  <si>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</si>
  <si>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</si>
  <si>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</si>
  <si>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</si>
  <si>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</si>
  <si>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</si>
  <si>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</si>
  <si>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</si>
  <si>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</si>
  <si>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</si>
  <si>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</si>
  <si>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</si>
  <si>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</si>
  <si>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</si>
  <si>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</si>
  <si>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</si>
  <si>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</si>
  <si>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</si>
  <si>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</si>
  <si>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</si>
  <si>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</si>
  <si>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</si>
  <si>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</si>
  <si>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</si>
  <si>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</si>
  <si>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</si>
  <si>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</si>
  <si>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</si>
  <si>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</si>
  <si>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</si>
  <si>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</si>
  <si>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</si>
  <si>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</si>
  <si>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</si>
  <si>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</si>
  <si>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</si>
  <si>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</si>
  <si>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</si>
  <si>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</si>
  <si>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</si>
  <si>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</si>
  <si>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</si>
  <si>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</si>
  <si>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</si>
  <si>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</si>
  <si>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</si>
  <si>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</si>
  <si>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</si>
  <si>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</si>
  <si>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</si>
  <si>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</si>
  <si>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</si>
  <si>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</si>
  <si>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</si>
  <si>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</si>
  <si>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</si>
  <si>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</si>
  <si>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</si>
  <si>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</si>
  <si>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</si>
  <si>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front_center</t>
  </si>
  <si>
    <t>steel</t>
  </si>
  <si>
    <t>yes</t>
  </si>
  <si>
    <t>axle_crown</t>
  </si>
  <si>
    <t>Stooge</t>
  </si>
  <si>
    <t>Dirt Tracker</t>
  </si>
  <si>
    <t>Model</t>
  </si>
  <si>
    <t>MK7 16”</t>
  </si>
  <si>
    <t>MK7 18”</t>
  </si>
  <si>
    <t>MK7 20”</t>
  </si>
  <si>
    <t>Rambler 52cm</t>
  </si>
  <si>
    <t>Rambler 54cm</t>
  </si>
  <si>
    <t>Rambler 57cm</t>
  </si>
  <si>
    <t>Speed-bomb 2</t>
  </si>
  <si>
    <t>Effective top tube</t>
  </si>
  <si>
    <t>Seat tube</t>
  </si>
  <si>
    <t>Head tube</t>
  </si>
  <si>
    <t>Chainstay</t>
  </si>
  <si>
    <t>BB drop (+/-7mm)</t>
  </si>
  <si>
    <t>Fork a/c</t>
  </si>
  <si>
    <t>Fork offset</t>
  </si>
  <si>
    <t>Head angle</t>
  </si>
  <si>
    <t>Seat angle actual</t>
  </si>
  <si>
    <t>Seat angle virtual</t>
  </si>
  <si>
    <t>Reach</t>
  </si>
  <si>
    <t>Stack</t>
  </si>
  <si>
    <t>Axle/spacing</t>
  </si>
  <si>
    <t>148x12 110x15</t>
  </si>
  <si>
    <t>142x12 100x15</t>
  </si>
  <si>
    <t>Seatpost size (clamp)</t>
  </si>
  <si>
    <t>30.9 (33)</t>
  </si>
  <si>
    <t>31.6 (34.9)</t>
  </si>
  <si>
    <t>27.2 (29.8)</t>
  </si>
  <si>
    <t>BB standard (all threaded)</t>
  </si>
  <si>
    <t>73mm EBB</t>
  </si>
  <si>
    <t>Scrambler 18</t>
  </si>
  <si>
    <t>Scrambler 20</t>
  </si>
  <si>
    <t>frame size</t>
  </si>
  <si>
    <t>seat_angle_actual</t>
  </si>
  <si>
    <t>GBP</t>
  </si>
  <si>
    <t>threaded</t>
  </si>
  <si>
    <t>https://stoogecycles.co.uk/product/https-stoogecycles-co-uk-product-rambler/</t>
  </si>
  <si>
    <t>Rambler</t>
  </si>
  <si>
    <t>52cm</t>
  </si>
  <si>
    <t>54cm</t>
  </si>
  <si>
    <t>57cm</t>
  </si>
  <si>
    <t>drop bar</t>
  </si>
  <si>
    <t>a8:e32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</si>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</sst>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4" workbookViewId="0">
      <selection activeCell="B59" sqref="B59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74</v>
      </c>
    </row>
    <row r="2" spans="1:17" x14ac:dyDescent="0.3">
      <c r="A2" t="s">
        <v>1</v>
      </c>
      <c r="B2" s="1" t="s">
        <v>112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45924</v>
      </c>
    </row>
    <row r="5" spans="1:17" x14ac:dyDescent="0.3">
      <c r="A5" t="s">
        <v>4</v>
      </c>
      <c r="B5" t="s">
        <v>111</v>
      </c>
    </row>
    <row r="7" spans="1:17" x14ac:dyDescent="0.3">
      <c r="A7" t="s">
        <v>5</v>
      </c>
      <c r="B7" s="1" t="s">
        <v>117</v>
      </c>
    </row>
    <row r="8" spans="1:17" x14ac:dyDescent="0.3">
      <c r="A8" t="s">
        <v>6</v>
      </c>
      <c r="B8" s="1" t="s">
        <v>107</v>
      </c>
      <c r="C8" s="1" t="s">
        <v>113</v>
      </c>
      <c r="D8" s="1" t="s">
        <v>114</v>
      </c>
      <c r="E8" s="1" t="s">
        <v>115</v>
      </c>
      <c r="G8" t="s">
        <v>76</v>
      </c>
      <c r="H8" t="s">
        <v>75</v>
      </c>
      <c r="I8" t="s">
        <v>77</v>
      </c>
      <c r="J8" t="s">
        <v>78</v>
      </c>
      <c r="K8" t="s">
        <v>79</v>
      </c>
      <c r="L8" s="1" t="s">
        <v>105</v>
      </c>
      <c r="M8" s="1" t="s">
        <v>106</v>
      </c>
      <c r="N8" t="s">
        <v>80</v>
      </c>
      <c r="O8" t="s">
        <v>81</v>
      </c>
      <c r="P8" t="s">
        <v>82</v>
      </c>
      <c r="Q8" t="s">
        <v>83</v>
      </c>
    </row>
    <row r="9" spans="1:17" x14ac:dyDescent="0.3">
      <c r="A9" t="s">
        <v>16</v>
      </c>
      <c r="B9" t="s">
        <v>84</v>
      </c>
      <c r="C9">
        <v>560</v>
      </c>
      <c r="D9">
        <v>580</v>
      </c>
      <c r="E9" s="1">
        <v>610</v>
      </c>
      <c r="F9" s="1"/>
      <c r="G9" t="s">
        <v>84</v>
      </c>
      <c r="H9">
        <v>625</v>
      </c>
      <c r="I9">
        <v>610</v>
      </c>
      <c r="J9">
        <v>625</v>
      </c>
      <c r="K9">
        <v>645</v>
      </c>
      <c r="L9" s="1">
        <v>620</v>
      </c>
      <c r="M9" s="1">
        <v>640</v>
      </c>
      <c r="N9">
        <v>560</v>
      </c>
      <c r="O9">
        <v>580</v>
      </c>
      <c r="P9" s="1">
        <v>610</v>
      </c>
      <c r="Q9">
        <v>625</v>
      </c>
    </row>
    <row r="10" spans="1:17" x14ac:dyDescent="0.3">
      <c r="A10" t="s">
        <v>15</v>
      </c>
      <c r="B10" t="s">
        <v>85</v>
      </c>
      <c r="C10">
        <v>520</v>
      </c>
      <c r="D10">
        <v>540</v>
      </c>
      <c r="E10">
        <v>550</v>
      </c>
      <c r="F10" s="1"/>
      <c r="G10" t="s">
        <v>85</v>
      </c>
      <c r="H10">
        <v>457</v>
      </c>
      <c r="I10">
        <v>406</v>
      </c>
      <c r="J10">
        <v>457</v>
      </c>
      <c r="K10">
        <v>508</v>
      </c>
      <c r="L10" s="1">
        <v>457</v>
      </c>
      <c r="M10" s="1">
        <v>483</v>
      </c>
      <c r="N10">
        <v>520</v>
      </c>
      <c r="O10">
        <v>540</v>
      </c>
      <c r="P10">
        <v>550</v>
      </c>
      <c r="Q10">
        <v>457</v>
      </c>
    </row>
    <row r="11" spans="1:17" x14ac:dyDescent="0.3">
      <c r="A11" t="s">
        <v>14</v>
      </c>
      <c r="B11" t="s">
        <v>86</v>
      </c>
      <c r="C11">
        <v>155</v>
      </c>
      <c r="D11">
        <v>175</v>
      </c>
      <c r="E11" s="1">
        <v>200</v>
      </c>
      <c r="F11" s="1"/>
      <c r="G11" t="s">
        <v>86</v>
      </c>
      <c r="H11">
        <v>140</v>
      </c>
      <c r="I11">
        <v>150</v>
      </c>
      <c r="J11">
        <v>157</v>
      </c>
      <c r="K11">
        <v>165</v>
      </c>
      <c r="L11" s="1">
        <v>160</v>
      </c>
      <c r="M11" s="1">
        <v>170</v>
      </c>
      <c r="N11">
        <v>155</v>
      </c>
      <c r="O11">
        <v>175</v>
      </c>
      <c r="P11" s="1">
        <v>200</v>
      </c>
      <c r="Q11">
        <v>140</v>
      </c>
    </row>
    <row r="12" spans="1:17" x14ac:dyDescent="0.3">
      <c r="A12" s="1" t="s">
        <v>12</v>
      </c>
      <c r="B12" t="s">
        <v>87</v>
      </c>
      <c r="C12">
        <v>435</v>
      </c>
      <c r="D12">
        <v>435</v>
      </c>
      <c r="E12">
        <v>435</v>
      </c>
      <c r="F12" s="1"/>
      <c r="G12" t="s">
        <v>87</v>
      </c>
      <c r="H12">
        <v>450</v>
      </c>
      <c r="I12">
        <v>445</v>
      </c>
      <c r="J12">
        <v>445</v>
      </c>
      <c r="K12">
        <v>445</v>
      </c>
      <c r="L12" s="1">
        <v>445</v>
      </c>
      <c r="M12" s="1">
        <v>445</v>
      </c>
      <c r="N12">
        <v>435</v>
      </c>
      <c r="O12">
        <v>435</v>
      </c>
      <c r="P12">
        <v>435</v>
      </c>
      <c r="Q12">
        <v>450</v>
      </c>
    </row>
    <row r="13" spans="1:17" x14ac:dyDescent="0.3">
      <c r="A13" t="s">
        <v>10</v>
      </c>
      <c r="B13" t="s">
        <v>88</v>
      </c>
      <c r="C13">
        <v>70</v>
      </c>
      <c r="D13">
        <v>70</v>
      </c>
      <c r="E13" s="1">
        <v>70</v>
      </c>
      <c r="F13" s="1"/>
      <c r="G13" t="s">
        <v>88</v>
      </c>
      <c r="H13">
        <v>75</v>
      </c>
      <c r="I13">
        <v>60</v>
      </c>
      <c r="J13">
        <v>60</v>
      </c>
      <c r="K13">
        <v>60</v>
      </c>
      <c r="L13" s="1">
        <v>65</v>
      </c>
      <c r="M13" s="1">
        <v>65</v>
      </c>
      <c r="N13">
        <v>70</v>
      </c>
      <c r="O13">
        <v>70</v>
      </c>
      <c r="P13" s="1">
        <v>70</v>
      </c>
      <c r="Q13">
        <v>75</v>
      </c>
    </row>
    <row r="14" spans="1:17" x14ac:dyDescent="0.3">
      <c r="A14" s="1" t="s">
        <v>73</v>
      </c>
      <c r="B14" s="1" t="s">
        <v>89</v>
      </c>
      <c r="C14">
        <v>400</v>
      </c>
      <c r="D14">
        <v>400</v>
      </c>
      <c r="E14">
        <v>400</v>
      </c>
      <c r="F14" s="1"/>
      <c r="G14" s="1" t="s">
        <v>89</v>
      </c>
      <c r="H14" s="1">
        <v>455</v>
      </c>
      <c r="I14" s="1">
        <v>455</v>
      </c>
      <c r="J14" s="1">
        <v>455</v>
      </c>
      <c r="K14">
        <v>455</v>
      </c>
      <c r="L14" s="1">
        <v>455</v>
      </c>
      <c r="M14" s="1">
        <v>455</v>
      </c>
      <c r="N14">
        <v>400</v>
      </c>
      <c r="O14">
        <v>400</v>
      </c>
      <c r="P14">
        <v>400</v>
      </c>
      <c r="Q14">
        <v>455</v>
      </c>
    </row>
    <row r="15" spans="1:17" x14ac:dyDescent="0.3">
      <c r="A15" t="s">
        <v>17</v>
      </c>
      <c r="B15" t="s">
        <v>90</v>
      </c>
      <c r="C15">
        <v>55</v>
      </c>
      <c r="D15">
        <v>55</v>
      </c>
      <c r="E15" s="1">
        <v>55</v>
      </c>
      <c r="G15" t="s">
        <v>90</v>
      </c>
      <c r="H15">
        <v>65</v>
      </c>
      <c r="I15">
        <v>65</v>
      </c>
      <c r="J15">
        <v>65</v>
      </c>
      <c r="K15">
        <v>65</v>
      </c>
      <c r="L15" s="1">
        <v>57</v>
      </c>
      <c r="M15" s="1">
        <v>57</v>
      </c>
      <c r="N15">
        <v>55</v>
      </c>
      <c r="O15">
        <v>55</v>
      </c>
      <c r="P15" s="1">
        <v>55</v>
      </c>
      <c r="Q15">
        <v>65</v>
      </c>
    </row>
    <row r="16" spans="1:17" x14ac:dyDescent="0.3">
      <c r="A16" t="s">
        <v>9</v>
      </c>
      <c r="B16" t="s">
        <v>91</v>
      </c>
      <c r="C16">
        <v>69</v>
      </c>
      <c r="D16">
        <v>69</v>
      </c>
      <c r="E16">
        <v>69</v>
      </c>
      <c r="F16" s="1"/>
      <c r="G16" t="s">
        <v>91</v>
      </c>
      <c r="H16">
        <v>66</v>
      </c>
      <c r="I16">
        <v>66</v>
      </c>
      <c r="J16">
        <v>66</v>
      </c>
      <c r="K16">
        <v>66</v>
      </c>
      <c r="L16" s="1">
        <v>67</v>
      </c>
      <c r="M16" s="1">
        <v>67</v>
      </c>
      <c r="N16">
        <v>69</v>
      </c>
      <c r="O16">
        <v>69</v>
      </c>
      <c r="P16">
        <v>69</v>
      </c>
      <c r="Q16">
        <v>66</v>
      </c>
    </row>
    <row r="17" spans="1:17" x14ac:dyDescent="0.3">
      <c r="A17" s="1" t="s">
        <v>108</v>
      </c>
      <c r="B17" t="s">
        <v>92</v>
      </c>
      <c r="C17" s="1">
        <v>73</v>
      </c>
      <c r="D17">
        <v>73</v>
      </c>
      <c r="E17" s="1">
        <v>73</v>
      </c>
      <c r="F17" s="1"/>
      <c r="G17" t="s">
        <v>92</v>
      </c>
      <c r="H17">
        <v>73</v>
      </c>
      <c r="I17">
        <v>74</v>
      </c>
      <c r="J17">
        <v>74</v>
      </c>
      <c r="K17">
        <v>74</v>
      </c>
      <c r="L17" s="1">
        <v>72</v>
      </c>
      <c r="M17" s="1">
        <v>72</v>
      </c>
      <c r="N17" s="1">
        <v>73</v>
      </c>
      <c r="O17">
        <v>73</v>
      </c>
      <c r="P17" s="1">
        <v>73</v>
      </c>
      <c r="Q17">
        <v>73</v>
      </c>
    </row>
    <row r="18" spans="1:17" x14ac:dyDescent="0.3">
      <c r="A18" t="s">
        <v>13</v>
      </c>
      <c r="B18" t="s">
        <v>93</v>
      </c>
      <c r="C18" s="1">
        <f>C17</f>
        <v>73</v>
      </c>
      <c r="D18" s="1">
        <f t="shared" ref="D18:E18" si="0">D17</f>
        <v>73</v>
      </c>
      <c r="E18" s="1">
        <f t="shared" si="0"/>
        <v>73</v>
      </c>
      <c r="F18" s="1"/>
      <c r="G18" t="s">
        <v>93</v>
      </c>
      <c r="H18">
        <v>74.5</v>
      </c>
      <c r="L18" s="1">
        <v>73.5</v>
      </c>
      <c r="M18" s="1">
        <v>73.5</v>
      </c>
      <c r="N18" s="1"/>
      <c r="P18" s="1"/>
      <c r="Q18">
        <v>74.5</v>
      </c>
    </row>
    <row r="19" spans="1:17" x14ac:dyDescent="0.3">
      <c r="A19" t="s">
        <v>7</v>
      </c>
      <c r="B19" t="s">
        <v>94</v>
      </c>
      <c r="C19">
        <v>383.4</v>
      </c>
      <c r="D19">
        <v>397.7</v>
      </c>
      <c r="E19">
        <v>420.6</v>
      </c>
      <c r="F19" s="1"/>
      <c r="G19" t="s">
        <v>94</v>
      </c>
      <c r="H19">
        <v>459.6</v>
      </c>
      <c r="I19">
        <v>439.5</v>
      </c>
      <c r="J19">
        <v>452.6</v>
      </c>
      <c r="K19">
        <v>470.6</v>
      </c>
      <c r="L19" s="1">
        <v>434</v>
      </c>
      <c r="M19" s="1">
        <v>451</v>
      </c>
      <c r="N19">
        <v>383.4</v>
      </c>
      <c r="O19">
        <v>397.7</v>
      </c>
      <c r="P19">
        <v>420.6</v>
      </c>
      <c r="Q19">
        <v>459.6</v>
      </c>
    </row>
    <row r="20" spans="1:17" x14ac:dyDescent="0.3">
      <c r="A20" t="s">
        <v>8</v>
      </c>
      <c r="B20" t="s">
        <v>95</v>
      </c>
      <c r="C20">
        <v>577.5</v>
      </c>
      <c r="D20">
        <v>596</v>
      </c>
      <c r="E20" s="1">
        <v>620</v>
      </c>
      <c r="F20" s="1"/>
      <c r="G20" t="s">
        <v>95</v>
      </c>
      <c r="H20">
        <v>604.5</v>
      </c>
      <c r="I20">
        <v>594.5</v>
      </c>
      <c r="J20">
        <v>601.29999999999995</v>
      </c>
      <c r="K20">
        <v>608.20000000000005</v>
      </c>
      <c r="L20" s="1">
        <v>617.79999999999995</v>
      </c>
      <c r="M20" s="1">
        <v>627</v>
      </c>
      <c r="N20">
        <v>577.5</v>
      </c>
      <c r="O20">
        <v>596</v>
      </c>
      <c r="P20" s="1">
        <v>620</v>
      </c>
      <c r="Q20">
        <v>604.5</v>
      </c>
    </row>
    <row r="21" spans="1:17" x14ac:dyDescent="0.3">
      <c r="A21" t="s">
        <v>11</v>
      </c>
      <c r="F21" s="1"/>
      <c r="G21" t="s">
        <v>96</v>
      </c>
      <c r="H21" t="s">
        <v>97</v>
      </c>
      <c r="I21" t="s">
        <v>97</v>
      </c>
      <c r="J21" t="s">
        <v>97</v>
      </c>
      <c r="K21" t="s">
        <v>97</v>
      </c>
      <c r="L21" s="1" t="s">
        <v>97</v>
      </c>
      <c r="M21" s="1" t="s">
        <v>97</v>
      </c>
      <c r="N21" s="4" t="s">
        <v>98</v>
      </c>
      <c r="O21" t="s">
        <v>98</v>
      </c>
      <c r="P21" s="1" t="s">
        <v>98</v>
      </c>
      <c r="Q21" t="s">
        <v>97</v>
      </c>
    </row>
    <row r="22" spans="1:17" x14ac:dyDescent="0.3">
      <c r="A22" s="1" t="s">
        <v>70</v>
      </c>
      <c r="B22" s="1"/>
      <c r="C22" s="1"/>
      <c r="F22" s="1"/>
      <c r="G22" s="1" t="s">
        <v>99</v>
      </c>
      <c r="H22" s="1" t="s">
        <v>100</v>
      </c>
      <c r="I22" s="1" t="s">
        <v>101</v>
      </c>
      <c r="J22" t="s">
        <v>101</v>
      </c>
      <c r="K22" s="1" t="s">
        <v>101</v>
      </c>
      <c r="L22" s="1" t="s">
        <v>101</v>
      </c>
      <c r="M22" s="1" t="s">
        <v>101</v>
      </c>
      <c r="N22" t="s">
        <v>102</v>
      </c>
      <c r="O22" t="s">
        <v>102</v>
      </c>
      <c r="P22" t="s">
        <v>102</v>
      </c>
      <c r="Q22" t="s">
        <v>100</v>
      </c>
    </row>
    <row r="23" spans="1:17" x14ac:dyDescent="0.3">
      <c r="A23" t="s">
        <v>18</v>
      </c>
      <c r="G23" t="s">
        <v>103</v>
      </c>
      <c r="H23" t="s">
        <v>104</v>
      </c>
      <c r="I23" t="s">
        <v>104</v>
      </c>
      <c r="J23" t="s">
        <v>104</v>
      </c>
      <c r="K23" s="1" t="s">
        <v>104</v>
      </c>
      <c r="L23" s="1" t="s">
        <v>104</v>
      </c>
      <c r="M23" s="1" t="s">
        <v>104</v>
      </c>
      <c r="N23" t="s">
        <v>104</v>
      </c>
      <c r="O23" t="s">
        <v>104</v>
      </c>
      <c r="P23" s="1" t="s">
        <v>104</v>
      </c>
      <c r="Q23" t="s">
        <v>104</v>
      </c>
    </row>
    <row r="24" spans="1:17" x14ac:dyDescent="0.3">
      <c r="A24" t="s">
        <v>19</v>
      </c>
      <c r="K24" s="1"/>
      <c r="L24" s="1"/>
      <c r="M24" s="1"/>
      <c r="P24" s="1"/>
    </row>
    <row r="25" spans="1:17" x14ac:dyDescent="0.3">
      <c r="A25" t="s">
        <v>20</v>
      </c>
      <c r="F25" s="1"/>
      <c r="M25" s="1"/>
    </row>
    <row r="26" spans="1:17" x14ac:dyDescent="0.3">
      <c r="A26" t="s">
        <v>21</v>
      </c>
      <c r="F26" s="1"/>
      <c r="M26" s="1"/>
      <c r="P26" s="1"/>
    </row>
    <row r="27" spans="1:17" x14ac:dyDescent="0.3">
      <c r="A27" t="s">
        <v>22</v>
      </c>
      <c r="D27" s="3"/>
      <c r="E27" s="3"/>
      <c r="F27" s="1"/>
    </row>
    <row r="28" spans="1:17" x14ac:dyDescent="0.3">
      <c r="A28" t="s">
        <v>23</v>
      </c>
      <c r="B28" t="s">
        <v>23</v>
      </c>
      <c r="C28">
        <v>650</v>
      </c>
      <c r="D28">
        <v>650</v>
      </c>
      <c r="E28">
        <v>650</v>
      </c>
      <c r="M28" s="5"/>
      <c r="N28" s="5"/>
      <c r="P28" s="1"/>
    </row>
    <row r="29" spans="1:17" x14ac:dyDescent="0.3">
      <c r="A29" t="s">
        <v>24</v>
      </c>
      <c r="B29" t="s">
        <v>24</v>
      </c>
      <c r="C29">
        <f>2.6*25.4</f>
        <v>66.039999999999992</v>
      </c>
      <c r="D29">
        <f t="shared" ref="D29:E30" si="1">2.6*25.4</f>
        <v>66.039999999999992</v>
      </c>
      <c r="E29">
        <f t="shared" si="1"/>
        <v>66.039999999999992</v>
      </c>
      <c r="M29" s="5"/>
      <c r="N29" s="5"/>
      <c r="P29" s="1"/>
    </row>
    <row r="30" spans="1:17" x14ac:dyDescent="0.3">
      <c r="A30" t="s">
        <v>25</v>
      </c>
      <c r="B30" t="s">
        <v>25</v>
      </c>
      <c r="C30">
        <f>2.6*25.4</f>
        <v>66.039999999999992</v>
      </c>
      <c r="D30">
        <f t="shared" si="1"/>
        <v>66.039999999999992</v>
      </c>
      <c r="E30">
        <f t="shared" si="1"/>
        <v>66.039999999999992</v>
      </c>
      <c r="M30" s="1"/>
    </row>
    <row r="31" spans="1:17" x14ac:dyDescent="0.3">
      <c r="A31" t="s">
        <v>26</v>
      </c>
      <c r="C31">
        <f t="shared" ref="C31:E32" si="2">C33*2.54</f>
        <v>167.64000000000001</v>
      </c>
      <c r="D31">
        <f t="shared" si="2"/>
        <v>175.26</v>
      </c>
      <c r="E31">
        <f t="shared" si="2"/>
        <v>182.88</v>
      </c>
      <c r="F31" s="1"/>
      <c r="G31" s="1"/>
      <c r="H31" s="1"/>
      <c r="I31" s="1"/>
      <c r="M31" s="1"/>
      <c r="P31" s="6"/>
    </row>
    <row r="32" spans="1:17" x14ac:dyDescent="0.3">
      <c r="A32" t="s">
        <v>27</v>
      </c>
      <c r="C32">
        <f t="shared" si="2"/>
        <v>177.8</v>
      </c>
      <c r="D32">
        <f t="shared" si="2"/>
        <v>185.42000000000002</v>
      </c>
      <c r="E32">
        <f t="shared" si="2"/>
        <v>193.04</v>
      </c>
      <c r="F32" s="1"/>
      <c r="G32" s="1"/>
      <c r="H32" s="1"/>
      <c r="I32" s="1"/>
      <c r="M32" s="1"/>
      <c r="P32" s="6"/>
    </row>
    <row r="33" spans="1:13" x14ac:dyDescent="0.3">
      <c r="C33">
        <v>66</v>
      </c>
      <c r="D33">
        <v>69</v>
      </c>
      <c r="E33">
        <v>72</v>
      </c>
      <c r="F33" s="1"/>
      <c r="G33" s="1"/>
      <c r="H33" s="1"/>
      <c r="I33" s="1"/>
      <c r="J33" s="1"/>
      <c r="M33" s="1"/>
    </row>
    <row r="34" spans="1:13" x14ac:dyDescent="0.3">
      <c r="A34" t="s">
        <v>28</v>
      </c>
      <c r="B34" t="s">
        <v>29</v>
      </c>
      <c r="C34">
        <v>70</v>
      </c>
      <c r="D34">
        <v>73</v>
      </c>
      <c r="E34">
        <v>76</v>
      </c>
      <c r="F34" s="1"/>
      <c r="M34" s="1"/>
    </row>
    <row r="35" spans="1:13" x14ac:dyDescent="0.3">
      <c r="A35" t="s">
        <v>65</v>
      </c>
      <c r="B35" t="s">
        <v>66</v>
      </c>
      <c r="F35" s="1"/>
    </row>
    <row r="36" spans="1:13" x14ac:dyDescent="0.3">
      <c r="A36" t="s">
        <v>67</v>
      </c>
      <c r="B36" s="1" t="s">
        <v>116</v>
      </c>
      <c r="F36" s="1"/>
      <c r="G36" s="1"/>
      <c r="H36" s="1"/>
      <c r="I36" s="1"/>
      <c r="J36" s="1"/>
      <c r="M36" s="1"/>
    </row>
    <row r="37" spans="1:13" x14ac:dyDescent="0.3">
      <c r="A37" t="s">
        <v>68</v>
      </c>
      <c r="B37" t="s">
        <v>69</v>
      </c>
      <c r="F37" s="1"/>
      <c r="M37" s="1"/>
    </row>
    <row r="38" spans="1:13" x14ac:dyDescent="0.3">
      <c r="A38" t="s">
        <v>30</v>
      </c>
      <c r="B38" s="1" t="s">
        <v>71</v>
      </c>
      <c r="F38" s="1"/>
      <c r="M38" s="1"/>
    </row>
    <row r="39" spans="1:13" x14ac:dyDescent="0.3">
      <c r="A39" t="s">
        <v>31</v>
      </c>
      <c r="F39" s="1"/>
      <c r="M39" s="1"/>
    </row>
    <row r="40" spans="1:13" x14ac:dyDescent="0.3">
      <c r="A40" t="s">
        <v>32</v>
      </c>
      <c r="F40" s="1"/>
      <c r="M40" s="1"/>
    </row>
    <row r="41" spans="1:13" x14ac:dyDescent="0.3">
      <c r="A41" t="s">
        <v>33</v>
      </c>
      <c r="F41" s="1"/>
      <c r="M41" s="1"/>
    </row>
    <row r="42" spans="1:13" x14ac:dyDescent="0.3">
      <c r="A42" t="s">
        <v>34</v>
      </c>
      <c r="B42">
        <v>2.6</v>
      </c>
      <c r="F42" s="1"/>
      <c r="M42" s="1"/>
    </row>
    <row r="43" spans="1:13" x14ac:dyDescent="0.3">
      <c r="A43" t="s">
        <v>35</v>
      </c>
      <c r="F43" s="1"/>
      <c r="G43" s="3"/>
      <c r="H43" s="3"/>
      <c r="I43" s="3"/>
      <c r="J43" s="3"/>
    </row>
    <row r="44" spans="1:13" x14ac:dyDescent="0.3">
      <c r="A44" t="s">
        <v>36</v>
      </c>
    </row>
    <row r="45" spans="1:13" x14ac:dyDescent="0.3">
      <c r="A45" t="s">
        <v>37</v>
      </c>
      <c r="F45" s="1"/>
    </row>
    <row r="46" spans="1:13" x14ac:dyDescent="0.3">
      <c r="A46" t="s">
        <v>38</v>
      </c>
    </row>
    <row r="47" spans="1:13" x14ac:dyDescent="0.3">
      <c r="A47" t="s">
        <v>39</v>
      </c>
      <c r="B47">
        <v>142</v>
      </c>
    </row>
    <row r="48" spans="1:13" x14ac:dyDescent="0.3">
      <c r="A48" t="s">
        <v>40</v>
      </c>
      <c r="B48">
        <v>100</v>
      </c>
    </row>
    <row r="49" spans="1:2" x14ac:dyDescent="0.3">
      <c r="A49" t="s">
        <v>41</v>
      </c>
      <c r="B49" s="1" t="s">
        <v>110</v>
      </c>
    </row>
    <row r="50" spans="1:2" x14ac:dyDescent="0.3">
      <c r="A50" t="s">
        <v>42</v>
      </c>
    </row>
    <row r="51" spans="1:2" x14ac:dyDescent="0.3">
      <c r="A51" t="s">
        <v>43</v>
      </c>
      <c r="B51">
        <v>27.2</v>
      </c>
    </row>
    <row r="52" spans="1:2" x14ac:dyDescent="0.3">
      <c r="A52" t="s">
        <v>44</v>
      </c>
      <c r="B52" s="1"/>
    </row>
    <row r="53" spans="1:2" x14ac:dyDescent="0.3">
      <c r="A53" t="s">
        <v>45</v>
      </c>
    </row>
    <row r="54" spans="1:2" x14ac:dyDescent="0.3">
      <c r="A54" t="s">
        <v>46</v>
      </c>
    </row>
    <row r="55" spans="1:2" x14ac:dyDescent="0.3">
      <c r="A55" t="s">
        <v>47</v>
      </c>
    </row>
    <row r="56" spans="1:2" x14ac:dyDescent="0.3">
      <c r="A56" t="s">
        <v>48</v>
      </c>
    </row>
    <row r="57" spans="1:2" x14ac:dyDescent="0.3">
      <c r="A57" t="s">
        <v>49</v>
      </c>
    </row>
    <row r="58" spans="1:2" x14ac:dyDescent="0.3">
      <c r="A58" t="s">
        <v>50</v>
      </c>
      <c r="B58" s="1"/>
    </row>
    <row r="59" spans="1:2" x14ac:dyDescent="0.3">
      <c r="A59" t="s">
        <v>51</v>
      </c>
      <c r="B59" s="1" t="s">
        <v>118</v>
      </c>
    </row>
    <row r="60" spans="1:2" x14ac:dyDescent="0.3">
      <c r="A60" t="s">
        <v>52</v>
      </c>
    </row>
    <row r="61" spans="1:2" x14ac:dyDescent="0.3">
      <c r="A61" t="s">
        <v>53</v>
      </c>
    </row>
    <row r="62" spans="1:2" x14ac:dyDescent="0.3">
      <c r="A62" t="s">
        <v>54</v>
      </c>
      <c r="B62">
        <v>2</v>
      </c>
    </row>
    <row r="63" spans="1:2" x14ac:dyDescent="0.3">
      <c r="A63" t="s">
        <v>55</v>
      </c>
      <c r="B63">
        <v>1</v>
      </c>
    </row>
    <row r="64" spans="1:2" x14ac:dyDescent="0.3">
      <c r="A64" t="s">
        <v>56</v>
      </c>
    </row>
    <row r="65" spans="1:2" x14ac:dyDescent="0.3">
      <c r="A65" t="s">
        <v>57</v>
      </c>
      <c r="B65">
        <v>3</v>
      </c>
    </row>
    <row r="66" spans="1:2" x14ac:dyDescent="0.3">
      <c r="A66" t="s">
        <v>58</v>
      </c>
      <c r="B66" s="1" t="s">
        <v>72</v>
      </c>
    </row>
    <row r="67" spans="1:2" x14ac:dyDescent="0.3">
      <c r="A67" t="s">
        <v>59</v>
      </c>
      <c r="B67" s="1" t="s">
        <v>72</v>
      </c>
    </row>
    <row r="68" spans="1:2" x14ac:dyDescent="0.3">
      <c r="A68" t="s">
        <v>60</v>
      </c>
      <c r="B68" s="1" t="s">
        <v>72</v>
      </c>
    </row>
    <row r="69" spans="1:2" x14ac:dyDescent="0.3">
      <c r="A69" t="s">
        <v>61</v>
      </c>
      <c r="B69">
        <v>750</v>
      </c>
    </row>
    <row r="70" spans="1:2" x14ac:dyDescent="0.3">
      <c r="A70" t="s">
        <v>62</v>
      </c>
    </row>
    <row r="71" spans="1:2" x14ac:dyDescent="0.3">
      <c r="A71" t="s">
        <v>63</v>
      </c>
    </row>
    <row r="72" spans="1:2" x14ac:dyDescent="0.3">
      <c r="A72" t="s">
        <v>64</v>
      </c>
      <c r="B72" s="1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2025-10-12T12:14:14Z</dcterms:modified>
</cp:coreProperties>
</file>