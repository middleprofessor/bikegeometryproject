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122157-2C19-A749-B0D0-83784EC0CE37}" xr6:coauthVersionLast="47" xr6:coauthVersionMax="47" xr10:uidLastSave="{00000000-0000-0000-0000-000000000000}"/>
  <bookViews>
    <workbookView xWindow="4140" yWindow="780" windowWidth="24660" windowHeight="16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D38" i="1" s="1"/>
  <c r="F37" i="1"/>
  <c r="E38" i="1" s="1"/>
  <c r="D37" i="1"/>
  <c r="C38" i="1" s="1"/>
  <c r="F38" i="1"/>
  <c r="C37" i="1"/>
  <c r="D36" i="1"/>
  <c r="E36" i="1"/>
  <c r="F36" i="1"/>
  <c r="C36" i="1"/>
</calcChain>
</file>

<file path=xl/sharedStrings.xml><?xml version="1.0" encoding="utf-8"?>
<sst xmlns="http://schemas.openxmlformats.org/spreadsheetml/2006/main" count="140" uniqueCount="133">
  <si>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</si>
  <si>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</si>
  <si>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</si>
  <si>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</si>
  <si>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</si>
  <si>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</si>
  <si>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</si>
  <si>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</si>
  <si>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</si>
  <si>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</si>
  <si>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</si>
  <si>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</si>
  <si>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</si>
  <si>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</si>
  <si>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</si>
  <si>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</si>
  <si>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</si>
  <si>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</si>
  <si>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</si>
  <si>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</si>
  <si>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</si>
  <si>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</si>
  <si>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</si>
  <si>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</si>
  <si>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</si>
  <si>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</si>
  <si>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</si>
  <si>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</si>
  <si>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</si>
  <si>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</si>
  <si>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</si>
  <si>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</si>
  <si>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</si>
  <si>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</si>
  <si>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</si>
  <si>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</si>
  <si>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</si>
  <si>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</si>
  <si>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</si>
  <si>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</si>
  <si>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</si>
  <si>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</si>
  <si>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</si>
  <si>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</si>
  <si>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</si>
  <si>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</si>
  <si>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</si>
  <si>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</si>
  <si>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</si>
  <si>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</si>
  <si>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</si>
  <si>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</si>
  <si>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</si>
  <si>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</si>
  <si>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</si>
  <si>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</si>
  <si>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</si>
  <si>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</si>
  <si>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</si>
  <si>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</si>
  <si>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</si>
  <si>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</si>
  <si>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</si>
  <si>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</si>
  <si>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</si>
  <si>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</si>
  <si>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</si>
  <si>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</si>
  <si>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</si>
  <si>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</si>
  <si>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</si>
  <si>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</si>
  <si>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</si>
  <si>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</si>
  <si>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</si>
  <si>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</si>
  <si>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</si>
  <si>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</si>
  <si>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</si>
  <si>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</si>
  <si>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</si>
  <si>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</si>
  <si>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</si>
  <si>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</si>
  <si>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</si>
  <si>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</si>
  <si>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</si>
  <si>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</si>
  <si>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</si>
  <si>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</si>
  <si>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</si>
  <si>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</si>
  <si>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</si>
  <si>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</si>
  <si>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</si>
  <si>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</si>
  <si>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</si>
  <si>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</si>
  <si>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</si>
  <si>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</si>
  <si>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</si>
  <si>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</si>
  <si>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</si>
  <si>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</si>
  <si>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</si>
  <si>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</si>
  <si>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aluminum</t>
  </si>
  <si>
    <t>class</t>
  </si>
  <si>
    <t>hardtail</t>
  </si>
  <si>
    <t>handlebar</t>
  </si>
  <si>
    <t>fork</t>
  </si>
  <si>
    <t>flat bar</t>
  </si>
  <si>
    <t>rigid</t>
  </si>
  <si>
    <t>rear_axle_spec</t>
  </si>
  <si>
    <t>GBP</t>
  </si>
  <si>
    <t>threaded 73</t>
  </si>
  <si>
    <t>no</t>
  </si>
  <si>
    <t>image</t>
  </si>
  <si>
    <t>https://masoncycles.cc/images/000/009/464/large/Macro_TS_Side_Rack_Web.jpg?1742486567</t>
  </si>
  <si>
    <t>location</t>
  </si>
  <si>
    <t>Lancing, West Sussex, United Kingdom</t>
  </si>
  <si>
    <t>Macro</t>
  </si>
  <si>
    <t>head_tube_d</t>
  </si>
  <si>
    <t>headset_upper</t>
  </si>
  <si>
    <t>headset_lower</t>
  </si>
  <si>
    <t>fork_steerer</t>
  </si>
  <si>
    <t>fork_steerer_d</t>
  </si>
  <si>
    <t>fork_material</t>
  </si>
  <si>
    <t>https://masoncycles.cc/shop/categories/Macro</t>
  </si>
  <si>
    <t>100-120</t>
  </si>
  <si>
    <t>fork_travel</t>
  </si>
  <si>
    <t>fork_sag</t>
  </si>
  <si>
    <t>a8:f40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</si>
</sst>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"/>
  <sheetViews>
    <sheetView tabSelected="1" workbookViewId="0">
      <selection activeCell="B8" sqref="B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104</v>
      </c>
    </row>
    <row r="2" spans="1:10">
      <c r="A2" s="1" t="s">
        <v>1</v>
      </c>
      <c r="B2" s="1" t="s">
        <v>121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128</v>
      </c>
    </row>
    <row r="6" spans="1:10">
      <c r="A6" s="1" t="s">
        <v>117</v>
      </c>
      <c r="B6" s="1" t="s">
        <v>118</v>
      </c>
    </row>
    <row r="7" spans="1:10">
      <c r="A7" s="1" t="s">
        <v>5</v>
      </c>
      <c r="B7" s="1" t="s">
        <v>132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105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113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130</v>
      </c>
      <c r="C32" s="4">
        <v>0</v>
      </c>
      <c r="D32" s="4">
        <v>0</v>
      </c>
      <c r="E32" s="4">
        <v>0</v>
      </c>
      <c r="F32" s="4">
        <v>0</v>
      </c>
    </row>
    <row r="33" spans="1:6">
      <c r="A33" s="1" t="s">
        <v>131</v>
      </c>
      <c r="C33" s="4">
        <v>0</v>
      </c>
      <c r="D33" s="4">
        <v>0</v>
      </c>
      <c r="E33" s="4">
        <v>0</v>
      </c>
      <c r="F33" s="4">
        <v>0</v>
      </c>
    </row>
    <row r="34" spans="1:6">
      <c r="A34" s="1" t="s">
        <v>23</v>
      </c>
      <c r="C34" s="4">
        <v>700</v>
      </c>
      <c r="D34" s="4">
        <v>700</v>
      </c>
      <c r="E34" s="4">
        <v>700</v>
      </c>
      <c r="F34" s="4">
        <v>700</v>
      </c>
    </row>
    <row r="35" spans="1:6">
      <c r="A35" s="1" t="s">
        <v>25</v>
      </c>
      <c r="C35" s="4"/>
      <c r="D35" s="4"/>
      <c r="E35" s="4"/>
      <c r="F35" s="4"/>
    </row>
    <row r="36" spans="1:6">
      <c r="A36" s="1" t="s">
        <v>26</v>
      </c>
      <c r="C36" s="4">
        <f>2.4*25.4</f>
        <v>60.959999999999994</v>
      </c>
      <c r="D36" s="4">
        <f t="shared" ref="D36:F36" si="0">2.4*25.4</f>
        <v>60.959999999999994</v>
      </c>
      <c r="E36" s="4">
        <f t="shared" si="0"/>
        <v>60.959999999999994</v>
      </c>
      <c r="F36" s="4">
        <f t="shared" si="0"/>
        <v>60.959999999999994</v>
      </c>
    </row>
    <row r="37" spans="1:6">
      <c r="A37" s="1" t="s">
        <v>27</v>
      </c>
      <c r="C37" s="4">
        <f>C39</f>
        <v>162</v>
      </c>
      <c r="D37" s="4">
        <f>AVERAGE(D39,C40)</f>
        <v>169</v>
      </c>
      <c r="E37" s="4">
        <f t="shared" ref="E37:F37" si="1">AVERAGE(E39,D40)</f>
        <v>179</v>
      </c>
      <c r="F37" s="4">
        <f t="shared" si="1"/>
        <v>187</v>
      </c>
    </row>
    <row r="38" spans="1:6">
      <c r="A38" s="1" t="s">
        <v>28</v>
      </c>
      <c r="C38" s="4">
        <f>D37</f>
        <v>169</v>
      </c>
      <c r="D38" s="4">
        <f t="shared" ref="D38:E38" si="2">E37</f>
        <v>179</v>
      </c>
      <c r="E38" s="4">
        <f t="shared" si="2"/>
        <v>187</v>
      </c>
      <c r="F38" s="4">
        <f t="shared" ref="F38" si="3">F40</f>
        <v>198</v>
      </c>
    </row>
    <row r="39" spans="1:6">
      <c r="A39" s="1" t="s">
        <v>72</v>
      </c>
      <c r="C39" s="4">
        <v>162</v>
      </c>
      <c r="D39" s="4">
        <v>168</v>
      </c>
      <c r="E39" s="4">
        <v>178</v>
      </c>
      <c r="F39" s="4">
        <v>186</v>
      </c>
    </row>
    <row r="40" spans="1:6">
      <c r="A40" s="1" t="s">
        <v>73</v>
      </c>
      <c r="C40" s="4">
        <v>170</v>
      </c>
      <c r="D40" s="4">
        <v>180</v>
      </c>
      <c r="E40" s="4">
        <v>188</v>
      </c>
      <c r="F40" s="4">
        <v>198</v>
      </c>
    </row>
    <row r="41" spans="1:6">
      <c r="C41" s="1" t="s">
        <v>96</v>
      </c>
      <c r="D41" s="1" t="s">
        <v>97</v>
      </c>
      <c r="E41" s="1" t="s">
        <v>98</v>
      </c>
      <c r="F41" s="1" t="s">
        <v>99</v>
      </c>
    </row>
    <row r="42" spans="1:6">
      <c r="A42" s="1" t="s">
        <v>29</v>
      </c>
      <c r="B42" s="1" t="s">
        <v>30</v>
      </c>
      <c r="C42" s="4"/>
      <c r="D42" s="4"/>
      <c r="E42" s="4"/>
      <c r="F42" s="4"/>
    </row>
    <row r="43" spans="1:6">
      <c r="A43" s="1" t="s">
        <v>107</v>
      </c>
      <c r="B43" s="1" t="s">
        <v>108</v>
      </c>
    </row>
    <row r="44" spans="1:6">
      <c r="A44" s="1" t="s">
        <v>109</v>
      </c>
      <c r="B44" s="1" t="s">
        <v>111</v>
      </c>
    </row>
    <row r="45" spans="1:6">
      <c r="A45" s="1" t="s">
        <v>110</v>
      </c>
      <c r="B45" s="1" t="s">
        <v>112</v>
      </c>
    </row>
    <row r="46" spans="1:6">
      <c r="A46" s="1" t="s">
        <v>31</v>
      </c>
      <c r="B46" s="1" t="s">
        <v>106</v>
      </c>
    </row>
    <row r="47" spans="1:6">
      <c r="A47" s="1" t="s">
        <v>32</v>
      </c>
      <c r="B47" s="1" t="s">
        <v>67</v>
      </c>
    </row>
    <row r="48" spans="1:6">
      <c r="A48" s="1" t="s">
        <v>33</v>
      </c>
    </row>
    <row r="49" spans="1:2">
      <c r="A49" s="1" t="s">
        <v>34</v>
      </c>
      <c r="B49" s="1">
        <v>2.4</v>
      </c>
    </row>
    <row r="50" spans="1:2">
      <c r="A50" s="1" t="s">
        <v>35</v>
      </c>
    </row>
    <row r="51" spans="1:2">
      <c r="A51" s="1" t="s">
        <v>36</v>
      </c>
      <c r="B51" s="1" t="s">
        <v>129</v>
      </c>
    </row>
    <row r="52" spans="1:2">
      <c r="A52" s="1" t="s">
        <v>37</v>
      </c>
    </row>
    <row r="53" spans="1:2">
      <c r="A53" s="1" t="s">
        <v>38</v>
      </c>
    </row>
    <row r="54" spans="1:2">
      <c r="A54" s="1" t="s">
        <v>39</v>
      </c>
    </row>
    <row r="55" spans="1:2">
      <c r="A55" s="1" t="s">
        <v>40</v>
      </c>
      <c r="B55" s="1">
        <v>148</v>
      </c>
    </row>
    <row r="56" spans="1:2">
      <c r="A56" s="1" t="s">
        <v>41</v>
      </c>
      <c r="B56" s="1">
        <v>110</v>
      </c>
    </row>
    <row r="57" spans="1:2">
      <c r="A57" s="1" t="s">
        <v>122</v>
      </c>
    </row>
    <row r="58" spans="1:2">
      <c r="A58" s="1" t="s">
        <v>123</v>
      </c>
    </row>
    <row r="59" spans="1:2">
      <c r="A59" s="1" t="s">
        <v>124</v>
      </c>
    </row>
    <row r="60" spans="1:2">
      <c r="A60" s="1" t="s">
        <v>125</v>
      </c>
    </row>
    <row r="61" spans="1:2">
      <c r="A61" s="1" t="s">
        <v>126</v>
      </c>
    </row>
    <row r="62" spans="1:2">
      <c r="A62" s="1" t="s">
        <v>127</v>
      </c>
    </row>
    <row r="63" spans="1:2">
      <c r="A63" s="1" t="s">
        <v>42</v>
      </c>
      <c r="B63" s="1" t="s">
        <v>115</v>
      </c>
    </row>
    <row r="64" spans="1:2">
      <c r="A64" s="1" t="s">
        <v>43</v>
      </c>
    </row>
    <row r="65" spans="1:2">
      <c r="A65" s="1" t="s">
        <v>44</v>
      </c>
      <c r="B65" s="1">
        <v>31.6</v>
      </c>
    </row>
    <row r="66" spans="1:2">
      <c r="A66" s="1" t="s">
        <v>45</v>
      </c>
      <c r="B66" s="1" t="s">
        <v>116</v>
      </c>
    </row>
    <row r="67" spans="1:2">
      <c r="A67" s="1" t="s">
        <v>46</v>
      </c>
      <c r="B67" s="1">
        <v>34</v>
      </c>
    </row>
    <row r="68" spans="1:2">
      <c r="A68" s="1" t="s">
        <v>47</v>
      </c>
    </row>
    <row r="69" spans="1:2">
      <c r="A69" s="1" t="s">
        <v>48</v>
      </c>
      <c r="B69" s="1">
        <v>180</v>
      </c>
    </row>
    <row r="70" spans="1:2">
      <c r="A70" s="1" t="s">
        <v>49</v>
      </c>
      <c r="B70" s="1">
        <v>180</v>
      </c>
    </row>
    <row r="71" spans="1:2">
      <c r="A71" s="1" t="s">
        <v>50</v>
      </c>
      <c r="B71" s="1" t="s">
        <v>67</v>
      </c>
    </row>
    <row r="72" spans="1:2">
      <c r="A72" s="1" t="s">
        <v>51</v>
      </c>
      <c r="B72" s="1" t="s">
        <v>74</v>
      </c>
    </row>
    <row r="73" spans="1:2">
      <c r="A73" s="1" t="s">
        <v>52</v>
      </c>
      <c r="B73" s="1" t="s">
        <v>74</v>
      </c>
    </row>
    <row r="74" spans="1:2">
      <c r="A74" s="1" t="s">
        <v>53</v>
      </c>
      <c r="B74" s="1" t="s">
        <v>74</v>
      </c>
    </row>
    <row r="75" spans="1:2">
      <c r="A75" s="1" t="s">
        <v>54</v>
      </c>
    </row>
    <row r="76" spans="1:2">
      <c r="A76" s="1" t="s">
        <v>55</v>
      </c>
      <c r="B76" s="1">
        <v>2</v>
      </c>
    </row>
    <row r="77" spans="1:2">
      <c r="A77" s="1" t="s">
        <v>56</v>
      </c>
      <c r="B77" s="1">
        <v>1</v>
      </c>
    </row>
    <row r="78" spans="1:2">
      <c r="A78" s="1" t="s">
        <v>57</v>
      </c>
      <c r="B78" s="1">
        <v>1</v>
      </c>
    </row>
    <row r="79" spans="1:2">
      <c r="A79" s="1" t="s">
        <v>58</v>
      </c>
      <c r="B79" s="1">
        <v>3</v>
      </c>
    </row>
    <row r="80" spans="1:2">
      <c r="A80" s="1" t="s">
        <v>59</v>
      </c>
      <c r="B80" s="1" t="s">
        <v>67</v>
      </c>
    </row>
    <row r="81" spans="1:2">
      <c r="A81" s="1" t="s">
        <v>60</v>
      </c>
      <c r="B81" s="1" t="s">
        <v>67</v>
      </c>
    </row>
    <row r="82" spans="1:2">
      <c r="A82" s="1" t="s">
        <v>61</v>
      </c>
      <c r="B82" s="1" t="s">
        <v>67</v>
      </c>
    </row>
    <row r="83" spans="1:2">
      <c r="A83" s="1" t="s">
        <v>62</v>
      </c>
      <c r="B83" s="1">
        <v>1500</v>
      </c>
    </row>
    <row r="84" spans="1:2">
      <c r="A84" s="1" t="s">
        <v>63</v>
      </c>
      <c r="B84" s="1">
        <v>3000</v>
      </c>
    </row>
    <row r="85" spans="1:2">
      <c r="A85" s="1" t="s">
        <v>64</v>
      </c>
    </row>
    <row r="86" spans="1:2">
      <c r="A86" s="1" t="s">
        <v>65</v>
      </c>
      <c r="B86" s="1" t="s">
        <v>114</v>
      </c>
    </row>
    <row r="87" spans="1:2">
      <c r="A87" s="1" t="s">
        <v>119</v>
      </c>
      <c r="B87" s="1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2025-11-30T00:49:29Z</dcterms:modified>
</cp:coreProperties>
</file>