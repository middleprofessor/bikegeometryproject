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2E02270-D647-7941-9389-E85123FCDEA4}" xr6:coauthVersionLast="47" xr6:coauthVersionMax="47" xr10:uidLastSave="{00000000-0000-0000-0000-000000000000}"/>
  <bookViews>
    <workbookView xWindow="30400" yWindow="-20420" windowWidth="2768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H23" i="1"/>
  <c r="I23" i="1"/>
  <c r="C23" i="1"/>
  <c r="E22" i="1"/>
  <c r="F22" i="1" s="1"/>
  <c r="G22" i="1" s="1"/>
  <c r="H22" i="1" s="1"/>
  <c r="I22" i="1" s="1"/>
  <c r="D22" i="1"/>
  <c r="D21" i="1"/>
  <c r="E21" i="1"/>
  <c r="F21" i="1"/>
  <c r="G21" i="1"/>
  <c r="H21" i="1"/>
  <c r="I21" i="1"/>
  <c r="C21" i="1"/>
</calcChain>
</file>

<file path=xl/sharedStrings.xml><?xml version="1.0" encoding="utf-8"?>
<sst xmlns="http://schemas.openxmlformats.org/spreadsheetml/2006/main" count="124" uniqueCount="121">
  <si>
    <t>brand</t>
  </si>
  <si>
    <t>model</t>
  </si>
  <si>
    <t>model_year</t>
  </si>
  <si>
    <t>input_date</t>
  </si>
  <si>
    <t>url</t>
  </si>
  <si>
    <t>data_range</t>
  </si>
  <si>
    <t>frame_size</t>
  </si>
  <si>
    <t>M</t>
  </si>
  <si>
    <t>L</t>
  </si>
  <si>
    <t>XL</t>
  </si>
  <si>
    <t>seat_tube_length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</si>
  <si>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</si>
  <si>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</si>
  <si>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</si>
  <si>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</si>
  <si>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</si>
  <si>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</si>
  <si>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</si>
  <si>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</si>
  <si>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</si>
  <si>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</si>
  <si>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</si>
  <si>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</si>
  <si>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</si>
  <si>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</si>
  <si>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</si>
  <si>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</si>
  <si>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</si>
  <si>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</si>
  <si>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</si>
  <si>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</si>
  <si>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</si>
  <si>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</si>
  <si>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</si>
  <si>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</si>
  <si>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</si>
  <si>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</si>
  <si>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</si>
  <si>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</si>
  <si>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</si>
  <si>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</si>
  <si>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</si>
  <si>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</si>
  <si>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</si>
  <si>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</si>
  <si>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</si>
  <si>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</si>
  <si>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</si>
  <si>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</si>
  <si>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</si>
  <si>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</si>
  <si>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</si>
  <si>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</si>
  <si>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</si>
  <si>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</si>
  <si>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</si>
  <si>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</si>
  <si>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</si>
  <si>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</si>
  <si>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</si>
  <si>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</si>
  <si>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</si>
  <si>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</si>
  <si>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</si>
  <si>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</si>
  <si>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</si>
  <si>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</si>
  <si>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</si>
  <si>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</si>
  <si>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</si>
  <si>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</si>
  <si>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</si>
  <si>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</si>
  <si>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</si>
  <si>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</si>
  <si>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</si>
  <si>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</si>
  <si>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</si>
  <si>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</si>
  <si>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</si>
  <si>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</si>
  <si>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</si>
  <si>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</si>
  <si>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S</t>
  </si>
  <si>
    <t>yes</t>
  </si>
  <si>
    <t>carbon</t>
  </si>
  <si>
    <t>Inner</t>
  </si>
  <si>
    <t>Socializer</t>
  </si>
  <si>
    <t>titanium</t>
  </si>
  <si>
    <t>drop bar</t>
  </si>
  <si>
    <t>XXS</t>
  </si>
  <si>
    <t>XS</t>
  </si>
  <si>
    <t>XXL</t>
  </si>
  <si>
    <t>STACK</t>
  </si>
  <si>
    <t>REACH</t>
  </si>
  <si>
    <t>TOP TUBE</t>
  </si>
  <si>
    <t>HT ANGLE</t>
  </si>
  <si>
    <t>HT LENGTH</t>
  </si>
  <si>
    <t>ST ANGLE</t>
  </si>
  <si>
    <t>BB DROP</t>
  </si>
  <si>
    <t>TRAIL</t>
  </si>
  <si>
    <t>CHAINSTAY</t>
  </si>
  <si>
    <t>STAND OVER</t>
  </si>
  <si>
    <t>WHEELBASE</t>
  </si>
  <si>
    <t>TT ANGLE</t>
  </si>
  <si>
    <t>frame size</t>
  </si>
  <si>
    <t>trail_spec</t>
  </si>
  <si>
    <t>tt_angle</t>
  </si>
  <si>
    <t>threaded 68</t>
  </si>
  <si>
    <t>t47</t>
  </si>
  <si>
    <t>race fork</t>
  </si>
  <si>
    <t>https://www.innerbikes.com.au/inner-gf3-gravel-race-fork</t>
  </si>
  <si>
    <t>https://www.innerbikes.com.au/inner-socializer-framesets/~-284</t>
  </si>
  <si>
    <t>https://www.innerbikes.com.au/assets/webshop/cms/02/302.png?1747401171</t>
  </si>
  <si>
    <t>adventure fork</t>
  </si>
  <si>
    <t>also adventure fork</t>
  </si>
  <si>
    <t>seat_tube_length_cc</t>
  </si>
  <si>
    <t>correction</t>
  </si>
  <si>
    <t>a8:i34</t>
  </si>
  <si>
    <t>Melbourne, Victoria, Australia</t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</si>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</sst>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activeCell="K7" sqref="K7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86</v>
      </c>
    </row>
    <row r="2" spans="1:9" x14ac:dyDescent="0.3">
      <c r="A2" t="s">
        <v>1</v>
      </c>
      <c r="B2" s="1" t="s">
        <v>87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45987</v>
      </c>
    </row>
    <row r="5" spans="1:9" x14ac:dyDescent="0.3">
      <c r="A5" t="s">
        <v>4</v>
      </c>
      <c r="B5" t="s">
        <v>112</v>
      </c>
    </row>
    <row r="6" spans="1:9" x14ac:dyDescent="0.3">
      <c r="B6" t="s">
        <v>113</v>
      </c>
    </row>
    <row r="7" spans="1:9" x14ac:dyDescent="0.3">
      <c r="A7" t="s">
        <v>5</v>
      </c>
      <c r="B7" s="1" t="s">
        <v>118</v>
      </c>
    </row>
    <row r="8" spans="1:9" x14ac:dyDescent="0.3">
      <c r="A8" t="s">
        <v>6</v>
      </c>
      <c r="B8" s="1" t="s">
        <v>105</v>
      </c>
      <c r="C8" s="1" t="s">
        <v>90</v>
      </c>
      <c r="D8" s="1" t="s">
        <v>91</v>
      </c>
      <c r="E8" s="1" t="s">
        <v>83</v>
      </c>
      <c r="F8" s="1" t="s">
        <v>7</v>
      </c>
      <c r="G8" t="s">
        <v>8</v>
      </c>
      <c r="H8" t="s">
        <v>9</v>
      </c>
      <c r="I8" t="s">
        <v>92</v>
      </c>
    </row>
    <row r="9" spans="1:9" x14ac:dyDescent="0.3">
      <c r="A9" t="s">
        <v>18</v>
      </c>
      <c r="B9" t="s">
        <v>93</v>
      </c>
      <c r="C9">
        <v>521</v>
      </c>
      <c r="D9">
        <v>531</v>
      </c>
      <c r="E9">
        <v>548</v>
      </c>
      <c r="F9">
        <v>566</v>
      </c>
      <c r="G9">
        <v>586</v>
      </c>
      <c r="H9">
        <v>606</v>
      </c>
      <c r="I9">
        <v>623</v>
      </c>
    </row>
    <row r="10" spans="1:9" x14ac:dyDescent="0.3">
      <c r="A10" t="s">
        <v>19</v>
      </c>
      <c r="B10" t="s">
        <v>94</v>
      </c>
      <c r="C10">
        <v>370</v>
      </c>
      <c r="D10">
        <v>378</v>
      </c>
      <c r="E10">
        <v>384</v>
      </c>
      <c r="F10">
        <v>390</v>
      </c>
      <c r="G10">
        <v>397</v>
      </c>
      <c r="H10">
        <v>405.5</v>
      </c>
      <c r="I10">
        <v>410</v>
      </c>
    </row>
    <row r="11" spans="1:9" x14ac:dyDescent="0.3">
      <c r="A11" t="s">
        <v>11</v>
      </c>
      <c r="B11" t="s">
        <v>95</v>
      </c>
      <c r="C11">
        <v>504.7</v>
      </c>
      <c r="D11">
        <v>520.29999999999995</v>
      </c>
      <c r="E11">
        <v>536</v>
      </c>
      <c r="F11">
        <v>552.29999999999995</v>
      </c>
      <c r="G11">
        <v>570.6</v>
      </c>
      <c r="H11">
        <v>590.79999999999995</v>
      </c>
      <c r="I11">
        <v>600.5</v>
      </c>
    </row>
    <row r="12" spans="1:9" x14ac:dyDescent="0.3">
      <c r="A12" t="s">
        <v>16</v>
      </c>
      <c r="B12" t="s">
        <v>96</v>
      </c>
      <c r="C12">
        <v>71.5</v>
      </c>
      <c r="D12">
        <v>71.75</v>
      </c>
      <c r="E12">
        <v>72</v>
      </c>
      <c r="F12">
        <v>72.25</v>
      </c>
      <c r="G12">
        <v>72.400000000000006</v>
      </c>
      <c r="H12">
        <v>72.5</v>
      </c>
      <c r="I12">
        <v>72.5</v>
      </c>
    </row>
    <row r="13" spans="1:9" x14ac:dyDescent="0.3">
      <c r="A13" t="s">
        <v>12</v>
      </c>
      <c r="B13" t="s">
        <v>97</v>
      </c>
      <c r="C13">
        <v>93.2</v>
      </c>
      <c r="D13">
        <v>102.9</v>
      </c>
      <c r="E13">
        <v>119.8</v>
      </c>
      <c r="F13">
        <v>137.80000000000001</v>
      </c>
      <c r="G13">
        <v>158.19999999999999</v>
      </c>
      <c r="H13">
        <v>178.7</v>
      </c>
      <c r="I13">
        <v>196.6</v>
      </c>
    </row>
    <row r="14" spans="1:9" x14ac:dyDescent="0.3">
      <c r="A14" t="s">
        <v>17</v>
      </c>
      <c r="B14" t="s">
        <v>98</v>
      </c>
      <c r="C14">
        <v>75.5</v>
      </c>
      <c r="D14">
        <v>75</v>
      </c>
      <c r="E14">
        <v>74.5</v>
      </c>
      <c r="F14">
        <v>74</v>
      </c>
      <c r="G14">
        <v>73.5</v>
      </c>
      <c r="H14">
        <v>73</v>
      </c>
      <c r="I14">
        <v>73</v>
      </c>
    </row>
    <row r="15" spans="1:9" x14ac:dyDescent="0.3">
      <c r="A15" t="s">
        <v>15</v>
      </c>
      <c r="B15" t="s">
        <v>99</v>
      </c>
      <c r="C15">
        <v>74</v>
      </c>
      <c r="D15">
        <v>74</v>
      </c>
      <c r="E15">
        <v>74</v>
      </c>
      <c r="F15">
        <v>74</v>
      </c>
      <c r="G15">
        <v>74</v>
      </c>
      <c r="H15">
        <v>74</v>
      </c>
      <c r="I15">
        <v>74</v>
      </c>
    </row>
    <row r="16" spans="1:9" x14ac:dyDescent="0.3">
      <c r="A16" s="1" t="s">
        <v>106</v>
      </c>
      <c r="B16" t="s">
        <v>100</v>
      </c>
      <c r="C16">
        <v>66.599999999999994</v>
      </c>
      <c r="D16">
        <v>64.900000000000006</v>
      </c>
      <c r="E16">
        <v>63.3</v>
      </c>
      <c r="F16">
        <v>61.6</v>
      </c>
      <c r="G16">
        <v>60.6</v>
      </c>
      <c r="H16">
        <v>60</v>
      </c>
      <c r="I16">
        <v>60</v>
      </c>
    </row>
    <row r="17" spans="1:11" x14ac:dyDescent="0.3">
      <c r="A17" t="s">
        <v>13</v>
      </c>
      <c r="B17" t="s">
        <v>101</v>
      </c>
      <c r="C17">
        <v>423</v>
      </c>
      <c r="D17">
        <v>424</v>
      </c>
      <c r="E17">
        <v>425.5</v>
      </c>
      <c r="F17">
        <v>427</v>
      </c>
      <c r="G17">
        <v>429</v>
      </c>
      <c r="H17">
        <v>430.5</v>
      </c>
      <c r="I17">
        <v>430.5</v>
      </c>
    </row>
    <row r="18" spans="1:11" x14ac:dyDescent="0.3">
      <c r="A18" t="s">
        <v>20</v>
      </c>
      <c r="B18" t="s">
        <v>102</v>
      </c>
      <c r="C18">
        <v>753.3</v>
      </c>
      <c r="D18">
        <v>762.8</v>
      </c>
      <c r="E18">
        <v>779.7</v>
      </c>
      <c r="F18">
        <v>796.9</v>
      </c>
      <c r="G18">
        <v>816.9</v>
      </c>
      <c r="H18">
        <v>836.4</v>
      </c>
      <c r="I18">
        <v>853</v>
      </c>
    </row>
    <row r="19" spans="1:11" x14ac:dyDescent="0.3">
      <c r="A19" t="s">
        <v>14</v>
      </c>
      <c r="B19" t="s">
        <v>103</v>
      </c>
      <c r="C19">
        <v>988.8</v>
      </c>
      <c r="D19">
        <v>998.8</v>
      </c>
      <c r="E19">
        <v>1009.3</v>
      </c>
      <c r="F19">
        <v>1020.5</v>
      </c>
      <c r="G19">
        <v>1034.4000000000001</v>
      </c>
      <c r="H19">
        <v>1049.8</v>
      </c>
      <c r="I19">
        <v>1059.5999999999999</v>
      </c>
    </row>
    <row r="20" spans="1:11" x14ac:dyDescent="0.3">
      <c r="A20" s="1" t="s">
        <v>107</v>
      </c>
      <c r="B20" t="s">
        <v>104</v>
      </c>
      <c r="C20">
        <v>7.8</v>
      </c>
      <c r="D20">
        <v>7.7</v>
      </c>
      <c r="E20">
        <v>7.6</v>
      </c>
      <c r="F20">
        <v>7.5</v>
      </c>
      <c r="G20">
        <v>7.3</v>
      </c>
      <c r="H20">
        <v>7.2</v>
      </c>
      <c r="I20">
        <v>7.1</v>
      </c>
    </row>
    <row r="21" spans="1:11" x14ac:dyDescent="0.3">
      <c r="A21" s="1" t="s">
        <v>116</v>
      </c>
      <c r="C21">
        <f>(C9-C11*TAN(C20*PI()/180))/SIN(C14*PI()/180)</f>
        <v>466.7311894589842</v>
      </c>
      <c r="D21">
        <f t="shared" ref="D21:I21" si="0">(D9-D11*TAN(D20*PI()/180))/SIN(D14*PI()/180)</f>
        <v>476.90274703752902</v>
      </c>
      <c r="E21">
        <f t="shared" si="0"/>
        <v>494.4658288337277</v>
      </c>
      <c r="F21">
        <f t="shared" si="0"/>
        <v>513.16756682056962</v>
      </c>
      <c r="G21">
        <f t="shared" si="0"/>
        <v>534.93314283898621</v>
      </c>
      <c r="H21">
        <f t="shared" si="0"/>
        <v>555.64358526998524</v>
      </c>
      <c r="I21">
        <f t="shared" si="0"/>
        <v>573.25216430200055</v>
      </c>
    </row>
    <row r="22" spans="1:11" x14ac:dyDescent="0.3">
      <c r="A22" s="1" t="s">
        <v>117</v>
      </c>
      <c r="C22">
        <v>35</v>
      </c>
      <c r="D22">
        <f>C22+5</f>
        <v>40</v>
      </c>
      <c r="E22">
        <f t="shared" ref="E22:I22" si="1">D22+5</f>
        <v>45</v>
      </c>
      <c r="F22">
        <f t="shared" si="1"/>
        <v>50</v>
      </c>
      <c r="G22">
        <f t="shared" si="1"/>
        <v>55</v>
      </c>
      <c r="H22">
        <f t="shared" si="1"/>
        <v>60</v>
      </c>
      <c r="I22">
        <f t="shared" si="1"/>
        <v>65</v>
      </c>
    </row>
    <row r="23" spans="1:11" x14ac:dyDescent="0.3">
      <c r="A23" s="1" t="s">
        <v>10</v>
      </c>
      <c r="C23">
        <f>C21+C22</f>
        <v>501.7311894589842</v>
      </c>
      <c r="D23">
        <f t="shared" ref="D23:I23" si="2">D21+D22</f>
        <v>516.90274703752902</v>
      </c>
      <c r="E23">
        <f t="shared" si="2"/>
        <v>539.46582883372776</v>
      </c>
      <c r="F23">
        <f t="shared" si="2"/>
        <v>563.16756682056962</v>
      </c>
      <c r="G23">
        <f t="shared" si="2"/>
        <v>589.93314283898621</v>
      </c>
      <c r="H23">
        <f t="shared" si="2"/>
        <v>615.64358526998524</v>
      </c>
      <c r="I23">
        <f t="shared" si="2"/>
        <v>638.25216430200055</v>
      </c>
    </row>
    <row r="24" spans="1:11" x14ac:dyDescent="0.3">
      <c r="A24" t="s">
        <v>22</v>
      </c>
    </row>
    <row r="25" spans="1:11" x14ac:dyDescent="0.3">
      <c r="A25" t="s">
        <v>21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  <c r="I25">
        <v>50</v>
      </c>
      <c r="J25" s="1" t="s">
        <v>110</v>
      </c>
      <c r="K25" t="s">
        <v>111</v>
      </c>
    </row>
    <row r="26" spans="1:11" x14ac:dyDescent="0.3">
      <c r="A26" t="s">
        <v>23</v>
      </c>
      <c r="J26" s="1" t="s">
        <v>115</v>
      </c>
    </row>
    <row r="27" spans="1:11" x14ac:dyDescent="0.3">
      <c r="A27" t="s">
        <v>24</v>
      </c>
    </row>
    <row r="28" spans="1:11" x14ac:dyDescent="0.3">
      <c r="A28" t="s">
        <v>25</v>
      </c>
    </row>
    <row r="29" spans="1:11" x14ac:dyDescent="0.3">
      <c r="A29" t="s">
        <v>26</v>
      </c>
    </row>
    <row r="30" spans="1:11" x14ac:dyDescent="0.3">
      <c r="A30" t="s">
        <v>27</v>
      </c>
      <c r="B30" t="s">
        <v>27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  <c r="I30">
        <v>700</v>
      </c>
    </row>
    <row r="31" spans="1:11" x14ac:dyDescent="0.3">
      <c r="A31" t="s">
        <v>28</v>
      </c>
      <c r="B31" t="s">
        <v>28</v>
      </c>
      <c r="C31">
        <v>40</v>
      </c>
      <c r="D31">
        <v>40</v>
      </c>
      <c r="E31">
        <v>40</v>
      </c>
      <c r="F31">
        <v>40</v>
      </c>
      <c r="G31">
        <v>40</v>
      </c>
      <c r="H31">
        <v>40</v>
      </c>
      <c r="I31">
        <v>40</v>
      </c>
    </row>
    <row r="32" spans="1:11" x14ac:dyDescent="0.3">
      <c r="A32" t="s">
        <v>29</v>
      </c>
      <c r="B32" t="s">
        <v>29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  <c r="I32">
        <v>45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32</v>
      </c>
      <c r="B34" t="s">
        <v>33</v>
      </c>
    </row>
    <row r="36" spans="1:2" x14ac:dyDescent="0.3">
      <c r="A36" t="s">
        <v>34</v>
      </c>
      <c r="B36" t="s">
        <v>35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s="1" t="s">
        <v>89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36</v>
      </c>
      <c r="B40" s="1" t="s">
        <v>88</v>
      </c>
    </row>
    <row r="41" spans="1:2" x14ac:dyDescent="0.3">
      <c r="A41" t="s">
        <v>37</v>
      </c>
      <c r="B41" s="1" t="s">
        <v>84</v>
      </c>
    </row>
    <row r="42" spans="1:2" x14ac:dyDescent="0.3">
      <c r="A42" t="s">
        <v>38</v>
      </c>
    </row>
    <row r="43" spans="1:2" x14ac:dyDescent="0.3">
      <c r="A43" t="s">
        <v>39</v>
      </c>
      <c r="B43">
        <v>45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</row>
    <row r="48" spans="1:2" x14ac:dyDescent="0.3">
      <c r="A48" t="s">
        <v>44</v>
      </c>
    </row>
    <row r="49" spans="1:3" x14ac:dyDescent="0.3">
      <c r="A49" t="s">
        <v>45</v>
      </c>
      <c r="B49">
        <v>142</v>
      </c>
    </row>
    <row r="50" spans="1:3" x14ac:dyDescent="0.3">
      <c r="A50" t="s">
        <v>46</v>
      </c>
      <c r="B50">
        <v>100</v>
      </c>
    </row>
    <row r="51" spans="1:3" x14ac:dyDescent="0.3">
      <c r="A51" t="s">
        <v>76</v>
      </c>
    </row>
    <row r="52" spans="1:3" x14ac:dyDescent="0.3">
      <c r="A52" t="s">
        <v>77</v>
      </c>
    </row>
    <row r="53" spans="1:3" x14ac:dyDescent="0.3">
      <c r="A53" t="s">
        <v>78</v>
      </c>
    </row>
    <row r="54" spans="1:3" x14ac:dyDescent="0.3">
      <c r="A54" t="s">
        <v>79</v>
      </c>
    </row>
    <row r="55" spans="1:3" x14ac:dyDescent="0.3">
      <c r="A55" t="s">
        <v>80</v>
      </c>
    </row>
    <row r="56" spans="1:3" x14ac:dyDescent="0.3">
      <c r="A56" t="s">
        <v>81</v>
      </c>
      <c r="B56" s="1" t="s">
        <v>85</v>
      </c>
      <c r="C56" s="1"/>
    </row>
    <row r="57" spans="1:3" x14ac:dyDescent="0.3">
      <c r="A57" t="s">
        <v>47</v>
      </c>
      <c r="B57" s="1" t="s">
        <v>108</v>
      </c>
      <c r="C57" s="1" t="s">
        <v>109</v>
      </c>
    </row>
    <row r="58" spans="1:3" x14ac:dyDescent="0.3">
      <c r="A58" t="s">
        <v>48</v>
      </c>
    </row>
    <row r="59" spans="1:3" x14ac:dyDescent="0.3">
      <c r="A59" t="s">
        <v>49</v>
      </c>
      <c r="B59">
        <v>27.2</v>
      </c>
    </row>
    <row r="60" spans="1:3" x14ac:dyDescent="0.3">
      <c r="A60" t="s">
        <v>50</v>
      </c>
      <c r="B60" s="1"/>
    </row>
    <row r="61" spans="1:3" x14ac:dyDescent="0.3">
      <c r="A61" t="s">
        <v>51</v>
      </c>
    </row>
    <row r="62" spans="1:3" x14ac:dyDescent="0.3">
      <c r="A62" t="s">
        <v>52</v>
      </c>
    </row>
    <row r="63" spans="1:3" x14ac:dyDescent="0.3">
      <c r="A63" t="s">
        <v>53</v>
      </c>
      <c r="B63">
        <v>160</v>
      </c>
    </row>
    <row r="64" spans="1:3" x14ac:dyDescent="0.3">
      <c r="A64" t="s">
        <v>54</v>
      </c>
    </row>
    <row r="65" spans="1:3" x14ac:dyDescent="0.3">
      <c r="A65" t="s">
        <v>55</v>
      </c>
    </row>
    <row r="66" spans="1:3" x14ac:dyDescent="0.3">
      <c r="A66" t="s">
        <v>56</v>
      </c>
      <c r="B66" s="1"/>
    </row>
    <row r="67" spans="1:3" x14ac:dyDescent="0.3">
      <c r="A67" t="s">
        <v>57</v>
      </c>
      <c r="B67" s="1"/>
    </row>
    <row r="68" spans="1:3" x14ac:dyDescent="0.3">
      <c r="A68" t="s">
        <v>58</v>
      </c>
    </row>
    <row r="69" spans="1:3" x14ac:dyDescent="0.3">
      <c r="A69" t="s">
        <v>59</v>
      </c>
    </row>
    <row r="70" spans="1:3" x14ac:dyDescent="0.3">
      <c r="A70" t="s">
        <v>60</v>
      </c>
      <c r="B70">
        <v>2</v>
      </c>
    </row>
    <row r="71" spans="1:3" x14ac:dyDescent="0.3">
      <c r="A71" t="s">
        <v>61</v>
      </c>
      <c r="B71">
        <v>1</v>
      </c>
    </row>
    <row r="72" spans="1:3" x14ac:dyDescent="0.3">
      <c r="A72" t="s">
        <v>62</v>
      </c>
      <c r="B72">
        <v>1</v>
      </c>
    </row>
    <row r="73" spans="1:3" x14ac:dyDescent="0.3">
      <c r="A73" t="s">
        <v>63</v>
      </c>
      <c r="B73">
        <v>3</v>
      </c>
      <c r="C73" s="1" t="s">
        <v>114</v>
      </c>
    </row>
    <row r="74" spans="1:3" x14ac:dyDescent="0.3">
      <c r="A74" t="s">
        <v>64</v>
      </c>
      <c r="B74" s="1"/>
    </row>
    <row r="75" spans="1:3" x14ac:dyDescent="0.3">
      <c r="A75" t="s">
        <v>65</v>
      </c>
      <c r="B75" s="1"/>
    </row>
    <row r="76" spans="1:3" x14ac:dyDescent="0.3">
      <c r="A76" t="s">
        <v>66</v>
      </c>
      <c r="B76" s="1"/>
    </row>
    <row r="77" spans="1:3" x14ac:dyDescent="0.3">
      <c r="A77" t="s">
        <v>67</v>
      </c>
      <c r="B77">
        <v>4999.99</v>
      </c>
    </row>
    <row r="78" spans="1:3" x14ac:dyDescent="0.3">
      <c r="A78" t="s">
        <v>68</v>
      </c>
    </row>
    <row r="79" spans="1:3" x14ac:dyDescent="0.3">
      <c r="A79" t="s">
        <v>69</v>
      </c>
    </row>
    <row r="80" spans="1:3" x14ac:dyDescent="0.3">
      <c r="A80" t="s">
        <v>70</v>
      </c>
      <c r="B80" s="1" t="s">
        <v>120</v>
      </c>
    </row>
    <row r="81" spans="1:2" x14ac:dyDescent="0.3">
      <c r="A81" s="1" t="s">
        <v>82</v>
      </c>
      <c r="B81" s="1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2025-11-26T14:37:23Z</dcterms:modified>
</cp:coreProperties>
</file>