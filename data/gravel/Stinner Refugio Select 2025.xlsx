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796C1DF-BF5A-4F44-A092-13ACFFA316F6}" xr6:coauthVersionLast="47" xr6:coauthVersionMax="47" xr10:uidLastSave="{00000000-0000-0000-0000-000000000000}"/>
  <bookViews>
    <workbookView xWindow="45060" yWindow="-25240" windowWidth="249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D33" i="1"/>
  <c r="E33" i="1"/>
  <c r="F33" i="1"/>
  <c r="G33" i="1"/>
  <c r="H33" i="1"/>
  <c r="D32" i="1"/>
  <c r="E32" i="1"/>
  <c r="F32" i="1"/>
  <c r="G32" i="1"/>
  <c r="H32" i="1"/>
  <c r="C32" i="1"/>
</calcChain>
</file>

<file path=xl/sharedStrings.xml><?xml version="1.0" encoding="utf-8"?>
<sst xmlns="http://schemas.openxmlformats.org/spreadsheetml/2006/main" count="123" uniqueCount="119">
  <si>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</si>
  <si>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</si>
  <si>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</si>
  <si>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</si>
  <si>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</si>
  <si>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</si>
  <si>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</si>
  <si>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</si>
  <si>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</si>
  <si>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</si>
  <si>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</si>
  <si>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</si>
  <si>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</si>
  <si>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</si>
  <si>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</si>
  <si>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</si>
  <si>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</si>
  <si>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</si>
  <si>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</si>
  <si>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</si>
  <si>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</si>
  <si>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</si>
  <si>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</si>
  <si>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</si>
  <si>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</si>
  <si>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</si>
  <si>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</si>
  <si>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</si>
  <si>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</si>
  <si>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</si>
  <si>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</si>
  <si>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</si>
  <si>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</si>
  <si>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</si>
  <si>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</si>
  <si>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</si>
  <si>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</si>
  <si>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</si>
  <si>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</si>
  <si>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</si>
  <si>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</si>
  <si>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</si>
  <si>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</si>
  <si>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</si>
  <si>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</si>
  <si>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</si>
  <si>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</si>
  <si>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</si>
  <si>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</si>
  <si>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</si>
  <si>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</si>
  <si>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</si>
  <si>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</si>
  <si>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</si>
  <si>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</si>
  <si>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</si>
  <si>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</si>
  <si>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</si>
  <si>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</si>
  <si>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</si>
  <si>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</si>
  <si>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</si>
  <si>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</si>
  <si>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</si>
  <si>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</si>
  <si>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</si>
  <si>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</si>
  <si>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</si>
  <si>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Wheelbase</t>
  </si>
  <si>
    <t>frame_weight</t>
  </si>
  <si>
    <t>Stinner</t>
  </si>
  <si>
    <t>50cm</t>
  </si>
  <si>
    <t>52cm</t>
  </si>
  <si>
    <t>54cm</t>
  </si>
  <si>
    <t>56cm</t>
  </si>
  <si>
    <t>58cm</t>
  </si>
  <si>
    <t>60cm</t>
  </si>
  <si>
    <t>Frame Stack</t>
  </si>
  <si>
    <t>Frame Reach</t>
  </si>
  <si>
    <t>Top Tube Length, Horizontal</t>
  </si>
  <si>
    <t>Head Tube Length</t>
  </si>
  <si>
    <t>Head Tube Angle</t>
  </si>
  <si>
    <t>BB Height*</t>
  </si>
  <si>
    <t>BB Drop</t>
  </si>
  <si>
    <t>Seat Tube Angle</t>
  </si>
  <si>
    <t>Trail*</t>
  </si>
  <si>
    <t>Front Center</t>
  </si>
  <si>
    <t>Chainstay Length</t>
  </si>
  <si>
    <t>Standover Height*</t>
  </si>
  <si>
    <t>Seat Tube Length (center - top)</t>
  </si>
  <si>
    <t>bb_height</t>
  </si>
  <si>
    <t>a8:h33</t>
  </si>
  <si>
    <t>class</t>
  </si>
  <si>
    <t>gravel</t>
  </si>
  <si>
    <t>handlebar</t>
  </si>
  <si>
    <t>drop bar</t>
  </si>
  <si>
    <t>fork</t>
  </si>
  <si>
    <t>rigid</t>
  </si>
  <si>
    <t>USD</t>
  </si>
  <si>
    <t>location</t>
  </si>
  <si>
    <t>Santa Barbara, California, USA</t>
  </si>
  <si>
    <t>head_tube_d</t>
  </si>
  <si>
    <t>headset_upper</t>
  </si>
  <si>
    <t>headset_lower</t>
  </si>
  <si>
    <t>fork_steerer</t>
  </si>
  <si>
    <t>fork_steerer_d</t>
  </si>
  <si>
    <t>fork_material</t>
  </si>
  <si>
    <t>https://www.stinnerframeworks.com/products/refugio-select</t>
  </si>
  <si>
    <t>https://www.stinnerframeworks.com/cdn/shop/files/MG_1511_161244e9-853f-43fc-82f5-7ea5222bb989_1800x1800.jpg?v=1736487574</t>
  </si>
  <si>
    <t>Geometry</t>
  </si>
  <si>
    <t>w 50 mm</t>
  </si>
  <si>
    <t>steel</t>
  </si>
  <si>
    <t>Columbus Zona/Life</t>
  </si>
  <si>
    <t>threaded 68</t>
  </si>
  <si>
    <t>ZS44/28.6</t>
  </si>
  <si>
    <t>EC44/40</t>
  </si>
  <si>
    <t>external</t>
  </si>
  <si>
    <t>tapered</t>
  </si>
  <si>
    <t>Refugio Select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</si>
</sst>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rgb="FF000000"/>
      <name val="Futura"/>
    </font>
    <font>
      <sz val="14"/>
      <color rgb="FF000000"/>
      <name val="Futura"/>
      <family val="2"/>
    </font>
    <font>
      <sz val="15"/>
      <color rgb="FF202020"/>
      <name val="Avenir-next-pro"/>
    </font>
    <font>
      <sz val="14"/>
      <color rgb="FF000000"/>
      <name val="Futura Medium"/>
    </font>
    <font>
      <b/>
      <sz val="15"/>
      <color rgb="FF202020"/>
      <name val="Futura Medium"/>
    </font>
    <font>
      <sz val="15"/>
      <color rgb="FF20202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workbookViewId="0">
      <selection activeCell="B71" sqref="B71"/>
    </sheetView>
  </sheetViews>
  <sheetFormatPr baseColWidth="10" defaultRowHeight="20"/>
  <cols>
    <col min="1" max="2" width="19.6640625" customWidth="1"/>
  </cols>
  <sheetData>
    <row r="1" spans="1:9">
      <c r="A1" t="s">
        <v>0</v>
      </c>
      <c r="B1" s="1" t="s">
        <v>70</v>
      </c>
    </row>
    <row r="2" spans="1:9">
      <c r="A2" t="s">
        <v>1</v>
      </c>
      <c r="B2" s="1" t="s">
        <v>118</v>
      </c>
    </row>
    <row r="3" spans="1:9">
      <c r="A3" t="s">
        <v>2</v>
      </c>
      <c r="B3">
        <v>2025</v>
      </c>
    </row>
    <row r="4" spans="1:9">
      <c r="A4" t="s">
        <v>3</v>
      </c>
      <c r="B4" s="3">
        <v>45971</v>
      </c>
    </row>
    <row r="5" spans="1:9">
      <c r="A5" t="s">
        <v>4</v>
      </c>
      <c r="B5" t="s">
        <v>107</v>
      </c>
    </row>
    <row r="6" spans="1:9">
      <c r="B6" t="s">
        <v>108</v>
      </c>
    </row>
    <row r="7" spans="1:9">
      <c r="A7" t="s">
        <v>5</v>
      </c>
      <c r="B7" s="1" t="s">
        <v>91</v>
      </c>
    </row>
    <row r="8" spans="1:9" ht="21">
      <c r="A8" t="s">
        <v>6</v>
      </c>
      <c r="B8" s="4" t="s">
        <v>109</v>
      </c>
      <c r="C8" s="5" t="s">
        <v>71</v>
      </c>
      <c r="D8" s="5" t="s">
        <v>72</v>
      </c>
      <c r="E8" s="5" t="s">
        <v>73</v>
      </c>
      <c r="F8" s="4" t="s">
        <v>74</v>
      </c>
      <c r="G8" s="4" t="s">
        <v>75</v>
      </c>
      <c r="H8" s="4" t="s">
        <v>76</v>
      </c>
    </row>
    <row r="9" spans="1:9" ht="21">
      <c r="A9" t="s">
        <v>17</v>
      </c>
      <c r="B9" s="6" t="s">
        <v>77</v>
      </c>
      <c r="C9" s="6">
        <v>545</v>
      </c>
      <c r="D9" s="6">
        <v>560</v>
      </c>
      <c r="E9" s="6">
        <v>575</v>
      </c>
      <c r="F9" s="4">
        <v>595</v>
      </c>
      <c r="G9" s="4">
        <v>610</v>
      </c>
      <c r="H9" s="4">
        <v>640</v>
      </c>
    </row>
    <row r="10" spans="1:9" ht="21">
      <c r="A10" t="s">
        <v>18</v>
      </c>
      <c r="B10" s="6" t="s">
        <v>78</v>
      </c>
      <c r="C10" s="6">
        <v>387</v>
      </c>
      <c r="D10" s="6">
        <v>395</v>
      </c>
      <c r="E10" s="6">
        <v>400</v>
      </c>
      <c r="F10" s="4">
        <v>405</v>
      </c>
      <c r="G10" s="4">
        <v>410</v>
      </c>
      <c r="H10" s="4">
        <v>418</v>
      </c>
    </row>
    <row r="11" spans="1:9" ht="21">
      <c r="A11" t="s">
        <v>9</v>
      </c>
      <c r="B11" s="6" t="s">
        <v>79</v>
      </c>
      <c r="C11" s="6">
        <v>540</v>
      </c>
      <c r="D11" s="6">
        <v>554</v>
      </c>
      <c r="E11" s="6">
        <v>569</v>
      </c>
      <c r="F11" s="4">
        <v>582</v>
      </c>
      <c r="G11" s="4">
        <v>594</v>
      </c>
      <c r="H11" s="4">
        <v>614</v>
      </c>
    </row>
    <row r="12" spans="1:9" ht="21">
      <c r="A12" t="s">
        <v>10</v>
      </c>
      <c r="B12" s="6" t="s">
        <v>80</v>
      </c>
      <c r="C12" s="6">
        <v>97</v>
      </c>
      <c r="D12" s="6">
        <v>112</v>
      </c>
      <c r="E12" s="6">
        <v>129</v>
      </c>
      <c r="F12" s="4">
        <v>149</v>
      </c>
      <c r="G12" s="4">
        <v>167</v>
      </c>
      <c r="H12" s="4">
        <v>197</v>
      </c>
    </row>
    <row r="13" spans="1:9" ht="21">
      <c r="A13" t="s">
        <v>11</v>
      </c>
      <c r="B13" s="6" t="s">
        <v>81</v>
      </c>
      <c r="C13" s="6">
        <v>71.25</v>
      </c>
      <c r="D13" s="6">
        <v>71.5</v>
      </c>
      <c r="E13" s="6">
        <v>71.75</v>
      </c>
      <c r="F13" s="4">
        <v>72</v>
      </c>
      <c r="G13" s="4">
        <v>72.25</v>
      </c>
      <c r="H13" s="4">
        <v>72.5</v>
      </c>
    </row>
    <row r="14" spans="1:9" ht="21">
      <c r="A14" s="1" t="s">
        <v>90</v>
      </c>
      <c r="B14" s="6" t="s">
        <v>82</v>
      </c>
      <c r="C14" s="6">
        <v>282</v>
      </c>
      <c r="D14" s="6">
        <v>282</v>
      </c>
      <c r="E14" s="6">
        <v>284</v>
      </c>
      <c r="F14" s="4">
        <v>284</v>
      </c>
      <c r="G14" s="4">
        <v>287</v>
      </c>
      <c r="H14" s="4">
        <v>287</v>
      </c>
      <c r="I14" s="1" t="s">
        <v>110</v>
      </c>
    </row>
    <row r="15" spans="1:9" ht="21">
      <c r="A15" t="s">
        <v>16</v>
      </c>
      <c r="B15" s="6" t="s">
        <v>83</v>
      </c>
      <c r="C15" s="6">
        <v>82</v>
      </c>
      <c r="D15" s="6">
        <v>82</v>
      </c>
      <c r="E15" s="6">
        <v>80</v>
      </c>
      <c r="F15" s="4">
        <v>80</v>
      </c>
      <c r="G15" s="4">
        <v>77</v>
      </c>
      <c r="H15" s="4">
        <v>77</v>
      </c>
    </row>
    <row r="16" spans="1:9" ht="21">
      <c r="A16" t="s">
        <v>8</v>
      </c>
      <c r="B16" s="6" t="s">
        <v>84</v>
      </c>
      <c r="C16" s="6">
        <v>74.5</v>
      </c>
      <c r="D16" s="6">
        <v>74.25</v>
      </c>
      <c r="E16" s="6">
        <v>73.75</v>
      </c>
      <c r="F16" s="4">
        <v>73.5</v>
      </c>
      <c r="G16" s="4">
        <v>73.25</v>
      </c>
      <c r="H16" s="4">
        <v>73</v>
      </c>
    </row>
    <row r="17" spans="1:9">
      <c r="A17" t="s">
        <v>13</v>
      </c>
      <c r="B17" s="4" t="s">
        <v>85</v>
      </c>
      <c r="C17" s="4">
        <v>71</v>
      </c>
      <c r="D17" s="4">
        <v>69</v>
      </c>
      <c r="E17" s="4">
        <v>67</v>
      </c>
      <c r="F17" s="4">
        <v>66</v>
      </c>
      <c r="G17" s="4">
        <v>64</v>
      </c>
      <c r="H17" s="4">
        <v>62</v>
      </c>
      <c r="I17" s="1" t="s">
        <v>110</v>
      </c>
    </row>
    <row r="18" spans="1:9">
      <c r="A18" s="1" t="s">
        <v>66</v>
      </c>
      <c r="B18" s="4" t="s">
        <v>86</v>
      </c>
      <c r="C18" s="4">
        <v>603</v>
      </c>
      <c r="D18" s="4">
        <v>613</v>
      </c>
      <c r="E18" s="4">
        <v>621</v>
      </c>
      <c r="F18" s="4">
        <v>630</v>
      </c>
      <c r="G18" s="4">
        <v>638</v>
      </c>
      <c r="H18" s="4">
        <v>652</v>
      </c>
    </row>
    <row r="19" spans="1:9">
      <c r="A19" t="s">
        <v>15</v>
      </c>
      <c r="B19" s="4" t="s">
        <v>87</v>
      </c>
      <c r="C19" s="4">
        <v>438</v>
      </c>
      <c r="D19" s="4">
        <v>438</v>
      </c>
      <c r="E19" s="4">
        <v>438</v>
      </c>
      <c r="F19" s="4">
        <v>438</v>
      </c>
      <c r="G19" s="4">
        <v>438</v>
      </c>
      <c r="H19" s="4">
        <v>438</v>
      </c>
    </row>
    <row r="20" spans="1:9">
      <c r="A20" t="s">
        <v>14</v>
      </c>
      <c r="B20" s="4" t="s">
        <v>68</v>
      </c>
      <c r="C20" s="4">
        <v>1027</v>
      </c>
      <c r="D20" s="4">
        <v>1038</v>
      </c>
      <c r="E20" s="4">
        <v>1047</v>
      </c>
      <c r="F20" s="4">
        <v>1056</v>
      </c>
      <c r="G20" s="4">
        <v>1064</v>
      </c>
      <c r="H20" s="4">
        <v>1079</v>
      </c>
    </row>
    <row r="21" spans="1:9">
      <c r="A21" t="s">
        <v>19</v>
      </c>
      <c r="B21" s="4" t="s">
        <v>88</v>
      </c>
      <c r="C21" s="4">
        <v>765</v>
      </c>
      <c r="D21" s="4">
        <v>782</v>
      </c>
      <c r="E21" s="4">
        <v>800</v>
      </c>
      <c r="F21" s="4">
        <v>820</v>
      </c>
      <c r="G21" s="4">
        <v>840</v>
      </c>
      <c r="H21" s="4">
        <v>864</v>
      </c>
    </row>
    <row r="22" spans="1:9">
      <c r="A22" t="s">
        <v>7</v>
      </c>
      <c r="B22" s="4" t="s">
        <v>89</v>
      </c>
      <c r="C22" s="4">
        <v>470</v>
      </c>
      <c r="D22" s="4">
        <v>490</v>
      </c>
      <c r="E22" s="4">
        <v>510</v>
      </c>
      <c r="F22" s="4">
        <v>530</v>
      </c>
      <c r="G22" s="4">
        <v>550</v>
      </c>
      <c r="H22" s="4">
        <v>570</v>
      </c>
    </row>
    <row r="23" spans="1:9">
      <c r="A23" t="s">
        <v>24</v>
      </c>
      <c r="C23">
        <v>398</v>
      </c>
      <c r="D23">
        <v>398</v>
      </c>
      <c r="E23">
        <v>398</v>
      </c>
      <c r="F23">
        <v>398</v>
      </c>
      <c r="G23">
        <v>398</v>
      </c>
      <c r="H23">
        <v>398</v>
      </c>
    </row>
    <row r="24" spans="1:9">
      <c r="A24" t="s">
        <v>12</v>
      </c>
      <c r="C24">
        <v>50</v>
      </c>
      <c r="D24">
        <v>50</v>
      </c>
      <c r="E24">
        <v>50</v>
      </c>
      <c r="F24">
        <v>50</v>
      </c>
      <c r="G24">
        <v>50</v>
      </c>
      <c r="H24">
        <v>50</v>
      </c>
    </row>
    <row r="25" spans="1:9">
      <c r="A25" s="1" t="s">
        <v>69</v>
      </c>
    </row>
    <row r="26" spans="1:9">
      <c r="A26" t="s">
        <v>20</v>
      </c>
    </row>
    <row r="27" spans="1:9">
      <c r="A27" t="s">
        <v>21</v>
      </c>
      <c r="C27">
        <v>70</v>
      </c>
      <c r="D27">
        <v>70</v>
      </c>
      <c r="E27">
        <v>80</v>
      </c>
      <c r="F27">
        <v>80</v>
      </c>
      <c r="G27">
        <v>90</v>
      </c>
      <c r="H27">
        <v>90</v>
      </c>
    </row>
    <row r="28" spans="1:9">
      <c r="A28" t="s">
        <v>22</v>
      </c>
    </row>
    <row r="29" spans="1:9">
      <c r="A29" t="s">
        <v>23</v>
      </c>
      <c r="C29">
        <v>700</v>
      </c>
      <c r="D29">
        <v>700</v>
      </c>
      <c r="E29">
        <v>700</v>
      </c>
      <c r="F29">
        <v>700</v>
      </c>
      <c r="G29">
        <v>700</v>
      </c>
      <c r="H29">
        <v>700</v>
      </c>
    </row>
    <row r="30" spans="1:9">
      <c r="A30" t="s">
        <v>25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</row>
    <row r="31" spans="1:9">
      <c r="A31" t="s">
        <v>26</v>
      </c>
      <c r="C31">
        <v>50</v>
      </c>
      <c r="D31">
        <v>50</v>
      </c>
      <c r="E31">
        <v>50</v>
      </c>
      <c r="F31">
        <v>50</v>
      </c>
      <c r="G31">
        <v>50</v>
      </c>
      <c r="H31">
        <v>50</v>
      </c>
    </row>
    <row r="32" spans="1:9">
      <c r="A32" t="s">
        <v>27</v>
      </c>
      <c r="C32">
        <f t="shared" ref="C32:H33" si="0">C34*2.54</f>
        <v>157.47999999999999</v>
      </c>
      <c r="D32">
        <f t="shared" si="0"/>
        <v>162.56</v>
      </c>
      <c r="E32">
        <f t="shared" si="0"/>
        <v>167.64000000000001</v>
      </c>
      <c r="F32">
        <f t="shared" si="0"/>
        <v>172.72</v>
      </c>
      <c r="G32">
        <f t="shared" si="0"/>
        <v>177.8</v>
      </c>
      <c r="H32">
        <f t="shared" si="0"/>
        <v>182.88</v>
      </c>
    </row>
    <row r="33" spans="1:8">
      <c r="A33" t="s">
        <v>28</v>
      </c>
      <c r="C33">
        <f t="shared" si="0"/>
        <v>165.1</v>
      </c>
      <c r="D33">
        <f t="shared" si="0"/>
        <v>170.18</v>
      </c>
      <c r="E33">
        <f t="shared" si="0"/>
        <v>175.26</v>
      </c>
      <c r="F33">
        <f t="shared" si="0"/>
        <v>180.34</v>
      </c>
      <c r="G33">
        <f t="shared" si="0"/>
        <v>185.42000000000002</v>
      </c>
      <c r="H33">
        <f t="shared" si="0"/>
        <v>193.04</v>
      </c>
    </row>
    <row r="34" spans="1:8">
      <c r="C34">
        <v>62</v>
      </c>
      <c r="D34">
        <v>64</v>
      </c>
      <c r="E34">
        <v>66</v>
      </c>
      <c r="F34">
        <v>68</v>
      </c>
      <c r="G34">
        <v>70</v>
      </c>
      <c r="H34">
        <v>72</v>
      </c>
    </row>
    <row r="35" spans="1:8" ht="21">
      <c r="A35" t="s">
        <v>29</v>
      </c>
      <c r="B35" t="s">
        <v>30</v>
      </c>
      <c r="C35" s="2">
        <v>65</v>
      </c>
      <c r="D35" s="2">
        <v>67</v>
      </c>
      <c r="E35" s="2">
        <v>69</v>
      </c>
      <c r="F35" s="2">
        <v>71</v>
      </c>
      <c r="G35" s="2">
        <v>73</v>
      </c>
      <c r="H35" s="2">
        <v>76</v>
      </c>
    </row>
    <row r="36" spans="1:8">
      <c r="A36" t="s">
        <v>92</v>
      </c>
      <c r="B36" t="s">
        <v>93</v>
      </c>
    </row>
    <row r="37" spans="1:8">
      <c r="A37" t="s">
        <v>94</v>
      </c>
      <c r="B37" t="s">
        <v>95</v>
      </c>
    </row>
    <row r="38" spans="1:8" ht="21">
      <c r="A38" t="s">
        <v>96</v>
      </c>
      <c r="B38" t="s">
        <v>97</v>
      </c>
      <c r="C38" s="2"/>
      <c r="D38" s="2"/>
      <c r="E38" s="2"/>
      <c r="F38" s="2"/>
    </row>
    <row r="39" spans="1:8">
      <c r="A39" t="s">
        <v>31</v>
      </c>
      <c r="B39" s="1" t="s">
        <v>111</v>
      </c>
      <c r="C39" s="1" t="s">
        <v>112</v>
      </c>
    </row>
    <row r="40" spans="1:8">
      <c r="A40" t="s">
        <v>32</v>
      </c>
      <c r="B40" s="1" t="s">
        <v>67</v>
      </c>
    </row>
    <row r="41" spans="1:8">
      <c r="A41" t="s">
        <v>33</v>
      </c>
    </row>
    <row r="42" spans="1:8">
      <c r="A42" t="s">
        <v>34</v>
      </c>
      <c r="B42">
        <v>50</v>
      </c>
    </row>
    <row r="43" spans="1:8">
      <c r="A43" t="s">
        <v>35</v>
      </c>
      <c r="B43" s="1"/>
    </row>
    <row r="44" spans="1:8">
      <c r="A44" t="s">
        <v>36</v>
      </c>
    </row>
    <row r="45" spans="1:8">
      <c r="A45" t="s">
        <v>37</v>
      </c>
    </row>
    <row r="46" spans="1:8">
      <c r="A46" t="s">
        <v>38</v>
      </c>
    </row>
    <row r="47" spans="1:8">
      <c r="A47" t="s">
        <v>39</v>
      </c>
    </row>
    <row r="48" spans="1:8">
      <c r="A48" t="s">
        <v>40</v>
      </c>
      <c r="B48">
        <v>142</v>
      </c>
    </row>
    <row r="49" spans="1:2">
      <c r="A49" t="s">
        <v>41</v>
      </c>
      <c r="B49">
        <v>100</v>
      </c>
    </row>
    <row r="50" spans="1:2">
      <c r="A50" t="s">
        <v>101</v>
      </c>
      <c r="B50">
        <v>44</v>
      </c>
    </row>
    <row r="51" spans="1:2">
      <c r="A51" t="s">
        <v>102</v>
      </c>
      <c r="B51" s="1" t="s">
        <v>114</v>
      </c>
    </row>
    <row r="52" spans="1:2">
      <c r="A52" t="s">
        <v>103</v>
      </c>
      <c r="B52" s="1" t="s">
        <v>115</v>
      </c>
    </row>
    <row r="53" spans="1:2">
      <c r="A53" t="s">
        <v>104</v>
      </c>
      <c r="B53" s="1" t="s">
        <v>117</v>
      </c>
    </row>
    <row r="54" spans="1:2">
      <c r="A54" t="s">
        <v>105</v>
      </c>
      <c r="B54">
        <v>1.5</v>
      </c>
    </row>
    <row r="55" spans="1:2">
      <c r="A55" t="s">
        <v>106</v>
      </c>
    </row>
    <row r="56" spans="1:2">
      <c r="A56" t="s">
        <v>42</v>
      </c>
      <c r="B56" s="1" t="s">
        <v>113</v>
      </c>
    </row>
    <row r="57" spans="1:2">
      <c r="A57" t="s">
        <v>43</v>
      </c>
    </row>
    <row r="58" spans="1:2">
      <c r="A58" t="s">
        <v>44</v>
      </c>
      <c r="B58">
        <v>27.2</v>
      </c>
    </row>
    <row r="59" spans="1:2">
      <c r="A59" t="s">
        <v>45</v>
      </c>
      <c r="B59" s="1" t="s">
        <v>67</v>
      </c>
    </row>
    <row r="60" spans="1:2">
      <c r="A60" t="s">
        <v>46</v>
      </c>
      <c r="B60">
        <v>42</v>
      </c>
    </row>
    <row r="61" spans="1:2">
      <c r="A61" t="s">
        <v>47</v>
      </c>
      <c r="B61" s="1">
        <v>43</v>
      </c>
    </row>
    <row r="62" spans="1:2">
      <c r="A62" t="s">
        <v>48</v>
      </c>
      <c r="B62">
        <v>160</v>
      </c>
    </row>
    <row r="63" spans="1:2">
      <c r="A63" t="s">
        <v>49</v>
      </c>
      <c r="B63">
        <v>160</v>
      </c>
    </row>
    <row r="64" spans="1:2">
      <c r="A64" t="s">
        <v>50</v>
      </c>
    </row>
    <row r="65" spans="1:2">
      <c r="A65" t="s">
        <v>51</v>
      </c>
      <c r="B65" s="1" t="s">
        <v>116</v>
      </c>
    </row>
    <row r="66" spans="1:2">
      <c r="A66" t="s">
        <v>52</v>
      </c>
      <c r="B66" s="1"/>
    </row>
    <row r="67" spans="1:2">
      <c r="A67" t="s">
        <v>53</v>
      </c>
      <c r="B67" s="1" t="s">
        <v>67</v>
      </c>
    </row>
    <row r="68" spans="1:2">
      <c r="A68" t="s">
        <v>54</v>
      </c>
    </row>
    <row r="69" spans="1:2">
      <c r="A69" t="s">
        <v>55</v>
      </c>
      <c r="B69">
        <v>2</v>
      </c>
    </row>
    <row r="70" spans="1:2">
      <c r="A70" t="s">
        <v>56</v>
      </c>
      <c r="B70">
        <v>1</v>
      </c>
    </row>
    <row r="71" spans="1:2">
      <c r="A71" t="s">
        <v>57</v>
      </c>
      <c r="B71" s="1"/>
    </row>
    <row r="72" spans="1:2">
      <c r="A72" t="s">
        <v>58</v>
      </c>
      <c r="B72" s="1"/>
    </row>
    <row r="73" spans="1:2">
      <c r="A73" t="s">
        <v>59</v>
      </c>
      <c r="B73" s="1" t="s">
        <v>67</v>
      </c>
    </row>
    <row r="74" spans="1:2">
      <c r="A74" t="s">
        <v>60</v>
      </c>
      <c r="B74" s="1"/>
    </row>
    <row r="75" spans="1:2">
      <c r="A75" t="s">
        <v>61</v>
      </c>
      <c r="B75" s="1"/>
    </row>
    <row r="76" spans="1:2">
      <c r="A76" t="s">
        <v>62</v>
      </c>
      <c r="B76">
        <v>1695</v>
      </c>
    </row>
    <row r="77" spans="1:2">
      <c r="A77" t="s">
        <v>63</v>
      </c>
      <c r="B77">
        <v>3995</v>
      </c>
    </row>
    <row r="78" spans="1:2">
      <c r="A78" t="s">
        <v>64</v>
      </c>
      <c r="B78" s="1"/>
    </row>
    <row r="79" spans="1:2">
      <c r="A79" t="s">
        <v>65</v>
      </c>
      <c r="B79" s="1" t="s">
        <v>98</v>
      </c>
    </row>
    <row r="80" spans="1:2">
      <c r="A80" t="s">
        <v>99</v>
      </c>
      <c r="B80" t="s">
        <v>100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2025-11-10T12:11:14Z</dcterms:modified>
</cp:coreProperties>
</file>