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0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9B45733C-2797-3644-971D-6306A9706BA3}" xr6:coauthVersionLast="47" xr6:coauthVersionMax="47" xr10:uidLastSave="{00000000-0000-0000-0000-000000000000}"/>
  <bookViews>
    <workbookView xWindow="400" yWindow="500" windowWidth="28040" windowHeight="14560" xr2:uid="{AE0F04AA-80E5-8247-9791-D6B95FAD9AB5}"/>
  </bookViews>
  <sheets>
    <sheet name="Mondraker Arid Carbon 2025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5" i="1" l="1"/>
  <c r="E35" i="1"/>
  <c r="F35" i="1"/>
  <c r="C35" i="1"/>
  <c r="E34" i="1"/>
  <c r="F34" i="1"/>
  <c r="G34" i="1"/>
  <c r="D34" i="1"/>
  <c r="G35" i="1"/>
  <c r="C34" i="1"/>
</calcChain>
</file>

<file path=xl/sharedStrings.xml><?xml version="1.0" encoding="utf-8"?>
<sst xmlns="http://schemas.openxmlformats.org/spreadsheetml/2006/main" count="61" uniqueCount="61">
  <si>
    <t>brand</t>
  </si>
  <si>
    <t>model</t>
  </si>
  <si>
    <t>model year</t>
  </si>
  <si>
    <t>input date</t>
  </si>
  <si>
    <t>URL</t>
  </si>
  <si>
    <t>material</t>
  </si>
  <si>
    <t>carbon</t>
  </si>
  <si>
    <t>frame weight</t>
  </si>
  <si>
    <t>UDH</t>
  </si>
  <si>
    <t>yes</t>
  </si>
  <si>
    <t>measure range</t>
  </si>
  <si>
    <t>frame_size</t>
  </si>
  <si>
    <t>seat_tube_length</t>
  </si>
  <si>
    <t>top_tube_effective_length</t>
  </si>
  <si>
    <t>head_tube_length</t>
  </si>
  <si>
    <t>chainstay_length</t>
  </si>
  <si>
    <t>bottom_bracket_drop</t>
  </si>
  <si>
    <t>wheelbase</t>
  </si>
  <si>
    <t>head_tube_angle</t>
  </si>
  <si>
    <t>seat_tube_angle</t>
  </si>
  <si>
    <t>fork_offset_rake</t>
  </si>
  <si>
    <t>standover</t>
  </si>
  <si>
    <t>reach</t>
  </si>
  <si>
    <t>stack</t>
  </si>
  <si>
    <t>axle_crown</t>
  </si>
  <si>
    <t>trail</t>
  </si>
  <si>
    <t>handlebar_width</t>
  </si>
  <si>
    <t>stem_length</t>
  </si>
  <si>
    <t>crank_length</t>
  </si>
  <si>
    <t>wheel_size</t>
  </si>
  <si>
    <t>tire_width_spec</t>
  </si>
  <si>
    <t>tire_width_max</t>
  </si>
  <si>
    <t>rider_min</t>
  </si>
  <si>
    <t>rider_max</t>
  </si>
  <si>
    <t>FRAME SIZE</t>
  </si>
  <si>
    <t>bb_height</t>
  </si>
  <si>
    <t>https://whytebikes.com/products/verro-gravel-adventure-bike?variant=55457665679733</t>
  </si>
  <si>
    <t>Mondraker</t>
  </si>
  <si>
    <t>Arid Carbon</t>
  </si>
  <si>
    <t>S</t>
  </si>
  <si>
    <t>M</t>
  </si>
  <si>
    <t>M/L</t>
  </si>
  <si>
    <t>L</t>
  </si>
  <si>
    <t>XL</t>
  </si>
  <si>
    <t>Seattube length</t>
  </si>
  <si>
    <t>Toptube length</t>
  </si>
  <si>
    <t>Bottom bracket drop</t>
  </si>
  <si>
    <t>Bottom bracket height</t>
  </si>
  <si>
    <t>Chainstay length</t>
  </si>
  <si>
    <t>Seat tube angle</t>
  </si>
  <si>
    <t>Effective seattube angle</t>
  </si>
  <si>
    <t>Headtube angle</t>
  </si>
  <si>
    <t>Fork Offset</t>
  </si>
  <si>
    <t>Wheelbase</t>
  </si>
  <si>
    <t>Headtube length</t>
  </si>
  <si>
    <t>Reach</t>
  </si>
  <si>
    <t>Stack</t>
  </si>
  <si>
    <t>Stem Length</t>
  </si>
  <si>
    <t>Fork Height</t>
  </si>
  <si>
    <t>actual_seat_tube_angle</t>
  </si>
  <si>
    <t>a10:g34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</si>
</sst>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2"/>
      <color theme="1"/>
      <name val="Aptos Narrow"/>
      <family val="2"/>
      <scheme val="minor"/>
    </font>
    <font>
      <sz val="14"/>
      <color theme="1"/>
      <name val="Futura Medium"/>
    </font>
    <font>
      <sz val="14"/>
      <color rgb="FF333333"/>
      <name val="Futura Medium"/>
    </font>
    <font>
      <b/>
      <sz val="14"/>
      <color rgb="FF000000"/>
      <name val="Arial"/>
      <family val="2"/>
    </font>
    <font>
      <sz val="14"/>
      <color rgb="FF000000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15" fontId="1" fillId="0" borderId="0" xfId="0" applyNumberFormat="1" applyFont="1"/>
    <xf numFmtId="0" fontId="2" fillId="0" borderId="0" xfId="0" applyFont="1"/>
    <xf numFmtId="0" fontId="3" fillId="0" borderId="0" xfId="0" applyFont="1"/>
    <xf numFmtId="0" fontId="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9AF885-3999-4E4F-8F92-5857EF0F7F08}">
  <dimension ref="A1:R37"/>
  <sheetViews>
    <sheetView tabSelected="1" workbookViewId="0">
      <selection activeCell="B9" sqref="B9"/>
    </sheetView>
  </sheetViews>
  <sheetFormatPr baseColWidth="10" defaultRowHeight="20" x14ac:dyDescent="0.3"/>
  <cols>
    <col min="1" max="1" width="29.33203125" style="1" bestFit="1" customWidth="1"/>
    <col min="2" max="2" width="36.6640625" style="1" customWidth="1"/>
    <col min="3" max="8" width="11" style="1" bestFit="1" customWidth="1"/>
    <col min="9" max="9" width="10.83203125" style="1"/>
    <col min="10" max="10" width="19" style="1" customWidth="1"/>
    <col min="11" max="25" width="11" style="1" bestFit="1" customWidth="1"/>
    <col min="26" max="16384" width="10.83203125" style="1"/>
  </cols>
  <sheetData>
    <row r="1" spans="1:18" x14ac:dyDescent="0.3">
      <c r="A1" s="1" t="s">
        <v>0</v>
      </c>
      <c r="B1" s="1" t="s">
        <v>37</v>
      </c>
    </row>
    <row r="2" spans="1:18" x14ac:dyDescent="0.3">
      <c r="A2" s="1" t="s">
        <v>1</v>
      </c>
      <c r="B2" s="1" t="s">
        <v>38</v>
      </c>
    </row>
    <row r="3" spans="1:18" x14ac:dyDescent="0.3">
      <c r="A3" s="1" t="s">
        <v>2</v>
      </c>
      <c r="B3" s="1">
        <v>2025</v>
      </c>
    </row>
    <row r="4" spans="1:18" x14ac:dyDescent="0.3">
      <c r="A4" s="1" t="s">
        <v>3</v>
      </c>
      <c r="B4" s="2">
        <v>45853</v>
      </c>
    </row>
    <row r="5" spans="1:18" x14ac:dyDescent="0.3">
      <c r="A5" s="1" t="s">
        <v>4</v>
      </c>
      <c r="B5" s="1" t="s">
        <v>36</v>
      </c>
    </row>
    <row r="6" spans="1:18" x14ac:dyDescent="0.3">
      <c r="A6" s="1" t="s">
        <v>5</v>
      </c>
      <c r="B6" s="1" t="s">
        <v>6</v>
      </c>
    </row>
    <row r="7" spans="1:18" x14ac:dyDescent="0.3">
      <c r="A7" s="1" t="s">
        <v>7</v>
      </c>
    </row>
    <row r="8" spans="1:18" x14ac:dyDescent="0.3">
      <c r="A8" s="1" t="s">
        <v>8</v>
      </c>
      <c r="B8" s="1" t="s">
        <v>9</v>
      </c>
    </row>
    <row r="9" spans="1:18" x14ac:dyDescent="0.3">
      <c r="A9" s="1" t="s">
        <v>10</v>
      </c>
      <c r="B9" s="1" t="s">
        <v>60</v>
      </c>
    </row>
    <row r="10" spans="1:18" x14ac:dyDescent="0.3">
      <c r="A10" s="1" t="s">
        <v>11</v>
      </c>
      <c r="B10" s="4" t="s">
        <v>34</v>
      </c>
      <c r="C10" s="4" t="s">
        <v>39</v>
      </c>
      <c r="D10" s="4" t="s">
        <v>40</v>
      </c>
      <c r="E10" s="4" t="s">
        <v>41</v>
      </c>
      <c r="F10" s="4" t="s">
        <v>42</v>
      </c>
      <c r="G10" s="4" t="s">
        <v>43</v>
      </c>
      <c r="L10" s="3"/>
      <c r="M10" s="3"/>
      <c r="N10" s="3"/>
      <c r="O10" s="3"/>
      <c r="P10" s="3"/>
      <c r="Q10" s="3"/>
      <c r="R10" s="3"/>
    </row>
    <row r="11" spans="1:18" x14ac:dyDescent="0.3">
      <c r="A11" s="1" t="s">
        <v>12</v>
      </c>
      <c r="B11" s="5" t="s">
        <v>44</v>
      </c>
      <c r="C11" s="5">
        <v>410</v>
      </c>
      <c r="D11" s="5">
        <v>450</v>
      </c>
      <c r="E11" s="5">
        <v>480</v>
      </c>
      <c r="F11" s="5">
        <v>510</v>
      </c>
      <c r="G11" s="1">
        <v>540</v>
      </c>
      <c r="K11" s="3"/>
      <c r="L11" s="3"/>
      <c r="M11" s="3"/>
      <c r="N11" s="3"/>
      <c r="O11" s="3"/>
      <c r="P11" s="3"/>
      <c r="Q11" s="3"/>
      <c r="R11" s="3"/>
    </row>
    <row r="12" spans="1:18" x14ac:dyDescent="0.3">
      <c r="A12" s="1" t="s">
        <v>13</v>
      </c>
      <c r="B12" s="5" t="s">
        <v>45</v>
      </c>
      <c r="C12" s="5">
        <v>520</v>
      </c>
      <c r="D12" s="5">
        <v>550</v>
      </c>
      <c r="E12" s="5">
        <v>580</v>
      </c>
      <c r="F12" s="5">
        <v>600</v>
      </c>
      <c r="G12" s="1">
        <v>630</v>
      </c>
      <c r="K12" s="3"/>
      <c r="L12" s="3"/>
      <c r="M12" s="3"/>
      <c r="N12" s="3"/>
      <c r="O12" s="3"/>
      <c r="P12" s="3"/>
      <c r="Q12" s="3"/>
      <c r="R12" s="3"/>
    </row>
    <row r="13" spans="1:18" x14ac:dyDescent="0.3">
      <c r="A13" s="1" t="s">
        <v>16</v>
      </c>
      <c r="B13" s="5" t="s">
        <v>46</v>
      </c>
      <c r="C13" s="5">
        <v>75</v>
      </c>
      <c r="D13" s="5">
        <v>75</v>
      </c>
      <c r="E13" s="5">
        <v>75</v>
      </c>
      <c r="F13" s="5">
        <v>75</v>
      </c>
      <c r="G13" s="5">
        <v>75</v>
      </c>
      <c r="K13" s="3"/>
      <c r="L13" s="3"/>
      <c r="M13" s="3"/>
      <c r="N13" s="3"/>
      <c r="O13" s="3"/>
      <c r="P13" s="3"/>
      <c r="Q13" s="3"/>
      <c r="R13" s="3"/>
    </row>
    <row r="14" spans="1:18" x14ac:dyDescent="0.3">
      <c r="A14" s="1" t="s">
        <v>35</v>
      </c>
      <c r="B14" s="5" t="s">
        <v>47</v>
      </c>
      <c r="C14" s="5">
        <v>269</v>
      </c>
      <c r="D14" s="5">
        <v>269</v>
      </c>
      <c r="E14" s="5">
        <v>269</v>
      </c>
      <c r="F14" s="5">
        <v>269</v>
      </c>
      <c r="G14" s="1">
        <v>269</v>
      </c>
      <c r="K14" s="3"/>
      <c r="L14" s="3"/>
      <c r="M14" s="3"/>
      <c r="N14" s="3"/>
      <c r="O14" s="3"/>
      <c r="P14" s="3"/>
      <c r="Q14" s="3"/>
      <c r="R14" s="3"/>
    </row>
    <row r="15" spans="1:18" x14ac:dyDescent="0.3">
      <c r="A15" s="1" t="s">
        <v>15</v>
      </c>
      <c r="B15" s="5" t="s">
        <v>48</v>
      </c>
      <c r="C15" s="5">
        <v>425</v>
      </c>
      <c r="D15" s="5">
        <v>425</v>
      </c>
      <c r="E15" s="5">
        <v>425</v>
      </c>
      <c r="F15" s="5">
        <v>425</v>
      </c>
      <c r="G15" s="1">
        <v>425</v>
      </c>
      <c r="K15" s="3"/>
      <c r="L15" s="3"/>
      <c r="M15" s="3"/>
      <c r="N15" s="3"/>
      <c r="O15" s="3"/>
      <c r="P15" s="3"/>
      <c r="Q15" s="3"/>
      <c r="R15" s="3"/>
    </row>
    <row r="16" spans="1:18" x14ac:dyDescent="0.3">
      <c r="A16" s="1" t="s">
        <v>59</v>
      </c>
      <c r="B16" s="5" t="s">
        <v>49</v>
      </c>
      <c r="C16" s="5">
        <v>73</v>
      </c>
      <c r="D16" s="5">
        <v>73</v>
      </c>
      <c r="E16" s="5">
        <v>73</v>
      </c>
      <c r="F16" s="5">
        <v>73</v>
      </c>
      <c r="G16" s="1">
        <v>73</v>
      </c>
      <c r="K16" s="3"/>
      <c r="L16" s="3"/>
      <c r="M16" s="3"/>
      <c r="N16" s="3"/>
      <c r="O16" s="3"/>
      <c r="P16" s="3"/>
      <c r="Q16" s="3"/>
      <c r="R16" s="3"/>
    </row>
    <row r="17" spans="1:18" x14ac:dyDescent="0.3">
      <c r="A17" s="1" t="s">
        <v>19</v>
      </c>
      <c r="B17" s="5" t="s">
        <v>50</v>
      </c>
      <c r="C17" s="5">
        <v>74</v>
      </c>
      <c r="D17" s="5">
        <v>74</v>
      </c>
      <c r="E17" s="5">
        <v>74</v>
      </c>
      <c r="F17" s="5">
        <v>74</v>
      </c>
      <c r="G17" s="1">
        <v>74</v>
      </c>
      <c r="K17" s="3"/>
      <c r="L17" s="3"/>
      <c r="M17" s="3"/>
      <c r="N17" s="3"/>
      <c r="O17" s="3"/>
      <c r="P17" s="3"/>
      <c r="Q17" s="3"/>
      <c r="R17" s="3"/>
    </row>
    <row r="18" spans="1:18" x14ac:dyDescent="0.3">
      <c r="A18" s="1" t="s">
        <v>18</v>
      </c>
      <c r="B18" s="5" t="s">
        <v>51</v>
      </c>
      <c r="C18" s="5">
        <v>70</v>
      </c>
      <c r="D18" s="5">
        <v>70</v>
      </c>
      <c r="E18" s="5">
        <v>70</v>
      </c>
      <c r="F18" s="5">
        <v>70</v>
      </c>
      <c r="G18" s="1">
        <v>70</v>
      </c>
      <c r="K18" s="3"/>
      <c r="L18" s="3"/>
      <c r="M18" s="3"/>
      <c r="N18" s="3"/>
      <c r="O18" s="3"/>
      <c r="P18" s="3"/>
      <c r="Q18" s="3"/>
      <c r="R18" s="3"/>
    </row>
    <row r="19" spans="1:18" x14ac:dyDescent="0.3">
      <c r="A19" s="1" t="s">
        <v>20</v>
      </c>
      <c r="B19" s="5" t="s">
        <v>52</v>
      </c>
      <c r="C19" s="5">
        <v>45</v>
      </c>
      <c r="D19" s="5">
        <v>45</v>
      </c>
      <c r="E19" s="5">
        <v>45</v>
      </c>
      <c r="F19" s="5">
        <v>45</v>
      </c>
      <c r="G19" s="1">
        <v>45</v>
      </c>
      <c r="K19" s="3"/>
      <c r="L19" s="3"/>
      <c r="M19" s="3"/>
      <c r="N19" s="3"/>
      <c r="O19" s="3"/>
      <c r="P19" s="3"/>
      <c r="Q19" s="3"/>
      <c r="R19" s="3"/>
    </row>
    <row r="20" spans="1:18" x14ac:dyDescent="0.3">
      <c r="A20" s="1" t="s">
        <v>17</v>
      </c>
      <c r="B20" s="5" t="s">
        <v>53</v>
      </c>
      <c r="C20" s="5">
        <v>1003</v>
      </c>
      <c r="D20" s="5">
        <v>1035</v>
      </c>
      <c r="E20" s="5">
        <v>1067</v>
      </c>
      <c r="F20" s="5">
        <v>1089</v>
      </c>
      <c r="G20" s="1">
        <v>1121</v>
      </c>
      <c r="K20" s="3"/>
      <c r="L20" s="3"/>
      <c r="M20" s="3"/>
      <c r="N20" s="3"/>
      <c r="O20" s="3"/>
      <c r="P20" s="3"/>
      <c r="Q20" s="3"/>
      <c r="R20" s="3"/>
    </row>
    <row r="21" spans="1:18" x14ac:dyDescent="0.3">
      <c r="A21" s="1" t="s">
        <v>14</v>
      </c>
      <c r="B21" s="1" t="s">
        <v>54</v>
      </c>
      <c r="C21" s="1">
        <v>100</v>
      </c>
      <c r="D21" s="1">
        <v>125</v>
      </c>
      <c r="E21" s="1">
        <v>145</v>
      </c>
      <c r="F21" s="1">
        <v>175</v>
      </c>
      <c r="G21" s="1">
        <v>200</v>
      </c>
      <c r="K21" s="3"/>
      <c r="L21" s="3"/>
      <c r="M21" s="3"/>
      <c r="N21" s="3"/>
      <c r="O21" s="3"/>
      <c r="P21" s="3"/>
      <c r="Q21" s="3"/>
      <c r="R21" s="3"/>
    </row>
    <row r="22" spans="1:18" x14ac:dyDescent="0.3">
      <c r="A22" s="1" t="s">
        <v>22</v>
      </c>
      <c r="B22" s="1" t="s">
        <v>55</v>
      </c>
      <c r="C22" s="1">
        <v>363</v>
      </c>
      <c r="D22" s="1">
        <v>386</v>
      </c>
      <c r="E22" s="1">
        <v>411</v>
      </c>
      <c r="F22" s="1">
        <v>423</v>
      </c>
      <c r="G22" s="1">
        <v>446</v>
      </c>
      <c r="K22" s="3"/>
      <c r="L22" s="3"/>
      <c r="M22" s="3"/>
      <c r="N22" s="3"/>
      <c r="O22" s="3"/>
      <c r="P22" s="3"/>
      <c r="Q22" s="3"/>
      <c r="R22" s="3"/>
    </row>
    <row r="23" spans="1:18" x14ac:dyDescent="0.3">
      <c r="A23" s="1" t="s">
        <v>23</v>
      </c>
      <c r="B23" s="1" t="s">
        <v>56</v>
      </c>
      <c r="C23" s="1">
        <v>548</v>
      </c>
      <c r="D23" s="1">
        <v>572</v>
      </c>
      <c r="E23" s="1">
        <v>591</v>
      </c>
      <c r="F23" s="1">
        <v>619</v>
      </c>
      <c r="G23" s="1">
        <v>642</v>
      </c>
      <c r="K23" s="3"/>
      <c r="L23" s="3"/>
      <c r="M23" s="3"/>
      <c r="N23" s="3"/>
      <c r="O23" s="3"/>
      <c r="P23" s="3"/>
      <c r="Q23" s="3"/>
      <c r="R23" s="3"/>
    </row>
    <row r="24" spans="1:18" x14ac:dyDescent="0.3">
      <c r="A24" s="1" t="s">
        <v>27</v>
      </c>
      <c r="B24" s="1" t="s">
        <v>57</v>
      </c>
      <c r="C24" s="1">
        <v>60</v>
      </c>
      <c r="D24" s="1">
        <v>70</v>
      </c>
      <c r="E24" s="1">
        <v>70</v>
      </c>
      <c r="F24" s="1">
        <v>80</v>
      </c>
      <c r="G24" s="1">
        <v>90</v>
      </c>
    </row>
    <row r="25" spans="1:18" x14ac:dyDescent="0.3">
      <c r="A25" s="1" t="s">
        <v>24</v>
      </c>
      <c r="B25" s="1" t="s">
        <v>58</v>
      </c>
      <c r="C25" s="1">
        <v>420</v>
      </c>
      <c r="D25" s="1">
        <v>420</v>
      </c>
      <c r="E25" s="1">
        <v>420</v>
      </c>
      <c r="F25" s="1">
        <v>420</v>
      </c>
      <c r="G25" s="1">
        <v>420</v>
      </c>
      <c r="K25" s="3"/>
      <c r="L25" s="3"/>
      <c r="M25" s="3"/>
      <c r="N25" s="3"/>
      <c r="O25" s="3"/>
      <c r="P25" s="3"/>
      <c r="Q25" s="3"/>
      <c r="R25" s="3"/>
    </row>
    <row r="26" spans="1:18" x14ac:dyDescent="0.3">
      <c r="A26" s="1" t="s">
        <v>21</v>
      </c>
      <c r="K26" s="3"/>
      <c r="L26" s="3"/>
      <c r="M26" s="3"/>
      <c r="N26" s="3"/>
      <c r="O26" s="3"/>
      <c r="P26" s="3"/>
      <c r="Q26" s="3"/>
      <c r="R26" s="3"/>
    </row>
    <row r="27" spans="1:18" x14ac:dyDescent="0.3">
      <c r="A27" s="1" t="s">
        <v>25</v>
      </c>
      <c r="K27" s="3"/>
      <c r="L27" s="3"/>
      <c r="M27" s="3"/>
      <c r="N27" s="3"/>
      <c r="O27" s="3"/>
      <c r="P27" s="3"/>
      <c r="Q27" s="3"/>
      <c r="R27" s="3"/>
    </row>
    <row r="28" spans="1:18" x14ac:dyDescent="0.3">
      <c r="A28" s="1" t="s">
        <v>26</v>
      </c>
    </row>
    <row r="29" spans="1:18" x14ac:dyDescent="0.3">
      <c r="A29" s="1" t="s">
        <v>28</v>
      </c>
    </row>
    <row r="30" spans="1:18" x14ac:dyDescent="0.3">
      <c r="A30" s="1" t="s">
        <v>29</v>
      </c>
      <c r="C30" s="1">
        <v>700</v>
      </c>
      <c r="D30" s="1">
        <v>700</v>
      </c>
      <c r="E30" s="1">
        <v>700</v>
      </c>
      <c r="F30" s="1">
        <v>700</v>
      </c>
      <c r="G30" s="1">
        <v>700</v>
      </c>
    </row>
    <row r="31" spans="1:18" x14ac:dyDescent="0.3">
      <c r="A31" s="1" t="s">
        <v>30</v>
      </c>
      <c r="C31" s="1">
        <v>45</v>
      </c>
      <c r="D31" s="1">
        <v>45</v>
      </c>
      <c r="E31" s="1">
        <v>45</v>
      </c>
      <c r="F31" s="1">
        <v>45</v>
      </c>
      <c r="G31" s="1">
        <v>45</v>
      </c>
    </row>
    <row r="32" spans="1:18" x14ac:dyDescent="0.3">
      <c r="A32" s="1" t="s">
        <v>31</v>
      </c>
      <c r="C32" s="1">
        <v>50</v>
      </c>
      <c r="D32" s="1">
        <v>50</v>
      </c>
      <c r="E32" s="1">
        <v>50</v>
      </c>
      <c r="F32" s="1">
        <v>50</v>
      </c>
      <c r="G32" s="1">
        <v>50</v>
      </c>
    </row>
    <row r="33" spans="1:7" x14ac:dyDescent="0.3">
      <c r="A33" s="1" t="s">
        <v>32</v>
      </c>
    </row>
    <row r="34" spans="1:7" x14ac:dyDescent="0.3">
      <c r="A34" s="1" t="s">
        <v>33</v>
      </c>
      <c r="C34" s="1">
        <f>C36</f>
        <v>160</v>
      </c>
      <c r="D34" s="1">
        <f>AVERAGE(D36,C37)</f>
        <v>166.25</v>
      </c>
      <c r="E34" s="1">
        <f t="shared" ref="E34:G34" si="0">AVERAGE(E36,D37)</f>
        <v>175</v>
      </c>
      <c r="F34" s="1">
        <f t="shared" si="0"/>
        <v>183.75</v>
      </c>
      <c r="G34" s="1">
        <f t="shared" si="0"/>
        <v>191.25</v>
      </c>
    </row>
    <row r="35" spans="1:7" x14ac:dyDescent="0.3">
      <c r="C35" s="1">
        <f>D34</f>
        <v>166.25</v>
      </c>
      <c r="D35" s="1">
        <f t="shared" ref="D35:F35" si="1">E34</f>
        <v>175</v>
      </c>
      <c r="E35" s="1">
        <f t="shared" si="1"/>
        <v>183.75</v>
      </c>
      <c r="F35" s="1">
        <f t="shared" si="1"/>
        <v>191.25</v>
      </c>
      <c r="G35" s="1">
        <f t="shared" ref="D34:G35" si="2">G37</f>
        <v>200</v>
      </c>
    </row>
    <row r="36" spans="1:7" x14ac:dyDescent="0.3">
      <c r="C36" s="1">
        <v>160</v>
      </c>
      <c r="D36" s="1">
        <v>165</v>
      </c>
      <c r="E36" s="1">
        <v>172.5</v>
      </c>
      <c r="F36" s="1">
        <v>182.5</v>
      </c>
      <c r="G36" s="1">
        <v>190</v>
      </c>
    </row>
    <row r="37" spans="1:7" x14ac:dyDescent="0.3">
      <c r="C37" s="1">
        <v>167.5</v>
      </c>
      <c r="D37" s="1">
        <v>177.5</v>
      </c>
      <c r="E37" s="1">
        <v>185</v>
      </c>
      <c r="F37" s="1">
        <v>192.5</v>
      </c>
      <c r="G37" s="1">
        <v>200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Mondraker Arid Carbon 2025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A Walker</dc:creator>
  <cp:lastModifiedBy>Jeffrey A Walker</cp:lastModifiedBy>
  <dcterms:created xsi:type="dcterms:W3CDTF">2025-07-15T14:07:03Z</dcterms:created>
  <dcterms:modified xsi:type="dcterms:W3CDTF">2025-07-15T18:41:17Z</dcterms:modified>
</cp:coreProperties>
</file>