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EFE7026B-854A-BF4E-BF55-B390E1501864}" xr6:coauthVersionLast="47" xr6:coauthVersionMax="47" xr10:uidLastSave="{00000000-0000-0000-0000-000000000000}"/>
  <bookViews>
    <workbookView xWindow="2700" yWindow="2600" windowWidth="26100" windowHeight="154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2" i="1" l="1"/>
  <c r="E32" i="1"/>
  <c r="F32" i="1"/>
  <c r="G32" i="1"/>
  <c r="H32" i="1"/>
  <c r="C32" i="1"/>
  <c r="E31" i="1"/>
  <c r="F31" i="1"/>
  <c r="G31" i="1"/>
  <c r="H31" i="1"/>
  <c r="I31" i="1"/>
  <c r="D31" i="1"/>
  <c r="C34" i="1"/>
  <c r="D34" i="1"/>
  <c r="E34" i="1"/>
  <c r="F34" i="1"/>
  <c r="G34" i="1"/>
  <c r="H34" i="1"/>
  <c r="I34" i="1"/>
  <c r="D33" i="1"/>
  <c r="E33" i="1"/>
  <c r="F33" i="1"/>
  <c r="G33" i="1"/>
  <c r="H33" i="1"/>
  <c r="I33" i="1"/>
  <c r="C33" i="1"/>
  <c r="D29" i="1"/>
  <c r="E29" i="1"/>
  <c r="F29" i="1"/>
  <c r="G29" i="1"/>
  <c r="H29" i="1"/>
  <c r="I29" i="1"/>
  <c r="C29" i="1"/>
</calcChain>
</file>

<file path=xl/sharedStrings.xml><?xml version="1.0" encoding="utf-8"?>
<sst xmlns="http://schemas.openxmlformats.org/spreadsheetml/2006/main" count="117" uniqueCount="108">
  <si>
    <t>brand</t>
  </si>
  <si>
    <t>Bearclaw</t>
  </si>
  <si>
    <t>model</t>
  </si>
  <si>
    <t>model_year</t>
  </si>
  <si>
    <t>input_date</t>
  </si>
  <si>
    <t>url</t>
  </si>
  <si>
    <t>data_range</t>
  </si>
  <si>
    <t>frame_size</t>
  </si>
  <si>
    <t>frame size</t>
  </si>
  <si>
    <t>seat_tube_length</t>
  </si>
  <si>
    <t>top_tube_effective_length</t>
  </si>
  <si>
    <t>head_tube_length</t>
  </si>
  <si>
    <t>seat_tube_angle</t>
  </si>
  <si>
    <t>head_tube_angle</t>
  </si>
  <si>
    <t>chainstay_length</t>
  </si>
  <si>
    <t>wheelbase</t>
  </si>
  <si>
    <t>bottom_bracket_drop</t>
  </si>
  <si>
    <t>axle_crown</t>
  </si>
  <si>
    <t>fork_offset_rake</t>
  </si>
  <si>
    <t>crank_length</t>
  </si>
  <si>
    <t>stem_length</t>
  </si>
  <si>
    <t>stem_angle</t>
  </si>
  <si>
    <t>handlebar_width</t>
  </si>
  <si>
    <t>stack</t>
  </si>
  <si>
    <t>reach</t>
  </si>
  <si>
    <t>frame_weight</t>
  </si>
  <si>
    <t>wheel_size</t>
  </si>
  <si>
    <t>tire_width_spec</t>
  </si>
  <si>
    <t>tire_width_max</t>
  </si>
  <si>
    <t>standover</t>
  </si>
  <si>
    <t>rider_min</t>
  </si>
  <si>
    <t>rider_max</t>
  </si>
  <si>
    <t>spec_list</t>
  </si>
  <si>
    <t>value</t>
  </si>
  <si>
    <t>material</t>
  </si>
  <si>
    <t>titanium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</si>
  <si>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</si>
  <si>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</si>
  <si>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</si>
  <si>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</si>
  <si>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</si>
  <si>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</si>
  <si>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</si>
  <si>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</si>
  <si>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</si>
  <si>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</si>
  <si>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</si>
  <si>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</si>
  <si>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</si>
  <si>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</si>
  <si>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</si>
  <si>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</si>
  <si>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</si>
  <si>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</si>
  <si>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</si>
  <si>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</si>
  <si>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</si>
  <si>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</si>
  <si>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</si>
  <si>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</si>
  <si>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</si>
  <si>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</si>
  <si>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</si>
  <si>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</si>
  <si>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</si>
  <si>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</si>
  <si>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</si>
  <si>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</si>
  <si>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</si>
  <si>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</si>
  <si>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</si>
  <si>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</si>
  <si>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</si>
  <si>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</si>
  <si>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</si>
  <si>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</si>
  <si>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yes</t>
  </si>
  <si>
    <t>internal</t>
  </si>
  <si>
    <t>Top Tube</t>
  </si>
  <si>
    <t>Head Tube Angle</t>
  </si>
  <si>
    <t>Head Tube Length</t>
  </si>
  <si>
    <t>Seat Tube Angle</t>
  </si>
  <si>
    <t>Seat Tube Length</t>
  </si>
  <si>
    <t>Front To Center</t>
  </si>
  <si>
    <t>Chainstay Length</t>
  </si>
  <si>
    <t>Wheelbase</t>
  </si>
  <si>
    <t>BB Drop</t>
  </si>
  <si>
    <t>Fork Length</t>
  </si>
  <si>
    <t>Fork Rake</t>
  </si>
  <si>
    <t>Stack</t>
  </si>
  <si>
    <t>Reach</t>
  </si>
  <si>
    <t>Average Rider Height</t>
  </si>
  <si>
    <t>5'5" - 5' 9"</t>
  </si>
  <si>
    <t>6' - 6'3"</t>
  </si>
  <si>
    <t>front_center</t>
  </si>
  <si>
    <t>a8:i32</t>
  </si>
  <si>
    <t>usd</t>
  </si>
  <si>
    <t>Thunderhawk</t>
  </si>
  <si>
    <t>threaded</t>
  </si>
  <si>
    <t>52/36</t>
  </si>
  <si>
    <t>Standover (700x42)</t>
  </si>
  <si>
    <t>5'2" - 5'6"</t>
  </si>
  <si>
    <t>5'10" - 6'1"</t>
  </si>
  <si>
    <t>6'2" - 6'5</t>
  </si>
  <si>
    <t>6'4"- 6'</t>
  </si>
  <si>
    <t>5'8"-5'11"</t>
  </si>
  <si>
    <t>https://bearclawbicycleco.com/pages/thunderhawk</t>
  </si>
  <si>
    <t>https://cdn.shopify.com/s/files/1/0850/1320/1198/files/Thunderhawk_Titanium_Gravel_Bike_UDH_Red_Transmission.jpg?v=1736993270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</si>
</sst>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000000"/>
      <name val="Helvetic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5" fontId="0" fillId="0" borderId="0" xfId="0" applyNumberForma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2"/>
  <sheetViews>
    <sheetView tabSelected="1" workbookViewId="0">
      <selection activeCell="B6" sqref="B6"/>
    </sheetView>
  </sheetViews>
  <sheetFormatPr baseColWidth="10" defaultRowHeight="20" x14ac:dyDescent="0.3"/>
  <cols>
    <col min="1" max="2" width="19.6640625" customWidth="1"/>
  </cols>
  <sheetData>
    <row r="1" spans="1:10" x14ac:dyDescent="0.3">
      <c r="A1" t="s">
        <v>0</v>
      </c>
      <c r="B1" t="s">
        <v>1</v>
      </c>
    </row>
    <row r="2" spans="1:10" x14ac:dyDescent="0.3">
      <c r="A2" t="s">
        <v>2</v>
      </c>
      <c r="B2" s="1" t="s">
        <v>97</v>
      </c>
    </row>
    <row r="3" spans="1:10" x14ac:dyDescent="0.3">
      <c r="A3" t="s">
        <v>3</v>
      </c>
      <c r="B3">
        <v>2025</v>
      </c>
    </row>
    <row r="4" spans="1:10" x14ac:dyDescent="0.3">
      <c r="A4" t="s">
        <v>4</v>
      </c>
      <c r="B4" s="2">
        <v>45883</v>
      </c>
    </row>
    <row r="5" spans="1:10" x14ac:dyDescent="0.3">
      <c r="A5" t="s">
        <v>5</v>
      </c>
      <c r="B5" t="s">
        <v>106</v>
      </c>
    </row>
    <row r="6" spans="1:10" x14ac:dyDescent="0.3">
      <c r="B6" t="s">
        <v>107</v>
      </c>
    </row>
    <row r="7" spans="1:10" x14ac:dyDescent="0.3">
      <c r="A7" s="1" t="s">
        <v>6</v>
      </c>
      <c r="B7" s="1" t="s">
        <v>95</v>
      </c>
      <c r="C7" s="1"/>
      <c r="D7" s="1"/>
      <c r="E7" s="1"/>
      <c r="F7" s="1"/>
      <c r="G7" s="1"/>
      <c r="H7" s="1"/>
      <c r="I7" s="1"/>
      <c r="J7" s="1"/>
    </row>
    <row r="8" spans="1:10" x14ac:dyDescent="0.3">
      <c r="A8" s="1" t="s">
        <v>7</v>
      </c>
      <c r="B8" s="3" t="s">
        <v>8</v>
      </c>
      <c r="C8" s="3">
        <v>50</v>
      </c>
      <c r="D8" s="3">
        <v>52</v>
      </c>
      <c r="E8" s="3">
        <v>54</v>
      </c>
      <c r="F8" s="3">
        <v>56</v>
      </c>
      <c r="G8" s="3">
        <v>58</v>
      </c>
      <c r="H8" s="3">
        <v>60</v>
      </c>
      <c r="I8" s="3">
        <v>62</v>
      </c>
      <c r="J8" s="1"/>
    </row>
    <row r="9" spans="1:10" x14ac:dyDescent="0.3">
      <c r="A9" s="1" t="s">
        <v>10</v>
      </c>
      <c r="B9" s="3" t="s">
        <v>78</v>
      </c>
      <c r="C9" s="3">
        <v>513</v>
      </c>
      <c r="D9" s="3">
        <v>540</v>
      </c>
      <c r="E9" s="3">
        <v>560</v>
      </c>
      <c r="F9" s="3">
        <v>580</v>
      </c>
      <c r="G9" s="3">
        <v>600</v>
      </c>
      <c r="H9" s="3">
        <v>620</v>
      </c>
      <c r="I9" s="3">
        <v>640</v>
      </c>
      <c r="J9" s="1"/>
    </row>
    <row r="10" spans="1:10" x14ac:dyDescent="0.3">
      <c r="A10" s="1" t="s">
        <v>13</v>
      </c>
      <c r="B10" s="3" t="s">
        <v>79</v>
      </c>
      <c r="C10" s="3">
        <v>70.75</v>
      </c>
      <c r="D10" s="3">
        <v>71</v>
      </c>
      <c r="E10" s="3">
        <v>71.25</v>
      </c>
      <c r="F10" s="3">
        <v>71.25</v>
      </c>
      <c r="G10" s="3">
        <v>71.5</v>
      </c>
      <c r="H10" s="3">
        <v>71.5</v>
      </c>
      <c r="I10" s="3">
        <v>71.5</v>
      </c>
      <c r="J10" s="1"/>
    </row>
    <row r="11" spans="1:10" x14ac:dyDescent="0.3">
      <c r="A11" s="1" t="s">
        <v>11</v>
      </c>
      <c r="B11" s="3" t="s">
        <v>80</v>
      </c>
      <c r="C11" s="3">
        <v>90</v>
      </c>
      <c r="D11" s="3">
        <v>115</v>
      </c>
      <c r="E11" s="3">
        <v>135</v>
      </c>
      <c r="F11" s="3">
        <v>155</v>
      </c>
      <c r="G11" s="3">
        <v>175</v>
      </c>
      <c r="H11" s="3">
        <v>190</v>
      </c>
      <c r="I11" s="3">
        <v>210</v>
      </c>
      <c r="J11" s="1"/>
    </row>
    <row r="12" spans="1:10" x14ac:dyDescent="0.3">
      <c r="A12" s="1" t="s">
        <v>12</v>
      </c>
      <c r="B12" s="3" t="s">
        <v>81</v>
      </c>
      <c r="C12" s="3">
        <v>74.25</v>
      </c>
      <c r="D12" s="3">
        <v>73.75</v>
      </c>
      <c r="E12" s="3">
        <v>73.5</v>
      </c>
      <c r="F12" s="3">
        <v>73.25</v>
      </c>
      <c r="G12" s="3">
        <v>73</v>
      </c>
      <c r="H12" s="3">
        <v>72.75</v>
      </c>
      <c r="I12" s="3">
        <v>72.5</v>
      </c>
      <c r="J12" s="1"/>
    </row>
    <row r="13" spans="1:10" x14ac:dyDescent="0.3">
      <c r="A13" s="1" t="s">
        <v>9</v>
      </c>
      <c r="B13" s="3" t="s">
        <v>82</v>
      </c>
      <c r="C13" s="3">
        <v>460</v>
      </c>
      <c r="D13" s="3">
        <v>500</v>
      </c>
      <c r="E13" s="3">
        <v>520</v>
      </c>
      <c r="F13" s="3">
        <v>540</v>
      </c>
      <c r="G13" s="3">
        <v>560</v>
      </c>
      <c r="H13" s="3">
        <v>580</v>
      </c>
      <c r="I13" s="3">
        <v>600</v>
      </c>
      <c r="J13" s="1"/>
    </row>
    <row r="14" spans="1:10" x14ac:dyDescent="0.3">
      <c r="A14" s="1" t="s">
        <v>94</v>
      </c>
      <c r="B14" s="3" t="s">
        <v>83</v>
      </c>
      <c r="C14" s="3">
        <v>579</v>
      </c>
      <c r="D14" s="3">
        <v>600</v>
      </c>
      <c r="E14" s="3">
        <v>615</v>
      </c>
      <c r="F14" s="3">
        <v>633</v>
      </c>
      <c r="G14" s="3">
        <v>648</v>
      </c>
      <c r="H14" s="3">
        <v>666</v>
      </c>
      <c r="I14" s="3">
        <v>683</v>
      </c>
      <c r="J14" s="1"/>
    </row>
    <row r="15" spans="1:10" x14ac:dyDescent="0.3">
      <c r="A15" s="1" t="s">
        <v>14</v>
      </c>
      <c r="B15" s="3" t="s">
        <v>84</v>
      </c>
      <c r="C15" s="3">
        <v>430</v>
      </c>
      <c r="D15" s="3">
        <v>430</v>
      </c>
      <c r="E15" s="3">
        <v>430</v>
      </c>
      <c r="F15" s="3">
        <v>430</v>
      </c>
      <c r="G15" s="3">
        <v>430</v>
      </c>
      <c r="H15" s="3">
        <v>430</v>
      </c>
      <c r="I15" s="3">
        <v>430</v>
      </c>
      <c r="J15" s="1"/>
    </row>
    <row r="16" spans="1:10" x14ac:dyDescent="0.3">
      <c r="A16" s="1" t="s">
        <v>15</v>
      </c>
      <c r="B16" s="3" t="s">
        <v>85</v>
      </c>
      <c r="C16" s="3">
        <v>996</v>
      </c>
      <c r="D16" s="3">
        <v>1017</v>
      </c>
      <c r="E16" s="3">
        <v>1032</v>
      </c>
      <c r="F16" s="3">
        <v>1051</v>
      </c>
      <c r="G16" s="3">
        <v>1066</v>
      </c>
      <c r="H16" s="3">
        <v>1083</v>
      </c>
      <c r="I16" s="3">
        <v>1102</v>
      </c>
      <c r="J16" s="1"/>
    </row>
    <row r="17" spans="1:10" x14ac:dyDescent="0.3">
      <c r="A17" s="1" t="s">
        <v>16</v>
      </c>
      <c r="B17" s="3" t="s">
        <v>86</v>
      </c>
      <c r="C17" s="3">
        <v>77</v>
      </c>
      <c r="D17" s="3">
        <v>77</v>
      </c>
      <c r="E17" s="3">
        <v>77</v>
      </c>
      <c r="F17" s="3">
        <v>77</v>
      </c>
      <c r="G17" s="3">
        <v>77</v>
      </c>
      <c r="H17" s="3">
        <v>77</v>
      </c>
      <c r="I17" s="3">
        <v>77</v>
      </c>
      <c r="J17" s="1"/>
    </row>
    <row r="18" spans="1:10" x14ac:dyDescent="0.3">
      <c r="A18" s="1" t="s">
        <v>17</v>
      </c>
      <c r="B18" s="3" t="s">
        <v>87</v>
      </c>
      <c r="C18" s="3">
        <v>405</v>
      </c>
      <c r="D18" s="3">
        <v>405</v>
      </c>
      <c r="E18" s="3">
        <v>405</v>
      </c>
      <c r="F18" s="3">
        <v>405</v>
      </c>
      <c r="G18" s="3">
        <v>405</v>
      </c>
      <c r="H18" s="3">
        <v>405</v>
      </c>
      <c r="I18" s="3">
        <v>405</v>
      </c>
      <c r="J18" s="1"/>
    </row>
    <row r="19" spans="1:10" x14ac:dyDescent="0.3">
      <c r="A19" s="1" t="s">
        <v>18</v>
      </c>
      <c r="B19" s="3" t="s">
        <v>88</v>
      </c>
      <c r="C19" s="3">
        <v>49</v>
      </c>
      <c r="D19" s="3">
        <v>49</v>
      </c>
      <c r="E19" s="3">
        <v>49</v>
      </c>
      <c r="F19" s="3">
        <v>49</v>
      </c>
      <c r="G19" s="3">
        <v>49</v>
      </c>
      <c r="H19" s="3">
        <v>49</v>
      </c>
      <c r="I19" s="3">
        <v>49</v>
      </c>
      <c r="J19" s="1"/>
    </row>
    <row r="20" spans="1:10" x14ac:dyDescent="0.3">
      <c r="A20" s="1" t="s">
        <v>23</v>
      </c>
      <c r="B20" s="3" t="s">
        <v>89</v>
      </c>
      <c r="C20" s="3">
        <v>531</v>
      </c>
      <c r="D20" s="3">
        <v>555</v>
      </c>
      <c r="E20" s="3">
        <v>575</v>
      </c>
      <c r="F20" s="3">
        <v>595</v>
      </c>
      <c r="G20" s="3">
        <v>614</v>
      </c>
      <c r="H20" s="3">
        <v>629</v>
      </c>
      <c r="I20" s="3">
        <v>648</v>
      </c>
      <c r="J20" s="1"/>
    </row>
    <row r="21" spans="1:10" x14ac:dyDescent="0.3">
      <c r="A21" s="1" t="s">
        <v>24</v>
      </c>
      <c r="B21" s="3" t="s">
        <v>90</v>
      </c>
      <c r="C21" s="3">
        <v>363</v>
      </c>
      <c r="D21" s="3">
        <v>378</v>
      </c>
      <c r="E21" s="3">
        <v>390</v>
      </c>
      <c r="F21" s="3">
        <v>401</v>
      </c>
      <c r="G21" s="3">
        <v>412</v>
      </c>
      <c r="H21" s="3">
        <v>425</v>
      </c>
      <c r="I21" s="3">
        <v>436</v>
      </c>
      <c r="J21" s="1"/>
    </row>
    <row r="22" spans="1:10" x14ac:dyDescent="0.3">
      <c r="A22" s="1" t="s">
        <v>29</v>
      </c>
      <c r="B22" s="3" t="s">
        <v>100</v>
      </c>
      <c r="C22" s="3">
        <v>753</v>
      </c>
      <c r="D22" s="3">
        <v>784</v>
      </c>
      <c r="E22" s="3">
        <v>804</v>
      </c>
      <c r="F22" s="3">
        <v>823</v>
      </c>
      <c r="G22" s="3">
        <v>842</v>
      </c>
      <c r="H22" s="3">
        <v>858</v>
      </c>
      <c r="I22" s="3">
        <v>877</v>
      </c>
      <c r="J22" s="1"/>
    </row>
    <row r="23" spans="1:10" x14ac:dyDescent="0.3">
      <c r="A23" s="1" t="s">
        <v>19</v>
      </c>
      <c r="B23" s="1"/>
      <c r="C23" s="1"/>
      <c r="D23" s="1"/>
      <c r="E23" s="1"/>
      <c r="F23" s="1"/>
      <c r="G23" s="1"/>
      <c r="H23" s="1"/>
      <c r="I23" s="1"/>
      <c r="J23" s="1"/>
    </row>
    <row r="24" spans="1:10" x14ac:dyDescent="0.3">
      <c r="A24" s="1" t="s">
        <v>20</v>
      </c>
      <c r="B24" s="3"/>
      <c r="C24" s="1"/>
      <c r="D24" s="1"/>
      <c r="E24" s="1"/>
      <c r="F24" s="1"/>
      <c r="G24" s="1"/>
      <c r="H24" s="1"/>
      <c r="I24" s="1"/>
      <c r="J24" s="1"/>
    </row>
    <row r="25" spans="1:10" x14ac:dyDescent="0.3">
      <c r="A25" s="1" t="s">
        <v>21</v>
      </c>
      <c r="B25" s="3"/>
      <c r="C25" s="1"/>
      <c r="D25" s="1"/>
      <c r="E25" s="1"/>
      <c r="F25" s="1"/>
      <c r="G25" s="1"/>
      <c r="H25" s="1"/>
      <c r="I25" s="1"/>
      <c r="J25" s="1"/>
    </row>
    <row r="26" spans="1:10" x14ac:dyDescent="0.3">
      <c r="A26" s="1" t="s">
        <v>22</v>
      </c>
      <c r="B26" s="1"/>
      <c r="C26" s="3"/>
      <c r="D26" s="3"/>
      <c r="E26" s="3"/>
      <c r="F26" s="3"/>
      <c r="G26" s="3"/>
      <c r="H26" s="3"/>
      <c r="I26" s="3"/>
      <c r="J26" s="1"/>
    </row>
    <row r="27" spans="1:10" x14ac:dyDescent="0.3">
      <c r="A27" s="1" t="s">
        <v>25</v>
      </c>
      <c r="B27" s="1"/>
      <c r="C27" s="1"/>
      <c r="D27" s="1"/>
      <c r="E27" s="1"/>
      <c r="F27" s="1"/>
      <c r="G27" s="1"/>
      <c r="H27" s="1"/>
      <c r="I27" s="1"/>
      <c r="J27" s="1"/>
    </row>
    <row r="28" spans="1:10" x14ac:dyDescent="0.3">
      <c r="A28" s="1" t="s">
        <v>26</v>
      </c>
      <c r="B28" s="1" t="s">
        <v>26</v>
      </c>
      <c r="C28" s="1">
        <v>700</v>
      </c>
      <c r="D28" s="1">
        <v>700</v>
      </c>
      <c r="E28" s="1">
        <v>700</v>
      </c>
      <c r="F28" s="1">
        <v>700</v>
      </c>
      <c r="G28" s="1">
        <v>700</v>
      </c>
      <c r="H28" s="1">
        <v>700</v>
      </c>
      <c r="I28" s="1">
        <v>700</v>
      </c>
      <c r="J28" s="1"/>
    </row>
    <row r="29" spans="1:10" x14ac:dyDescent="0.3">
      <c r="A29" s="1" t="s">
        <v>27</v>
      </c>
      <c r="B29" s="1" t="s">
        <v>27</v>
      </c>
      <c r="C29" s="1">
        <f>2.25*25.4</f>
        <v>57.15</v>
      </c>
      <c r="D29" s="1">
        <f t="shared" ref="D29:I29" si="0">2.25*25.4</f>
        <v>57.15</v>
      </c>
      <c r="E29" s="1">
        <f t="shared" si="0"/>
        <v>57.15</v>
      </c>
      <c r="F29" s="1">
        <f t="shared" si="0"/>
        <v>57.15</v>
      </c>
      <c r="G29" s="1">
        <f t="shared" si="0"/>
        <v>57.15</v>
      </c>
      <c r="H29" s="1">
        <f t="shared" si="0"/>
        <v>57.15</v>
      </c>
      <c r="I29" s="1">
        <f t="shared" si="0"/>
        <v>57.15</v>
      </c>
      <c r="J29" s="1"/>
    </row>
    <row r="30" spans="1:10" x14ac:dyDescent="0.3">
      <c r="A30" s="1" t="s">
        <v>28</v>
      </c>
      <c r="B30" s="1" t="s">
        <v>28</v>
      </c>
      <c r="C30" s="1">
        <v>50</v>
      </c>
      <c r="D30" s="1">
        <v>50</v>
      </c>
      <c r="E30" s="1">
        <v>50</v>
      </c>
      <c r="F30" s="1">
        <v>50</v>
      </c>
      <c r="G30" s="1">
        <v>50</v>
      </c>
      <c r="H30" s="1">
        <v>50</v>
      </c>
      <c r="I30" s="1">
        <v>50</v>
      </c>
      <c r="J30" s="1"/>
    </row>
    <row r="31" spans="1:10" x14ac:dyDescent="0.3">
      <c r="A31" s="1" t="s">
        <v>30</v>
      </c>
      <c r="B31" s="1"/>
      <c r="C31" s="1">
        <v>160.02000000000001</v>
      </c>
      <c r="D31" s="1">
        <f>AVERAGE(D33,C34)</f>
        <v>166.37</v>
      </c>
      <c r="E31" s="1">
        <f t="shared" ref="E31:I31" si="1">AVERAGE(E33,D34)</f>
        <v>173.99</v>
      </c>
      <c r="F31" s="1">
        <f t="shared" si="1"/>
        <v>179.07</v>
      </c>
      <c r="G31" s="1">
        <f t="shared" si="1"/>
        <v>184.15</v>
      </c>
      <c r="H31" s="1">
        <f t="shared" si="1"/>
        <v>189.23000000000002</v>
      </c>
      <c r="I31" s="1">
        <f t="shared" si="1"/>
        <v>194.31</v>
      </c>
      <c r="J31" s="1"/>
    </row>
    <row r="32" spans="1:10" x14ac:dyDescent="0.3">
      <c r="A32" s="1" t="s">
        <v>31</v>
      </c>
      <c r="B32" s="1"/>
      <c r="C32" s="1">
        <f>D31</f>
        <v>166.37</v>
      </c>
      <c r="D32" s="1">
        <f t="shared" ref="D32:H32" si="2">E31</f>
        <v>173.99</v>
      </c>
      <c r="E32" s="1">
        <f t="shared" si="2"/>
        <v>179.07</v>
      </c>
      <c r="F32" s="1">
        <f t="shared" si="2"/>
        <v>184.15</v>
      </c>
      <c r="G32" s="1">
        <f t="shared" si="2"/>
        <v>189.23000000000002</v>
      </c>
      <c r="H32" s="1">
        <f t="shared" si="2"/>
        <v>194.31</v>
      </c>
      <c r="I32" s="1">
        <v>198.12</v>
      </c>
      <c r="J32" s="1"/>
    </row>
    <row r="33" spans="1:10" x14ac:dyDescent="0.3">
      <c r="A33" s="1"/>
      <c r="B33" s="1"/>
      <c r="C33" s="1">
        <f>C35*2.54</f>
        <v>157.47999999999999</v>
      </c>
      <c r="D33" s="1">
        <f t="shared" ref="D33:I34" si="3">D35*2.54</f>
        <v>165.1</v>
      </c>
      <c r="E33" s="1">
        <f t="shared" si="3"/>
        <v>172.72</v>
      </c>
      <c r="F33" s="1">
        <f t="shared" si="3"/>
        <v>177.8</v>
      </c>
      <c r="G33" s="1">
        <f t="shared" si="3"/>
        <v>182.88</v>
      </c>
      <c r="H33" s="1">
        <f t="shared" si="3"/>
        <v>187.96</v>
      </c>
      <c r="I33" s="1">
        <f t="shared" si="3"/>
        <v>193.04</v>
      </c>
      <c r="J33" s="1"/>
    </row>
    <row r="34" spans="1:10" x14ac:dyDescent="0.3">
      <c r="A34" s="1" t="s">
        <v>32</v>
      </c>
      <c r="B34" s="1" t="s">
        <v>33</v>
      </c>
      <c r="C34" s="1">
        <f>C36*2.54</f>
        <v>167.64000000000001</v>
      </c>
      <c r="D34" s="1">
        <f t="shared" si="3"/>
        <v>175.26</v>
      </c>
      <c r="E34" s="1">
        <f t="shared" si="3"/>
        <v>180.34</v>
      </c>
      <c r="F34" s="1">
        <f t="shared" si="3"/>
        <v>185.42000000000002</v>
      </c>
      <c r="G34" s="1">
        <f t="shared" si="3"/>
        <v>190.5</v>
      </c>
      <c r="H34" s="1">
        <f t="shared" si="3"/>
        <v>195.58</v>
      </c>
      <c r="I34" s="1">
        <f t="shared" si="3"/>
        <v>200.66</v>
      </c>
      <c r="J34" s="1"/>
    </row>
    <row r="35" spans="1:10" x14ac:dyDescent="0.3">
      <c r="A35" s="1" t="s">
        <v>70</v>
      </c>
      <c r="B35" s="1" t="s">
        <v>71</v>
      </c>
      <c r="C35" s="1">
        <v>62</v>
      </c>
      <c r="D35" s="1">
        <v>65</v>
      </c>
      <c r="E35" s="1">
        <v>68</v>
      </c>
      <c r="F35" s="1">
        <v>70</v>
      </c>
      <c r="G35" s="1">
        <v>72</v>
      </c>
      <c r="H35" s="1">
        <v>74</v>
      </c>
      <c r="I35" s="1">
        <v>76</v>
      </c>
      <c r="J35" s="1"/>
    </row>
    <row r="36" spans="1:10" x14ac:dyDescent="0.3">
      <c r="A36" s="1" t="s">
        <v>72</v>
      </c>
      <c r="B36" s="1" t="s">
        <v>73</v>
      </c>
      <c r="C36" s="1">
        <v>66</v>
      </c>
      <c r="D36" s="1">
        <v>69</v>
      </c>
      <c r="E36" s="1">
        <v>71</v>
      </c>
      <c r="F36" s="1">
        <v>73</v>
      </c>
      <c r="G36" s="1">
        <v>75</v>
      </c>
      <c r="H36" s="1">
        <v>77</v>
      </c>
      <c r="I36" s="1">
        <v>79</v>
      </c>
      <c r="J36" s="1"/>
    </row>
    <row r="37" spans="1:10" x14ac:dyDescent="0.3">
      <c r="A37" s="1" t="s">
        <v>74</v>
      </c>
      <c r="B37" s="1" t="s">
        <v>75</v>
      </c>
      <c r="C37" s="3" t="s">
        <v>101</v>
      </c>
      <c r="D37" s="3" t="s">
        <v>92</v>
      </c>
      <c r="E37" s="3" t="s">
        <v>105</v>
      </c>
      <c r="F37" s="3" t="s">
        <v>102</v>
      </c>
      <c r="G37" s="3" t="s">
        <v>93</v>
      </c>
      <c r="H37" s="3" t="s">
        <v>103</v>
      </c>
      <c r="I37" s="3" t="s">
        <v>104</v>
      </c>
      <c r="J37" s="3" t="s">
        <v>91</v>
      </c>
    </row>
    <row r="38" spans="1:10" x14ac:dyDescent="0.3">
      <c r="A38" s="1" t="s">
        <v>34</v>
      </c>
      <c r="B38" s="1" t="s">
        <v>35</v>
      </c>
      <c r="C38" s="1"/>
      <c r="D38" s="1"/>
      <c r="E38" s="1"/>
      <c r="F38" s="1"/>
      <c r="G38" s="1"/>
      <c r="H38" s="1"/>
      <c r="I38" s="1"/>
      <c r="J38" s="1"/>
    </row>
    <row r="39" spans="1:10" x14ac:dyDescent="0.3">
      <c r="A39" s="1" t="s">
        <v>36</v>
      </c>
      <c r="B39" s="1" t="s">
        <v>76</v>
      </c>
      <c r="C39" s="1"/>
      <c r="D39" s="1"/>
      <c r="E39" s="1"/>
      <c r="F39" s="1"/>
      <c r="G39" s="1"/>
      <c r="H39" s="1"/>
      <c r="I39" s="1"/>
      <c r="J39" s="1"/>
    </row>
    <row r="40" spans="1:10" x14ac:dyDescent="0.3">
      <c r="A40" s="1" t="s">
        <v>37</v>
      </c>
      <c r="B40" s="1"/>
      <c r="C40" s="1"/>
      <c r="D40" s="1"/>
      <c r="E40" s="1"/>
      <c r="F40" s="1"/>
      <c r="G40" s="1"/>
      <c r="H40" s="1"/>
      <c r="I40" s="1"/>
      <c r="J40" s="1"/>
    </row>
    <row r="41" spans="1:10" x14ac:dyDescent="0.3">
      <c r="A41" s="1" t="s">
        <v>38</v>
      </c>
      <c r="B41" s="1">
        <v>50</v>
      </c>
      <c r="C41" s="1"/>
      <c r="D41" s="1"/>
      <c r="E41" s="1"/>
      <c r="F41" s="1"/>
      <c r="G41" s="1"/>
      <c r="H41" s="1"/>
      <c r="I41" s="1"/>
      <c r="J41" s="1"/>
    </row>
    <row r="42" spans="1:10" x14ac:dyDescent="0.3">
      <c r="A42" s="1" t="s">
        <v>39</v>
      </c>
      <c r="B42" s="1">
        <v>2.35</v>
      </c>
      <c r="C42" s="1"/>
      <c r="D42" s="1"/>
      <c r="E42" s="1"/>
      <c r="F42" s="1"/>
      <c r="G42" s="1"/>
      <c r="H42" s="1"/>
      <c r="I42" s="1"/>
      <c r="J42" s="1"/>
    </row>
    <row r="43" spans="1:10" x14ac:dyDescent="0.3">
      <c r="A43" s="1" t="s">
        <v>40</v>
      </c>
      <c r="B43" s="1"/>
      <c r="C43" s="1"/>
      <c r="D43" s="1"/>
      <c r="E43" s="1"/>
      <c r="F43" s="1"/>
      <c r="G43" s="1"/>
      <c r="H43" s="1"/>
      <c r="I43" s="1"/>
      <c r="J43" s="1"/>
    </row>
    <row r="44" spans="1:10" x14ac:dyDescent="0.3">
      <c r="A44" s="1" t="s">
        <v>41</v>
      </c>
      <c r="B44" s="1"/>
      <c r="C44" s="1"/>
      <c r="D44" s="1"/>
      <c r="E44" s="3"/>
      <c r="F44" s="3"/>
      <c r="G44" s="3"/>
      <c r="H44" s="3"/>
      <c r="I44" s="3"/>
      <c r="J44" s="1"/>
    </row>
    <row r="45" spans="1:10" x14ac:dyDescent="0.3">
      <c r="A45" s="1" t="s">
        <v>42</v>
      </c>
      <c r="B45" s="1"/>
      <c r="C45" s="3"/>
      <c r="D45" s="3"/>
      <c r="E45" s="1"/>
      <c r="F45" s="1"/>
      <c r="G45" s="1"/>
      <c r="H45" s="1"/>
      <c r="I45" s="1"/>
      <c r="J45" s="1"/>
    </row>
    <row r="46" spans="1:10" x14ac:dyDescent="0.3">
      <c r="A46" s="1" t="s">
        <v>43</v>
      </c>
      <c r="B46" s="1"/>
      <c r="C46" s="1"/>
      <c r="D46" s="1"/>
      <c r="E46" s="1"/>
      <c r="F46" s="1"/>
      <c r="G46" s="1"/>
      <c r="H46" s="1"/>
      <c r="I46" s="1"/>
      <c r="J46" s="1"/>
    </row>
    <row r="47" spans="1:10" x14ac:dyDescent="0.3">
      <c r="A47" s="1" t="s">
        <v>44</v>
      </c>
      <c r="B47" s="1">
        <v>142</v>
      </c>
      <c r="C47" s="1"/>
      <c r="D47" s="1"/>
      <c r="E47" s="1"/>
      <c r="F47" s="1"/>
      <c r="G47" s="1"/>
      <c r="H47" s="1"/>
      <c r="I47" s="1"/>
      <c r="J47" s="1"/>
    </row>
    <row r="48" spans="1:10" x14ac:dyDescent="0.3">
      <c r="A48" s="1" t="s">
        <v>45</v>
      </c>
      <c r="B48" s="1">
        <v>100</v>
      </c>
      <c r="C48" s="1"/>
      <c r="D48" s="1"/>
      <c r="E48" s="1"/>
      <c r="F48" s="1"/>
      <c r="G48" s="1"/>
      <c r="H48" s="1"/>
      <c r="I48" s="1"/>
      <c r="J48" s="1"/>
    </row>
    <row r="49" spans="1:10" x14ac:dyDescent="0.3">
      <c r="A49" s="1" t="s">
        <v>46</v>
      </c>
      <c r="B49" s="1" t="s">
        <v>98</v>
      </c>
      <c r="C49" s="1"/>
      <c r="D49" s="1"/>
      <c r="E49" s="1"/>
      <c r="F49" s="1"/>
      <c r="G49" s="1"/>
      <c r="H49" s="1"/>
      <c r="I49" s="1"/>
      <c r="J49" s="1"/>
    </row>
    <row r="50" spans="1:10" x14ac:dyDescent="0.3">
      <c r="A50" s="1" t="s">
        <v>47</v>
      </c>
      <c r="B50" s="1"/>
      <c r="C50" s="1"/>
      <c r="D50" s="1"/>
      <c r="E50" s="1"/>
      <c r="F50" s="1"/>
      <c r="G50" s="1"/>
      <c r="H50" s="1"/>
      <c r="I50" s="1"/>
      <c r="J50" s="1"/>
    </row>
    <row r="51" spans="1:10" x14ac:dyDescent="0.3">
      <c r="A51" s="1" t="s">
        <v>48</v>
      </c>
      <c r="B51" s="1">
        <v>31.6</v>
      </c>
      <c r="C51" s="1"/>
      <c r="D51" s="1"/>
      <c r="E51" s="1"/>
      <c r="F51" s="1"/>
      <c r="G51" s="1"/>
      <c r="H51" s="1"/>
      <c r="I51" s="1"/>
      <c r="J51" s="1"/>
    </row>
    <row r="52" spans="1:10" x14ac:dyDescent="0.3">
      <c r="A52" s="1" t="s">
        <v>49</v>
      </c>
      <c r="B52" s="1" t="s">
        <v>76</v>
      </c>
      <c r="C52" s="1"/>
      <c r="D52" s="1"/>
      <c r="E52" s="1"/>
      <c r="F52" s="1"/>
      <c r="G52" s="1"/>
      <c r="H52" s="1"/>
      <c r="I52" s="1"/>
      <c r="J52" s="1"/>
    </row>
    <row r="53" spans="1:10" x14ac:dyDescent="0.3">
      <c r="A53" s="1" t="s">
        <v>50</v>
      </c>
      <c r="B53" s="1">
        <v>50</v>
      </c>
      <c r="C53" s="1"/>
      <c r="D53" s="1"/>
      <c r="E53" s="1"/>
      <c r="F53" s="1"/>
      <c r="G53" s="1"/>
      <c r="H53" s="1"/>
      <c r="I53" s="1"/>
      <c r="J53" s="1"/>
    </row>
    <row r="54" spans="1:10" x14ac:dyDescent="0.3">
      <c r="A54" s="1" t="s">
        <v>51</v>
      </c>
      <c r="B54" s="1" t="s">
        <v>99</v>
      </c>
      <c r="C54" s="1"/>
      <c r="D54" s="1"/>
      <c r="E54" s="1"/>
      <c r="F54" s="1"/>
      <c r="G54" s="1"/>
      <c r="H54" s="1"/>
      <c r="I54" s="1"/>
      <c r="J54" s="1"/>
    </row>
    <row r="55" spans="1:10" x14ac:dyDescent="0.3">
      <c r="A55" s="1" t="s">
        <v>52</v>
      </c>
      <c r="B55" s="1"/>
      <c r="C55" s="1"/>
      <c r="D55" s="1"/>
      <c r="E55" s="1"/>
      <c r="F55" s="1"/>
      <c r="G55" s="1"/>
      <c r="H55" s="1"/>
      <c r="I55" s="1"/>
      <c r="J55" s="1"/>
    </row>
    <row r="56" spans="1:10" x14ac:dyDescent="0.3">
      <c r="A56" s="1" t="s">
        <v>53</v>
      </c>
      <c r="B56" s="1">
        <v>140</v>
      </c>
      <c r="C56" s="1"/>
      <c r="D56" s="1"/>
      <c r="E56" s="1"/>
      <c r="F56" s="1"/>
      <c r="G56" s="1"/>
      <c r="H56" s="1"/>
      <c r="I56" s="1"/>
      <c r="J56" s="1"/>
    </row>
    <row r="57" spans="1:10" x14ac:dyDescent="0.3">
      <c r="A57" s="1" t="s">
        <v>54</v>
      </c>
      <c r="B57" s="1"/>
      <c r="C57" s="1"/>
      <c r="D57" s="1"/>
      <c r="E57" s="1"/>
      <c r="F57" s="1"/>
      <c r="G57" s="1"/>
      <c r="H57" s="1"/>
      <c r="I57" s="1"/>
      <c r="J57" s="1"/>
    </row>
    <row r="58" spans="1:10" x14ac:dyDescent="0.3">
      <c r="A58" s="1" t="s">
        <v>55</v>
      </c>
      <c r="B58" s="1" t="s">
        <v>77</v>
      </c>
      <c r="C58" s="1"/>
      <c r="D58" s="1"/>
      <c r="E58" s="1"/>
      <c r="F58" s="1"/>
      <c r="G58" s="1"/>
      <c r="H58" s="1"/>
      <c r="I58" s="1"/>
      <c r="J58" s="1"/>
    </row>
    <row r="59" spans="1:10" x14ac:dyDescent="0.3">
      <c r="A59" s="1" t="s">
        <v>56</v>
      </c>
      <c r="B59" s="1" t="s">
        <v>77</v>
      </c>
      <c r="C59" s="1"/>
      <c r="D59" s="1"/>
      <c r="E59" s="1"/>
      <c r="F59" s="1"/>
      <c r="G59" s="1"/>
      <c r="H59" s="1"/>
      <c r="I59" s="1"/>
      <c r="J59" s="1"/>
    </row>
    <row r="60" spans="1:10" x14ac:dyDescent="0.3">
      <c r="A60" s="1" t="s">
        <v>57</v>
      </c>
      <c r="B60" s="1"/>
      <c r="C60" s="1"/>
      <c r="D60" s="1"/>
      <c r="E60" s="1"/>
      <c r="F60" s="1"/>
      <c r="G60" s="1"/>
      <c r="H60" s="1"/>
      <c r="I60" s="1"/>
      <c r="J60" s="1"/>
    </row>
    <row r="61" spans="1:10" x14ac:dyDescent="0.3">
      <c r="A61" s="1" t="s">
        <v>58</v>
      </c>
      <c r="B61" s="1"/>
      <c r="C61" s="1"/>
      <c r="D61" s="1"/>
      <c r="E61" s="1"/>
      <c r="F61" s="1"/>
      <c r="G61" s="1"/>
      <c r="H61" s="1"/>
      <c r="I61" s="1"/>
      <c r="J61" s="1"/>
    </row>
    <row r="62" spans="1:10" x14ac:dyDescent="0.3">
      <c r="A62" s="1" t="s">
        <v>59</v>
      </c>
      <c r="B62" s="1">
        <v>2</v>
      </c>
      <c r="C62" s="1"/>
      <c r="D62" s="1"/>
      <c r="E62" s="1"/>
      <c r="F62" s="1"/>
      <c r="G62" s="1"/>
      <c r="H62" s="1"/>
      <c r="I62" s="1"/>
      <c r="J62" s="1"/>
    </row>
    <row r="63" spans="1:10" x14ac:dyDescent="0.3">
      <c r="A63" s="1" t="s">
        <v>60</v>
      </c>
      <c r="B63" s="1">
        <v>1</v>
      </c>
      <c r="C63" s="1"/>
      <c r="D63" s="1"/>
      <c r="E63" s="1"/>
      <c r="F63" s="1"/>
      <c r="G63" s="1"/>
      <c r="H63" s="1"/>
      <c r="I63" s="1"/>
      <c r="J63" s="1"/>
    </row>
    <row r="64" spans="1:10" x14ac:dyDescent="0.3">
      <c r="A64" s="1" t="s">
        <v>61</v>
      </c>
      <c r="B64" s="1"/>
      <c r="C64" s="1"/>
      <c r="D64" s="1"/>
      <c r="E64" s="1"/>
      <c r="F64" s="1"/>
      <c r="G64" s="1"/>
      <c r="H64" s="1"/>
      <c r="I64" s="1"/>
      <c r="J64" s="1"/>
    </row>
    <row r="65" spans="1:10" x14ac:dyDescent="0.3">
      <c r="A65" s="1" t="s">
        <v>62</v>
      </c>
      <c r="B65" s="1" t="s">
        <v>76</v>
      </c>
      <c r="C65" s="1"/>
      <c r="D65" s="1"/>
      <c r="E65" s="1"/>
      <c r="F65" s="1"/>
      <c r="G65" s="1"/>
      <c r="H65" s="1"/>
      <c r="I65" s="1"/>
      <c r="J65" s="1"/>
    </row>
    <row r="66" spans="1:10" x14ac:dyDescent="0.3">
      <c r="A66" s="1" t="s">
        <v>63</v>
      </c>
      <c r="B66" s="1"/>
      <c r="C66" s="1"/>
      <c r="D66" s="1"/>
      <c r="E66" s="1"/>
      <c r="F66" s="1"/>
      <c r="G66" s="1"/>
      <c r="H66" s="1"/>
      <c r="I66" s="1"/>
      <c r="J66" s="1"/>
    </row>
    <row r="67" spans="1:10" x14ac:dyDescent="0.3">
      <c r="A67" s="1" t="s">
        <v>64</v>
      </c>
      <c r="B67" s="1" t="s">
        <v>76</v>
      </c>
      <c r="C67" s="1"/>
      <c r="D67" s="1"/>
      <c r="E67" s="1"/>
      <c r="F67" s="1"/>
      <c r="G67" s="1"/>
      <c r="H67" s="1"/>
      <c r="I67" s="1"/>
      <c r="J67" s="1"/>
    </row>
    <row r="68" spans="1:10" x14ac:dyDescent="0.3">
      <c r="A68" s="1" t="s">
        <v>65</v>
      </c>
      <c r="B68" s="1" t="s">
        <v>76</v>
      </c>
      <c r="C68" s="1"/>
      <c r="D68" s="1"/>
      <c r="E68" s="1"/>
      <c r="F68" s="1"/>
      <c r="G68" s="1"/>
      <c r="H68" s="1"/>
      <c r="I68" s="1"/>
      <c r="J68" s="1"/>
    </row>
    <row r="69" spans="1:10" x14ac:dyDescent="0.3">
      <c r="A69" s="1" t="s">
        <v>66</v>
      </c>
      <c r="B69" s="1">
        <v>2490</v>
      </c>
      <c r="C69" s="1"/>
      <c r="D69" s="1"/>
      <c r="E69" s="1"/>
      <c r="F69" s="1"/>
      <c r="G69" s="1"/>
      <c r="H69" s="1"/>
      <c r="I69" s="1"/>
      <c r="J69" s="1"/>
    </row>
    <row r="70" spans="1:10" x14ac:dyDescent="0.3">
      <c r="A70" s="1" t="s">
        <v>67</v>
      </c>
      <c r="B70" s="1">
        <v>6390</v>
      </c>
      <c r="C70" s="1"/>
      <c r="D70" s="1"/>
      <c r="E70" s="1"/>
      <c r="F70" s="1"/>
      <c r="G70" s="1"/>
      <c r="H70" s="1"/>
      <c r="I70" s="1"/>
      <c r="J70" s="1"/>
    </row>
    <row r="71" spans="1:10" x14ac:dyDescent="0.3">
      <c r="A71" s="1" t="s">
        <v>68</v>
      </c>
      <c r="B71" s="1" t="s">
        <v>76</v>
      </c>
      <c r="C71" s="1"/>
      <c r="D71" s="1"/>
      <c r="E71" s="1"/>
      <c r="F71" s="1"/>
      <c r="G71" s="1"/>
      <c r="H71" s="1"/>
      <c r="I71" s="1"/>
      <c r="J71" s="1"/>
    </row>
    <row r="72" spans="1:10" x14ac:dyDescent="0.3">
      <c r="A72" s="1" t="s">
        <v>69</v>
      </c>
      <c r="B72" s="1" t="s">
        <v>96</v>
      </c>
      <c r="C72" s="1"/>
      <c r="D72" s="1"/>
      <c r="E72" s="1"/>
      <c r="F72" s="1"/>
      <c r="G72" s="1"/>
      <c r="H72" s="1"/>
      <c r="I72" s="1"/>
      <c r="J72" s="1"/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2025-07-26T17:58:59Z</dcterms:created>
  <dcterms:modified xsi:type="dcterms:W3CDTF">2025-10-13T20:56:41Z</dcterms:modified>
</cp:coreProperties>
</file>