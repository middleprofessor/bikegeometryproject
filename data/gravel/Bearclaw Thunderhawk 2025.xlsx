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28C29B8-5663-D249-83B3-35AA9B79C11F}" xr6:coauthVersionLast="47" xr6:coauthVersionMax="47" xr10:uidLastSave="{00000000-0000-0000-0000-000000000000}"/>
  <bookViews>
    <workbookView xWindow="2880" yWindow="4080" windowWidth="26100" windowHeight="15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H32" i="1"/>
  <c r="C32" i="1"/>
  <c r="E31" i="1"/>
  <c r="F31" i="1"/>
  <c r="G31" i="1"/>
  <c r="H31" i="1"/>
  <c r="I31" i="1"/>
  <c r="D31" i="1"/>
  <c r="C34" i="1"/>
  <c r="D34" i="1"/>
  <c r="E34" i="1"/>
  <c r="F34" i="1"/>
  <c r="G34" i="1"/>
  <c r="H34" i="1"/>
  <c r="I34" i="1"/>
  <c r="D33" i="1"/>
  <c r="E33" i="1"/>
  <c r="F33" i="1"/>
  <c r="G33" i="1"/>
  <c r="H33" i="1"/>
  <c r="I33" i="1"/>
  <c r="C33" i="1"/>
  <c r="D29" i="1"/>
  <c r="E29" i="1"/>
  <c r="F29" i="1"/>
  <c r="G29" i="1"/>
  <c r="H29" i="1"/>
  <c r="I29" i="1"/>
  <c r="C29" i="1"/>
</calcChain>
</file>

<file path=xl/sharedStrings.xml><?xml version="1.0" encoding="utf-8"?>
<sst xmlns="http://schemas.openxmlformats.org/spreadsheetml/2006/main" count="116" uniqueCount="107">
  <si>
    <t>brand</t>
  </si>
  <si>
    <t>Bearclaw</t>
  </si>
  <si>
    <t>model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</si>
  <si>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</si>
  <si>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</si>
  <si>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</si>
  <si>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</si>
  <si>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</si>
  <si>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</si>
  <si>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</si>
  <si>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</si>
  <si>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</si>
  <si>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</si>
  <si>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</si>
  <si>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</si>
  <si>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</si>
  <si>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</si>
  <si>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</si>
  <si>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</si>
  <si>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</si>
  <si>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</si>
  <si>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</si>
  <si>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</si>
  <si>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</si>
  <si>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</si>
  <si>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</si>
  <si>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</si>
  <si>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</si>
  <si>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</si>
  <si>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</si>
  <si>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</si>
  <si>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</si>
  <si>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</si>
  <si>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</si>
  <si>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</si>
  <si>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</si>
  <si>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</si>
  <si>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</si>
  <si>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</si>
  <si>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</si>
  <si>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</si>
  <si>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</si>
  <si>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</si>
  <si>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</si>
  <si>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</si>
  <si>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</si>
  <si>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</si>
  <si>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</si>
  <si>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</si>
  <si>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</si>
  <si>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</si>
  <si>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</si>
  <si>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</si>
  <si>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</si>
  <si>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</si>
  <si>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</si>
  <si>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</si>
  <si>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</si>
  <si>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</si>
  <si>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</si>
  <si>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</si>
  <si>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</si>
  <si>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</si>
  <si>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</si>
  <si>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</si>
  <si>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</si>
  <si>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</si>
  <si>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</si>
  <si>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</si>
  <si>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</si>
  <si>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</si>
  <si>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</si>
  <si>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</si>
  <si>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</si>
  <si>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</si>
  <si>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</si>
  <si>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</si>
  <si>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</si>
  <si>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Top Tube</t>
  </si>
  <si>
    <t>Head Tube Angle</t>
  </si>
  <si>
    <t>Head Tube Length</t>
  </si>
  <si>
    <t>Seat Tube Angle</t>
  </si>
  <si>
    <t>Seat Tube Length</t>
  </si>
  <si>
    <t>Front To Center</t>
  </si>
  <si>
    <t>Chainstay Length</t>
  </si>
  <si>
    <t>Wheelbase</t>
  </si>
  <si>
    <t>BB Drop</t>
  </si>
  <si>
    <t>Fork Length</t>
  </si>
  <si>
    <t>Fork Rake</t>
  </si>
  <si>
    <t>Stack</t>
  </si>
  <si>
    <t>Reach</t>
  </si>
  <si>
    <t>Average Rider Height</t>
  </si>
  <si>
    <t>5'5" - 5' 9"</t>
  </si>
  <si>
    <t>6' - 6'3"</t>
  </si>
  <si>
    <t>front_center</t>
  </si>
  <si>
    <t>a8:i32</t>
  </si>
  <si>
    <t>usd</t>
  </si>
  <si>
    <t>Thunderhawk</t>
  </si>
  <si>
    <t>threaded</t>
  </si>
  <si>
    <t>52/36</t>
  </si>
  <si>
    <t>Standover (700x42)</t>
  </si>
  <si>
    <t>5'2" - 5'6"</t>
  </si>
  <si>
    <t>5'10" - 6'1"</t>
  </si>
  <si>
    <t>6'2" - 6'5</t>
  </si>
  <si>
    <t>6'4"- 6'</t>
  </si>
  <si>
    <t>5'8"-5'11"</t>
  </si>
  <si>
    <t>https://bearclawbicycleco.com/pages/thunderhawk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</si>
</sst>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 t="s">
        <v>97</v>
      </c>
    </row>
    <row r="3" spans="1:10" x14ac:dyDescent="0.3">
      <c r="A3" t="s">
        <v>3</v>
      </c>
      <c r="B3">
        <v>2025</v>
      </c>
    </row>
    <row r="4" spans="1:10" x14ac:dyDescent="0.3">
      <c r="A4" t="s">
        <v>4</v>
      </c>
      <c r="B4" s="2">
        <v>45883</v>
      </c>
    </row>
    <row r="5" spans="1:10" x14ac:dyDescent="0.3">
      <c r="A5" t="s">
        <v>5</v>
      </c>
      <c r="B5" t="s">
        <v>106</v>
      </c>
    </row>
    <row r="7" spans="1:10" x14ac:dyDescent="0.3">
      <c r="A7" s="1" t="s">
        <v>6</v>
      </c>
      <c r="B7" s="1" t="s">
        <v>95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7</v>
      </c>
      <c r="B8" s="3" t="s">
        <v>8</v>
      </c>
      <c r="C8" s="3">
        <v>50</v>
      </c>
      <c r="D8" s="3">
        <v>52</v>
      </c>
      <c r="E8" s="3">
        <v>54</v>
      </c>
      <c r="F8" s="3">
        <v>56</v>
      </c>
      <c r="G8" s="3">
        <v>58</v>
      </c>
      <c r="H8" s="3">
        <v>60</v>
      </c>
      <c r="I8" s="3">
        <v>62</v>
      </c>
      <c r="J8" s="1"/>
    </row>
    <row r="9" spans="1:10" x14ac:dyDescent="0.3">
      <c r="A9" s="1" t="s">
        <v>10</v>
      </c>
      <c r="B9" s="3" t="s">
        <v>78</v>
      </c>
      <c r="C9" s="3">
        <v>513</v>
      </c>
      <c r="D9" s="3">
        <v>540</v>
      </c>
      <c r="E9" s="3">
        <v>560</v>
      </c>
      <c r="F9" s="3">
        <v>580</v>
      </c>
      <c r="G9" s="3">
        <v>600</v>
      </c>
      <c r="H9" s="3">
        <v>620</v>
      </c>
      <c r="I9" s="3">
        <v>640</v>
      </c>
      <c r="J9" s="1"/>
    </row>
    <row r="10" spans="1:10" x14ac:dyDescent="0.3">
      <c r="A10" s="1" t="s">
        <v>13</v>
      </c>
      <c r="B10" s="3" t="s">
        <v>79</v>
      </c>
      <c r="C10" s="3">
        <v>70.75</v>
      </c>
      <c r="D10" s="3">
        <v>71</v>
      </c>
      <c r="E10" s="3">
        <v>71.25</v>
      </c>
      <c r="F10" s="3">
        <v>71.25</v>
      </c>
      <c r="G10" s="3">
        <v>71.5</v>
      </c>
      <c r="H10" s="3">
        <v>71.5</v>
      </c>
      <c r="I10" s="3">
        <v>71.5</v>
      </c>
      <c r="J10" s="1"/>
    </row>
    <row r="11" spans="1:10" x14ac:dyDescent="0.3">
      <c r="A11" s="1" t="s">
        <v>11</v>
      </c>
      <c r="B11" s="3" t="s">
        <v>80</v>
      </c>
      <c r="C11" s="3">
        <v>90</v>
      </c>
      <c r="D11" s="3">
        <v>115</v>
      </c>
      <c r="E11" s="3">
        <v>135</v>
      </c>
      <c r="F11" s="3">
        <v>155</v>
      </c>
      <c r="G11" s="3">
        <v>175</v>
      </c>
      <c r="H11" s="3">
        <v>190</v>
      </c>
      <c r="I11" s="3">
        <v>210</v>
      </c>
      <c r="J11" s="1"/>
    </row>
    <row r="12" spans="1:10" x14ac:dyDescent="0.3">
      <c r="A12" s="1" t="s">
        <v>12</v>
      </c>
      <c r="B12" s="3" t="s">
        <v>81</v>
      </c>
      <c r="C12" s="3">
        <v>74.25</v>
      </c>
      <c r="D12" s="3">
        <v>73.75</v>
      </c>
      <c r="E12" s="3">
        <v>73.5</v>
      </c>
      <c r="F12" s="3">
        <v>73.25</v>
      </c>
      <c r="G12" s="3">
        <v>73</v>
      </c>
      <c r="H12" s="3">
        <v>72.75</v>
      </c>
      <c r="I12" s="3">
        <v>72.5</v>
      </c>
      <c r="J12" s="1"/>
    </row>
    <row r="13" spans="1:10" x14ac:dyDescent="0.3">
      <c r="A13" s="1" t="s">
        <v>9</v>
      </c>
      <c r="B13" s="3" t="s">
        <v>82</v>
      </c>
      <c r="C13" s="3">
        <v>460</v>
      </c>
      <c r="D13" s="3">
        <v>500</v>
      </c>
      <c r="E13" s="3">
        <v>520</v>
      </c>
      <c r="F13" s="3">
        <v>540</v>
      </c>
      <c r="G13" s="3">
        <v>560</v>
      </c>
      <c r="H13" s="3">
        <v>580</v>
      </c>
      <c r="I13" s="3">
        <v>600</v>
      </c>
      <c r="J13" s="1"/>
    </row>
    <row r="14" spans="1:10" x14ac:dyDescent="0.3">
      <c r="A14" s="1" t="s">
        <v>94</v>
      </c>
      <c r="B14" s="3" t="s">
        <v>83</v>
      </c>
      <c r="C14" s="3">
        <v>579</v>
      </c>
      <c r="D14" s="3">
        <v>600</v>
      </c>
      <c r="E14" s="3">
        <v>615</v>
      </c>
      <c r="F14" s="3">
        <v>633</v>
      </c>
      <c r="G14" s="3">
        <v>648</v>
      </c>
      <c r="H14" s="3">
        <v>666</v>
      </c>
      <c r="I14" s="3">
        <v>683</v>
      </c>
      <c r="J14" s="1"/>
    </row>
    <row r="15" spans="1:10" x14ac:dyDescent="0.3">
      <c r="A15" s="1" t="s">
        <v>14</v>
      </c>
      <c r="B15" s="3" t="s">
        <v>84</v>
      </c>
      <c r="C15" s="3">
        <v>430</v>
      </c>
      <c r="D15" s="3">
        <v>430</v>
      </c>
      <c r="E15" s="3">
        <v>430</v>
      </c>
      <c r="F15" s="3">
        <v>430</v>
      </c>
      <c r="G15" s="3">
        <v>430</v>
      </c>
      <c r="H15" s="3">
        <v>430</v>
      </c>
      <c r="I15" s="3">
        <v>430</v>
      </c>
      <c r="J15" s="1"/>
    </row>
    <row r="16" spans="1:10" x14ac:dyDescent="0.3">
      <c r="A16" s="1" t="s">
        <v>15</v>
      </c>
      <c r="B16" s="3" t="s">
        <v>85</v>
      </c>
      <c r="C16" s="3">
        <v>996</v>
      </c>
      <c r="D16" s="3">
        <v>1017</v>
      </c>
      <c r="E16" s="3">
        <v>1032</v>
      </c>
      <c r="F16" s="3">
        <v>1051</v>
      </c>
      <c r="G16" s="3">
        <v>1066</v>
      </c>
      <c r="H16" s="3">
        <v>1083</v>
      </c>
      <c r="I16" s="3">
        <v>1102</v>
      </c>
      <c r="J16" s="1"/>
    </row>
    <row r="17" spans="1:10" x14ac:dyDescent="0.3">
      <c r="A17" s="1" t="s">
        <v>16</v>
      </c>
      <c r="B17" s="3" t="s">
        <v>86</v>
      </c>
      <c r="C17" s="3">
        <v>77</v>
      </c>
      <c r="D17" s="3">
        <v>77</v>
      </c>
      <c r="E17" s="3">
        <v>77</v>
      </c>
      <c r="F17" s="3">
        <v>77</v>
      </c>
      <c r="G17" s="3">
        <v>77</v>
      </c>
      <c r="H17" s="3">
        <v>77</v>
      </c>
      <c r="I17" s="3">
        <v>77</v>
      </c>
      <c r="J17" s="1"/>
    </row>
    <row r="18" spans="1:10" x14ac:dyDescent="0.3">
      <c r="A18" s="1" t="s">
        <v>17</v>
      </c>
      <c r="B18" s="3" t="s">
        <v>87</v>
      </c>
      <c r="C18" s="3">
        <v>405</v>
      </c>
      <c r="D18" s="3">
        <v>405</v>
      </c>
      <c r="E18" s="3">
        <v>405</v>
      </c>
      <c r="F18" s="3">
        <v>405</v>
      </c>
      <c r="G18" s="3">
        <v>405</v>
      </c>
      <c r="H18" s="3">
        <v>405</v>
      </c>
      <c r="I18" s="3">
        <v>405</v>
      </c>
      <c r="J18" s="1"/>
    </row>
    <row r="19" spans="1:10" x14ac:dyDescent="0.3">
      <c r="A19" s="1" t="s">
        <v>18</v>
      </c>
      <c r="B19" s="3" t="s">
        <v>88</v>
      </c>
      <c r="C19" s="3">
        <v>49</v>
      </c>
      <c r="D19" s="3">
        <v>49</v>
      </c>
      <c r="E19" s="3">
        <v>49</v>
      </c>
      <c r="F19" s="3">
        <v>49</v>
      </c>
      <c r="G19" s="3">
        <v>49</v>
      </c>
      <c r="H19" s="3">
        <v>49</v>
      </c>
      <c r="I19" s="3">
        <v>49</v>
      </c>
      <c r="J19" s="1"/>
    </row>
    <row r="20" spans="1:10" x14ac:dyDescent="0.3">
      <c r="A20" s="1" t="s">
        <v>23</v>
      </c>
      <c r="B20" s="3" t="s">
        <v>89</v>
      </c>
      <c r="C20" s="3">
        <v>531</v>
      </c>
      <c r="D20" s="3">
        <v>555</v>
      </c>
      <c r="E20" s="3">
        <v>575</v>
      </c>
      <c r="F20" s="3">
        <v>595</v>
      </c>
      <c r="G20" s="3">
        <v>614</v>
      </c>
      <c r="H20" s="3">
        <v>629</v>
      </c>
      <c r="I20" s="3">
        <v>648</v>
      </c>
      <c r="J20" s="1"/>
    </row>
    <row r="21" spans="1:10" x14ac:dyDescent="0.3">
      <c r="A21" s="1" t="s">
        <v>24</v>
      </c>
      <c r="B21" s="3" t="s">
        <v>90</v>
      </c>
      <c r="C21" s="3">
        <v>363</v>
      </c>
      <c r="D21" s="3">
        <v>378</v>
      </c>
      <c r="E21" s="3">
        <v>390</v>
      </c>
      <c r="F21" s="3">
        <v>401</v>
      </c>
      <c r="G21" s="3">
        <v>412</v>
      </c>
      <c r="H21" s="3">
        <v>425</v>
      </c>
      <c r="I21" s="3">
        <v>436</v>
      </c>
      <c r="J21" s="1"/>
    </row>
    <row r="22" spans="1:10" x14ac:dyDescent="0.3">
      <c r="A22" s="1" t="s">
        <v>29</v>
      </c>
      <c r="B22" s="3" t="s">
        <v>100</v>
      </c>
      <c r="C22" s="3">
        <v>753</v>
      </c>
      <c r="D22" s="3">
        <v>784</v>
      </c>
      <c r="E22" s="3">
        <v>804</v>
      </c>
      <c r="F22" s="3">
        <v>823</v>
      </c>
      <c r="G22" s="3">
        <v>842</v>
      </c>
      <c r="H22" s="3">
        <v>858</v>
      </c>
      <c r="I22" s="3">
        <v>877</v>
      </c>
      <c r="J22" s="1"/>
    </row>
    <row r="23" spans="1:10" x14ac:dyDescent="0.3">
      <c r="A23" s="1" t="s">
        <v>19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20</v>
      </c>
      <c r="B24" s="4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21</v>
      </c>
      <c r="B25" s="4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22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25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26</v>
      </c>
      <c r="B28" s="1" t="s">
        <v>26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  <c r="J28" s="1"/>
    </row>
    <row r="29" spans="1:10" x14ac:dyDescent="0.3">
      <c r="A29" s="1" t="s">
        <v>27</v>
      </c>
      <c r="B29" s="1" t="s">
        <v>27</v>
      </c>
      <c r="C29" s="1">
        <f>2.25*25.4</f>
        <v>57.15</v>
      </c>
      <c r="D29" s="1">
        <f t="shared" ref="D29:I29" si="0">2.25*25.4</f>
        <v>57.15</v>
      </c>
      <c r="E29" s="1">
        <f t="shared" si="0"/>
        <v>57.15</v>
      </c>
      <c r="F29" s="1">
        <f t="shared" si="0"/>
        <v>57.15</v>
      </c>
      <c r="G29" s="1">
        <f t="shared" si="0"/>
        <v>57.15</v>
      </c>
      <c r="H29" s="1">
        <f t="shared" si="0"/>
        <v>57.15</v>
      </c>
      <c r="I29" s="1">
        <f t="shared" si="0"/>
        <v>57.15</v>
      </c>
      <c r="J29" s="1"/>
    </row>
    <row r="30" spans="1:10" x14ac:dyDescent="0.3">
      <c r="A30" s="1" t="s">
        <v>28</v>
      </c>
      <c r="B30" s="1" t="s">
        <v>28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  <c r="H30" s="1">
        <v>50</v>
      </c>
      <c r="I30" s="1">
        <v>50</v>
      </c>
      <c r="J30" s="1"/>
    </row>
    <row r="31" spans="1:10" x14ac:dyDescent="0.3">
      <c r="A31" s="1" t="s">
        <v>30</v>
      </c>
      <c r="B31" s="1"/>
      <c r="C31" s="1">
        <v>160.02000000000001</v>
      </c>
      <c r="D31" s="1">
        <f>AVERAGE(D33,C34)</f>
        <v>166.37</v>
      </c>
      <c r="E31" s="1">
        <f t="shared" ref="E31:I31" si="1">AVERAGE(E33,D34)</f>
        <v>173.99</v>
      </c>
      <c r="F31" s="1">
        <f t="shared" si="1"/>
        <v>179.07</v>
      </c>
      <c r="G31" s="1">
        <f t="shared" si="1"/>
        <v>184.15</v>
      </c>
      <c r="H31" s="1">
        <f t="shared" si="1"/>
        <v>189.23000000000002</v>
      </c>
      <c r="I31" s="1">
        <f t="shared" si="1"/>
        <v>194.31</v>
      </c>
      <c r="J31" s="1"/>
    </row>
    <row r="32" spans="1:10" x14ac:dyDescent="0.3">
      <c r="A32" s="1" t="s">
        <v>31</v>
      </c>
      <c r="B32" s="1"/>
      <c r="C32" s="1">
        <f>D31</f>
        <v>166.37</v>
      </c>
      <c r="D32" s="1">
        <f t="shared" ref="D32:H32" si="2">E31</f>
        <v>173.99</v>
      </c>
      <c r="E32" s="1">
        <f t="shared" si="2"/>
        <v>179.07</v>
      </c>
      <c r="F32" s="1">
        <f t="shared" si="2"/>
        <v>184.15</v>
      </c>
      <c r="G32" s="1">
        <f t="shared" si="2"/>
        <v>189.23000000000002</v>
      </c>
      <c r="H32" s="1">
        <f t="shared" si="2"/>
        <v>194.31</v>
      </c>
      <c r="I32" s="1">
        <v>198.12</v>
      </c>
      <c r="J32" s="1"/>
    </row>
    <row r="33" spans="1:10" x14ac:dyDescent="0.3">
      <c r="A33" s="1"/>
      <c r="B33" s="1"/>
      <c r="C33" s="1">
        <f>C35*2.54</f>
        <v>157.47999999999999</v>
      </c>
      <c r="D33" s="1">
        <f t="shared" ref="D33:I34" si="3">D35*2.54</f>
        <v>165.1</v>
      </c>
      <c r="E33" s="1">
        <f t="shared" si="3"/>
        <v>172.72</v>
      </c>
      <c r="F33" s="1">
        <f t="shared" si="3"/>
        <v>177.8</v>
      </c>
      <c r="G33" s="1">
        <f t="shared" si="3"/>
        <v>182.88</v>
      </c>
      <c r="H33" s="1">
        <f t="shared" si="3"/>
        <v>187.96</v>
      </c>
      <c r="I33" s="1">
        <f t="shared" si="3"/>
        <v>193.04</v>
      </c>
      <c r="J33" s="1"/>
    </row>
    <row r="34" spans="1:10" x14ac:dyDescent="0.3">
      <c r="A34" s="1" t="s">
        <v>32</v>
      </c>
      <c r="B34" s="1" t="s">
        <v>33</v>
      </c>
      <c r="C34" s="1">
        <f>C36*2.54</f>
        <v>167.64000000000001</v>
      </c>
      <c r="D34" s="1">
        <f t="shared" si="3"/>
        <v>175.26</v>
      </c>
      <c r="E34" s="1">
        <f t="shared" si="3"/>
        <v>180.34</v>
      </c>
      <c r="F34" s="1">
        <f t="shared" si="3"/>
        <v>185.42000000000002</v>
      </c>
      <c r="G34" s="1">
        <f t="shared" si="3"/>
        <v>190.5</v>
      </c>
      <c r="H34" s="1">
        <f t="shared" si="3"/>
        <v>195.58</v>
      </c>
      <c r="I34" s="1">
        <f t="shared" si="3"/>
        <v>200.66</v>
      </c>
      <c r="J34" s="1"/>
    </row>
    <row r="35" spans="1:10" x14ac:dyDescent="0.3">
      <c r="A35" s="1" t="s">
        <v>70</v>
      </c>
      <c r="B35" s="1" t="s">
        <v>71</v>
      </c>
      <c r="C35" s="1">
        <v>62</v>
      </c>
      <c r="D35" s="1">
        <v>65</v>
      </c>
      <c r="E35" s="1">
        <v>68</v>
      </c>
      <c r="F35" s="1">
        <v>70</v>
      </c>
      <c r="G35" s="1">
        <v>72</v>
      </c>
      <c r="H35" s="1">
        <v>74</v>
      </c>
      <c r="I35" s="1">
        <v>76</v>
      </c>
      <c r="J35" s="1"/>
    </row>
    <row r="36" spans="1:10" x14ac:dyDescent="0.3">
      <c r="A36" s="1" t="s">
        <v>72</v>
      </c>
      <c r="B36" s="1" t="s">
        <v>73</v>
      </c>
      <c r="C36" s="1">
        <v>66</v>
      </c>
      <c r="D36" s="1">
        <v>69</v>
      </c>
      <c r="E36" s="1">
        <v>71</v>
      </c>
      <c r="F36" s="1">
        <v>73</v>
      </c>
      <c r="G36" s="1">
        <v>75</v>
      </c>
      <c r="H36" s="1">
        <v>77</v>
      </c>
      <c r="I36" s="1">
        <v>79</v>
      </c>
      <c r="J36" s="1"/>
    </row>
    <row r="37" spans="1:10" x14ac:dyDescent="0.3">
      <c r="A37" s="1" t="s">
        <v>74</v>
      </c>
      <c r="B37" s="1" t="s">
        <v>75</v>
      </c>
      <c r="C37" s="4" t="s">
        <v>101</v>
      </c>
      <c r="D37" s="4" t="s">
        <v>92</v>
      </c>
      <c r="E37" s="3" t="s">
        <v>105</v>
      </c>
      <c r="F37" s="4" t="s">
        <v>102</v>
      </c>
      <c r="G37" s="4" t="s">
        <v>93</v>
      </c>
      <c r="H37" s="4" t="s">
        <v>103</v>
      </c>
      <c r="I37" s="4" t="s">
        <v>104</v>
      </c>
      <c r="J37" s="3" t="s">
        <v>91</v>
      </c>
    </row>
    <row r="38" spans="1:10" x14ac:dyDescent="0.3">
      <c r="A38" s="1" t="s">
        <v>34</v>
      </c>
      <c r="B38" s="1" t="s">
        <v>35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36</v>
      </c>
      <c r="B39" s="1" t="s">
        <v>76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37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38</v>
      </c>
      <c r="B41" s="1">
        <v>50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39</v>
      </c>
      <c r="B42" s="1">
        <v>60</v>
      </c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40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41</v>
      </c>
      <c r="B44" s="1"/>
      <c r="C44" s="1"/>
      <c r="D44" s="1"/>
      <c r="E44" s="3"/>
      <c r="F44" s="4"/>
      <c r="G44" s="4"/>
      <c r="H44" s="4"/>
      <c r="I44" s="4"/>
      <c r="J44" s="1"/>
    </row>
    <row r="45" spans="1:10" x14ac:dyDescent="0.3">
      <c r="A45" s="1" t="s">
        <v>42</v>
      </c>
      <c r="B45" s="1"/>
      <c r="C45" s="4"/>
      <c r="D45" s="4"/>
      <c r="E45" s="1"/>
      <c r="F45" s="1"/>
      <c r="G45" s="1"/>
      <c r="H45" s="1"/>
      <c r="I45" s="1"/>
      <c r="J45" s="1"/>
    </row>
    <row r="46" spans="1:10" x14ac:dyDescent="0.3">
      <c r="A46" s="1" t="s">
        <v>43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44</v>
      </c>
      <c r="B47" s="1">
        <v>142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45</v>
      </c>
      <c r="B48" s="1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46</v>
      </c>
      <c r="B49" s="1" t="s">
        <v>98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47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48</v>
      </c>
      <c r="B51" s="1">
        <v>31.6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49</v>
      </c>
      <c r="B52" s="1" t="s">
        <v>76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50</v>
      </c>
      <c r="B53" s="1">
        <v>50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51</v>
      </c>
      <c r="B54" s="1" t="s">
        <v>99</v>
      </c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52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53</v>
      </c>
      <c r="B56" s="1">
        <v>140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54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55</v>
      </c>
      <c r="B58" s="1" t="s">
        <v>77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56</v>
      </c>
      <c r="B59" s="1" t="s">
        <v>77</v>
      </c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57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58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59</v>
      </c>
      <c r="B62" s="1">
        <v>2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60</v>
      </c>
      <c r="B63" s="1">
        <v>1</v>
      </c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61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62</v>
      </c>
      <c r="B65" s="1" t="s">
        <v>76</v>
      </c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63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64</v>
      </c>
      <c r="B67" s="1" t="s">
        <v>76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65</v>
      </c>
      <c r="B68" s="1" t="s">
        <v>76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66</v>
      </c>
      <c r="B69" s="1">
        <v>2490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67</v>
      </c>
      <c r="B70" s="1">
        <v>6390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68</v>
      </c>
      <c r="B71" s="1" t="s">
        <v>76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69</v>
      </c>
      <c r="B72" s="1" t="s">
        <v>96</v>
      </c>
      <c r="C72" s="1"/>
      <c r="D72" s="1"/>
      <c r="E72" s="1"/>
      <c r="F72" s="1"/>
      <c r="G72" s="1"/>
      <c r="H72" s="1"/>
      <c r="I72" s="1"/>
      <c r="J7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2025-08-15T01:17:03Z</dcterms:modified>
</cp:coreProperties>
</file>