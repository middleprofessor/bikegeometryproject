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AF3B23C-99C5-3B4B-BD08-14BE640B9120}" xr6:coauthVersionLast="47" xr6:coauthVersionMax="47" xr10:uidLastSave="{00000000-0000-0000-0000-000000000000}"/>
  <bookViews>
    <workbookView xWindow="24880" yWindow="974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D31" i="1"/>
  <c r="E31" i="1"/>
  <c r="F31" i="1"/>
  <c r="G31" i="1"/>
  <c r="H31" i="1"/>
  <c r="C31" i="1"/>
  <c r="C30" i="1"/>
</calcChain>
</file>

<file path=xl/sharedStrings.xml><?xml version="1.0" encoding="utf-8"?>
<sst xmlns="http://schemas.openxmlformats.org/spreadsheetml/2006/main" count="172" uniqueCount="142">
  <si>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</si>
  <si>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</si>
  <si>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</si>
  <si>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</si>
  <si>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</si>
  <si>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</si>
  <si>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</si>
  <si>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</si>
  <si>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</si>
  <si>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</si>
  <si>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</si>
  <si>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</si>
  <si>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</si>
  <si>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</si>
  <si>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</si>
  <si>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</si>
  <si>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</si>
  <si>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</si>
  <si>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</si>
  <si>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</si>
  <si>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</si>
  <si>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</si>
  <si>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</si>
  <si>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</si>
  <si>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</si>
  <si>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</si>
  <si>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</si>
  <si>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</si>
  <si>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</si>
  <si>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</si>
  <si>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</si>
  <si>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</si>
  <si>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</si>
  <si>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</si>
  <si>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</si>
  <si>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</si>
  <si>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</si>
  <si>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</si>
  <si>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</si>
  <si>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</si>
  <si>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</si>
  <si>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</si>
  <si>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</si>
  <si>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</si>
  <si>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</si>
  <si>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</si>
  <si>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</si>
  <si>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</si>
  <si>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</si>
  <si>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</si>
  <si>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</si>
  <si>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</si>
  <si>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</si>
  <si>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</si>
  <si>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</si>
  <si>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</si>
  <si>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</si>
  <si>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</si>
  <si>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</si>
  <si>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</si>
  <si>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</si>
  <si>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</si>
  <si>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</si>
  <si>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</si>
  <si>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</si>
  <si>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</si>
  <si>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</si>
  <si>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</si>
  <si>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</si>
  <si>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</si>
  <si>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</si>
  <si>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</si>
  <si>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</si>
  <si>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</si>
  <si>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</si>
  <si>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</si>
  <si>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</si>
  <si>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Salsa</t>
  </si>
  <si>
    <t>H. Seat Tube Angle</t>
  </si>
  <si>
    <t>Size</t>
  </si>
  <si>
    <t>49cm</t>
  </si>
  <si>
    <t>52.5cm</t>
  </si>
  <si>
    <t>54.5cm</t>
  </si>
  <si>
    <t>56cm</t>
  </si>
  <si>
    <t>57.5cm</t>
  </si>
  <si>
    <t>59cm</t>
  </si>
  <si>
    <t>61cm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</si>
  <si>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</si>
  <si>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</si>
  <si>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</si>
  <si>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</si>
  <si>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</si>
  <si>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</si>
  <si>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</si>
  <si>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I. BB Drop</t>
  </si>
  <si>
    <t>J. BB Height</t>
  </si>
  <si>
    <t>K. Chainstay Length</t>
  </si>
  <si>
    <t>435.0- 450.0</t>
  </si>
  <si>
    <t>L. Fork Length Axle to Crown</t>
  </si>
  <si>
    <t>M. Fork Offset</t>
  </si>
  <si>
    <t>N. Wheelbase</t>
  </si>
  <si>
    <t>1017.0- 1032.0</t>
  </si>
  <si>
    <t>1027.0- 1041.0</t>
  </si>
  <si>
    <t>1037.0- 1051.0</t>
  </si>
  <si>
    <t>1053.0- 1067.0</t>
  </si>
  <si>
    <t>1069.0- 1084.0</t>
  </si>
  <si>
    <t>1085.0- 1100.0</t>
  </si>
  <si>
    <t>1101.0- 1116.0</t>
  </si>
  <si>
    <t>Crank Arm Length</t>
  </si>
  <si>
    <t>Handlebar Width</t>
  </si>
  <si>
    <t>Recommended Rider Height</t>
  </si>
  <si>
    <t>Stem Length</t>
  </si>
  <si>
    <t>bb_height</t>
  </si>
  <si>
    <t>location</t>
  </si>
  <si>
    <t>Bloomington, Minnesota,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</si>
  <si>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</si>
  <si>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</si>
  <si>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</si>
  <si>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</si>
  <si>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</si>
  <si>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</si>
  <si>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</si>
  <si>
    <t>Flyway C</t>
  </si>
  <si>
    <t>https://www.salsacycles.com/collections/flyway</t>
  </si>
  <si>
    <t>https://www.salsacycles.com/cdn/shop/files/salsa-flyway-red-xplr-BK01710.png?v=1771384220&amp;width=1680</t>
  </si>
  <si>
    <t>X-Small</t>
  </si>
  <si>
    <t>Small</t>
  </si>
  <si>
    <t>Medium</t>
  </si>
  <si>
    <t>Medium/Large</t>
  </si>
  <si>
    <t>Large</t>
  </si>
  <si>
    <t>X-Large</t>
  </si>
  <si>
    <t>147.0 - 157.0</t>
  </si>
  <si>
    <t>156.0 - 166.0</t>
  </si>
  <si>
    <t>165.0 - 175.0</t>
  </si>
  <si>
    <t>174.0 - 184.0</t>
  </si>
  <si>
    <t>183.0 - 193.0</t>
  </si>
  <si>
    <t>192.0 - 201.0</t>
  </si>
  <si>
    <t>57 fork</t>
  </si>
  <si>
    <t>IS52</t>
  </si>
  <si>
    <t>carbon</t>
  </si>
  <si>
    <t>t47 85.5</t>
  </si>
  <si>
    <t>a8:h31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</si>
</sst>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0"/>
      <color rgb="FF000000"/>
      <name val="Montserrat"/>
    </font>
    <font>
      <sz val="10"/>
      <color rgb="FF000000"/>
      <name val="Montserrat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topLeftCell="A10" workbookViewId="0">
      <selection activeCell="B8" sqref="B8"/>
    </sheetView>
  </sheetViews>
  <sheetFormatPr baseColWidth="10" defaultRowHeight="20" x14ac:dyDescent="0.3"/>
  <cols>
    <col min="1" max="2" width="19.6640625" customWidth="1"/>
    <col min="6" max="6" width="11.44140625" bestFit="1" customWidth="1"/>
  </cols>
  <sheetData>
    <row r="1" spans="1:20" x14ac:dyDescent="0.3">
      <c r="A1" t="s">
        <v>0</v>
      </c>
      <c r="B1" s="1" t="s">
        <v>77</v>
      </c>
    </row>
    <row r="2" spans="1:20" x14ac:dyDescent="0.3">
      <c r="A2" t="s">
        <v>1</v>
      </c>
      <c r="B2" s="1" t="s">
        <v>122</v>
      </c>
    </row>
    <row r="3" spans="1:20" x14ac:dyDescent="0.3">
      <c r="A3" t="s">
        <v>2</v>
      </c>
      <c r="B3">
        <v>2026</v>
      </c>
    </row>
    <row r="4" spans="1:20" x14ac:dyDescent="0.3">
      <c r="A4" t="s">
        <v>3</v>
      </c>
      <c r="B4" s="2">
        <v>46084</v>
      </c>
    </row>
    <row r="5" spans="1:20" x14ac:dyDescent="0.3">
      <c r="A5" t="s">
        <v>4</v>
      </c>
      <c r="B5" t="s">
        <v>123</v>
      </c>
    </row>
    <row r="6" spans="1:20" x14ac:dyDescent="0.3">
      <c r="B6" t="s">
        <v>124</v>
      </c>
    </row>
    <row r="7" spans="1:20" x14ac:dyDescent="0.3">
      <c r="A7" t="s">
        <v>5</v>
      </c>
      <c r="B7" s="1" t="s">
        <v>141</v>
      </c>
    </row>
    <row r="8" spans="1:20" x14ac:dyDescent="0.3">
      <c r="A8" t="s">
        <v>6</v>
      </c>
      <c r="B8" s="5" t="s">
        <v>79</v>
      </c>
      <c r="C8" s="5" t="s">
        <v>125</v>
      </c>
      <c r="D8" s="5" t="s">
        <v>126</v>
      </c>
      <c r="E8" s="5" t="s">
        <v>127</v>
      </c>
      <c r="F8" s="5" t="s">
        <v>128</v>
      </c>
      <c r="G8" s="5" t="s">
        <v>129</v>
      </c>
      <c r="H8" s="5" t="s">
        <v>130</v>
      </c>
      <c r="I8" s="5"/>
      <c r="M8" s="3" t="s">
        <v>79</v>
      </c>
      <c r="N8" s="3" t="s">
        <v>80</v>
      </c>
      <c r="O8" s="3" t="s">
        <v>81</v>
      </c>
      <c r="P8" s="3" t="s">
        <v>82</v>
      </c>
      <c r="Q8" s="3" t="s">
        <v>83</v>
      </c>
      <c r="R8" s="3" t="s">
        <v>84</v>
      </c>
      <c r="S8" s="3" t="s">
        <v>85</v>
      </c>
      <c r="T8" s="3" t="s">
        <v>86</v>
      </c>
    </row>
    <row r="9" spans="1:20" x14ac:dyDescent="0.3">
      <c r="A9" t="s">
        <v>7</v>
      </c>
      <c r="B9" s="5" t="s">
        <v>87</v>
      </c>
      <c r="C9" s="6">
        <v>510</v>
      </c>
      <c r="D9" s="6">
        <v>535</v>
      </c>
      <c r="E9" s="6">
        <v>555</v>
      </c>
      <c r="F9" s="6">
        <v>575</v>
      </c>
      <c r="G9" s="6">
        <v>600</v>
      </c>
      <c r="H9" s="6">
        <v>620</v>
      </c>
      <c r="I9" s="6"/>
      <c r="M9" s="3" t="s">
        <v>87</v>
      </c>
      <c r="N9" s="4">
        <v>506</v>
      </c>
      <c r="O9" s="4">
        <v>527</v>
      </c>
      <c r="P9" s="4">
        <v>545</v>
      </c>
      <c r="Q9" s="4">
        <v>560</v>
      </c>
      <c r="R9" s="4">
        <v>575</v>
      </c>
      <c r="S9" s="4">
        <v>590</v>
      </c>
      <c r="T9" s="4">
        <v>605</v>
      </c>
    </row>
    <row r="10" spans="1:20" x14ac:dyDescent="0.3">
      <c r="A10" t="s">
        <v>18</v>
      </c>
      <c r="B10" s="5" t="s">
        <v>88</v>
      </c>
      <c r="C10" s="6">
        <v>382</v>
      </c>
      <c r="D10" s="6">
        <v>715</v>
      </c>
      <c r="E10" s="6">
        <v>749</v>
      </c>
      <c r="F10" s="6">
        <v>780</v>
      </c>
      <c r="G10" s="6">
        <v>814</v>
      </c>
      <c r="H10" s="6">
        <v>843</v>
      </c>
      <c r="I10" s="6"/>
      <c r="M10" s="3" t="s">
        <v>88</v>
      </c>
      <c r="N10" s="4">
        <v>686</v>
      </c>
      <c r="O10" s="4">
        <v>727</v>
      </c>
      <c r="P10" s="4">
        <v>756</v>
      </c>
      <c r="Q10" s="4">
        <v>786</v>
      </c>
      <c r="R10" s="4">
        <v>794</v>
      </c>
      <c r="S10" s="4">
        <v>820</v>
      </c>
      <c r="T10" s="4">
        <v>843</v>
      </c>
    </row>
    <row r="11" spans="1:20" x14ac:dyDescent="0.3">
      <c r="A11" t="s">
        <v>17</v>
      </c>
      <c r="B11" s="5" t="s">
        <v>89</v>
      </c>
      <c r="C11" s="6">
        <v>375.2</v>
      </c>
      <c r="D11" s="6">
        <v>387.7</v>
      </c>
      <c r="E11" s="6">
        <v>391.9</v>
      </c>
      <c r="F11" s="6">
        <v>405.2</v>
      </c>
      <c r="G11" s="6">
        <v>420.7</v>
      </c>
      <c r="H11" s="6">
        <v>435.3</v>
      </c>
      <c r="I11" s="6"/>
      <c r="M11" s="3" t="s">
        <v>89</v>
      </c>
      <c r="N11" s="4">
        <v>366</v>
      </c>
      <c r="O11" s="4">
        <v>371</v>
      </c>
      <c r="P11" s="4">
        <v>373</v>
      </c>
      <c r="Q11" s="4">
        <v>382</v>
      </c>
      <c r="R11" s="4">
        <v>392</v>
      </c>
      <c r="S11" s="4">
        <v>401</v>
      </c>
      <c r="T11" s="4">
        <v>411</v>
      </c>
    </row>
    <row r="12" spans="1:20" x14ac:dyDescent="0.3">
      <c r="A12" t="s">
        <v>16</v>
      </c>
      <c r="B12" s="5" t="s">
        <v>90</v>
      </c>
      <c r="C12" s="6">
        <v>540.5</v>
      </c>
      <c r="D12" s="6">
        <v>549.9</v>
      </c>
      <c r="E12" s="6">
        <v>568.79999999999995</v>
      </c>
      <c r="F12" s="6">
        <v>592.29999999999995</v>
      </c>
      <c r="G12" s="6">
        <v>625.29999999999995</v>
      </c>
      <c r="H12" s="6">
        <v>644.20000000000005</v>
      </c>
      <c r="I12" s="6"/>
      <c r="M12" s="3" t="s">
        <v>90</v>
      </c>
      <c r="N12" s="4">
        <v>530</v>
      </c>
      <c r="O12" s="4">
        <v>544</v>
      </c>
      <c r="P12" s="4">
        <v>563</v>
      </c>
      <c r="Q12" s="4">
        <v>581</v>
      </c>
      <c r="R12" s="4">
        <v>600</v>
      </c>
      <c r="S12" s="4">
        <v>619</v>
      </c>
      <c r="T12" s="4">
        <v>637</v>
      </c>
    </row>
    <row r="13" spans="1:20" x14ac:dyDescent="0.3">
      <c r="A13" t="s">
        <v>9</v>
      </c>
      <c r="B13" s="5" t="s">
        <v>91</v>
      </c>
      <c r="C13" s="6">
        <v>390</v>
      </c>
      <c r="D13" s="6">
        <v>430</v>
      </c>
      <c r="E13" s="6">
        <v>470</v>
      </c>
      <c r="F13" s="6">
        <v>505</v>
      </c>
      <c r="G13" s="6">
        <v>540</v>
      </c>
      <c r="H13" s="6">
        <v>575</v>
      </c>
      <c r="I13" s="6"/>
      <c r="M13" s="3" t="s">
        <v>91</v>
      </c>
      <c r="N13" s="4">
        <v>390</v>
      </c>
      <c r="O13" s="4">
        <v>440</v>
      </c>
      <c r="P13" s="4">
        <v>475</v>
      </c>
      <c r="Q13" s="4">
        <v>510</v>
      </c>
      <c r="R13" s="4">
        <v>520</v>
      </c>
      <c r="S13" s="4">
        <v>545</v>
      </c>
      <c r="T13" s="4">
        <v>570</v>
      </c>
    </row>
    <row r="14" spans="1:20" x14ac:dyDescent="0.3">
      <c r="A14" t="s">
        <v>10</v>
      </c>
      <c r="B14" s="5" t="s">
        <v>92</v>
      </c>
      <c r="C14" s="6">
        <v>90</v>
      </c>
      <c r="D14" s="6">
        <v>100</v>
      </c>
      <c r="E14" s="6">
        <v>120</v>
      </c>
      <c r="F14" s="6">
        <v>145</v>
      </c>
      <c r="G14" s="6">
        <v>180</v>
      </c>
      <c r="H14" s="6">
        <v>200</v>
      </c>
      <c r="I14" s="6"/>
      <c r="M14" s="3" t="s">
        <v>92</v>
      </c>
      <c r="N14" s="4">
        <v>90</v>
      </c>
      <c r="O14" s="4">
        <v>105</v>
      </c>
      <c r="P14" s="4">
        <v>125</v>
      </c>
      <c r="Q14" s="4">
        <v>145</v>
      </c>
      <c r="R14" s="4">
        <v>165</v>
      </c>
      <c r="S14" s="4">
        <v>185</v>
      </c>
      <c r="T14" s="4">
        <v>205</v>
      </c>
    </row>
    <row r="15" spans="1:20" x14ac:dyDescent="0.3">
      <c r="A15" t="s">
        <v>11</v>
      </c>
      <c r="B15" s="5" t="s">
        <v>93</v>
      </c>
      <c r="C15" s="6">
        <v>70.5</v>
      </c>
      <c r="D15" s="6">
        <v>70.5</v>
      </c>
      <c r="E15" s="6">
        <v>70.5</v>
      </c>
      <c r="F15" s="6">
        <v>70.5</v>
      </c>
      <c r="G15" s="6">
        <v>70.5</v>
      </c>
      <c r="H15" s="6">
        <v>70.5</v>
      </c>
      <c r="I15" s="6"/>
      <c r="M15" s="3" t="s">
        <v>93</v>
      </c>
      <c r="N15" s="4">
        <v>70</v>
      </c>
      <c r="O15" s="4">
        <v>70</v>
      </c>
      <c r="P15" s="4">
        <v>70</v>
      </c>
      <c r="Q15" s="4">
        <v>70</v>
      </c>
      <c r="R15" s="4">
        <v>70</v>
      </c>
      <c r="S15" s="4">
        <v>70</v>
      </c>
      <c r="T15" s="4">
        <v>70</v>
      </c>
    </row>
    <row r="16" spans="1:20" x14ac:dyDescent="0.3">
      <c r="A16" t="s">
        <v>8</v>
      </c>
      <c r="B16" s="5" t="s">
        <v>78</v>
      </c>
      <c r="C16" s="6">
        <v>76</v>
      </c>
      <c r="D16" s="6">
        <v>75</v>
      </c>
      <c r="E16" s="6">
        <v>74</v>
      </c>
      <c r="F16" s="6">
        <v>74</v>
      </c>
      <c r="G16" s="6">
        <v>74</v>
      </c>
      <c r="H16" s="6">
        <v>74</v>
      </c>
      <c r="I16" s="6"/>
      <c r="M16" s="3" t="s">
        <v>78</v>
      </c>
      <c r="N16" s="4">
        <v>75.25</v>
      </c>
      <c r="O16" s="4">
        <v>74</v>
      </c>
      <c r="P16" s="4">
        <v>73</v>
      </c>
      <c r="Q16" s="4">
        <v>73</v>
      </c>
      <c r="R16" s="4">
        <v>73</v>
      </c>
      <c r="S16" s="4">
        <v>73</v>
      </c>
      <c r="T16" s="4">
        <v>73.099999999999994</v>
      </c>
    </row>
    <row r="17" spans="1:20" x14ac:dyDescent="0.3">
      <c r="A17" t="s">
        <v>15</v>
      </c>
      <c r="B17" s="5" t="s">
        <v>94</v>
      </c>
      <c r="C17" s="6">
        <v>76</v>
      </c>
      <c r="D17" s="6">
        <v>76</v>
      </c>
      <c r="E17" s="6">
        <v>76</v>
      </c>
      <c r="F17" s="6">
        <v>76</v>
      </c>
      <c r="G17" s="6">
        <v>76</v>
      </c>
      <c r="H17" s="6">
        <v>76</v>
      </c>
      <c r="I17" s="6"/>
      <c r="M17" s="3" t="s">
        <v>94</v>
      </c>
      <c r="N17" s="4">
        <v>70</v>
      </c>
      <c r="O17" s="4">
        <v>70</v>
      </c>
      <c r="P17" s="4">
        <v>70</v>
      </c>
      <c r="Q17" s="4">
        <v>70</v>
      </c>
      <c r="R17" s="4">
        <v>70</v>
      </c>
      <c r="S17" s="4">
        <v>70</v>
      </c>
      <c r="T17" s="4">
        <v>70</v>
      </c>
    </row>
    <row r="18" spans="1:20" x14ac:dyDescent="0.3">
      <c r="A18" s="1" t="s">
        <v>112</v>
      </c>
      <c r="B18" s="5" t="s">
        <v>95</v>
      </c>
      <c r="C18" s="6">
        <v>283</v>
      </c>
      <c r="D18" s="6">
        <v>283</v>
      </c>
      <c r="E18" s="6">
        <v>283</v>
      </c>
      <c r="F18" s="6">
        <v>283</v>
      </c>
      <c r="G18" s="6">
        <v>283</v>
      </c>
      <c r="H18" s="6">
        <v>283</v>
      </c>
      <c r="I18" s="6"/>
      <c r="M18" s="3" t="s">
        <v>95</v>
      </c>
      <c r="N18" s="4">
        <v>290</v>
      </c>
      <c r="O18" s="4">
        <v>290</v>
      </c>
      <c r="P18" s="4">
        <v>290</v>
      </c>
      <c r="Q18" s="4">
        <v>290</v>
      </c>
      <c r="R18" s="4">
        <v>290</v>
      </c>
      <c r="S18" s="4">
        <v>290</v>
      </c>
      <c r="T18" s="4">
        <v>290</v>
      </c>
    </row>
    <row r="19" spans="1:20" x14ac:dyDescent="0.3">
      <c r="A19" t="s">
        <v>14</v>
      </c>
      <c r="B19" s="5" t="s">
        <v>96</v>
      </c>
      <c r="C19" s="6">
        <v>425</v>
      </c>
      <c r="D19" s="6">
        <v>425</v>
      </c>
      <c r="E19" s="6">
        <v>425</v>
      </c>
      <c r="F19" s="6">
        <v>425</v>
      </c>
      <c r="G19" s="6">
        <v>425</v>
      </c>
      <c r="H19" s="6">
        <v>425</v>
      </c>
      <c r="I19" s="6"/>
      <c r="M19" s="3" t="s">
        <v>96</v>
      </c>
      <c r="N19" s="4" t="s">
        <v>97</v>
      </c>
      <c r="O19" s="4" t="s">
        <v>97</v>
      </c>
      <c r="P19" s="4" t="s">
        <v>97</v>
      </c>
      <c r="Q19" s="4" t="s">
        <v>97</v>
      </c>
      <c r="R19" s="4" t="s">
        <v>97</v>
      </c>
      <c r="S19" s="4" t="s">
        <v>97</v>
      </c>
      <c r="T19" s="4" t="s">
        <v>97</v>
      </c>
    </row>
    <row r="20" spans="1:20" x14ac:dyDescent="0.3">
      <c r="A20" t="s">
        <v>12</v>
      </c>
      <c r="B20" s="5" t="s">
        <v>98</v>
      </c>
      <c r="C20" s="6">
        <v>419.9</v>
      </c>
      <c r="D20" s="6">
        <v>419.9</v>
      </c>
      <c r="E20" s="6">
        <v>419.9</v>
      </c>
      <c r="F20" s="6">
        <v>419.9</v>
      </c>
      <c r="G20" s="6">
        <v>419.9</v>
      </c>
      <c r="H20" s="6">
        <v>419.9</v>
      </c>
      <c r="I20" s="6"/>
      <c r="M20" s="3" t="s">
        <v>98</v>
      </c>
      <c r="N20" s="4">
        <v>420</v>
      </c>
      <c r="O20" s="4">
        <v>420</v>
      </c>
      <c r="P20" s="4">
        <v>420</v>
      </c>
      <c r="Q20" s="4">
        <v>420</v>
      </c>
      <c r="R20" s="4">
        <v>420</v>
      </c>
      <c r="S20" s="4">
        <v>420</v>
      </c>
      <c r="T20" s="4">
        <v>420</v>
      </c>
    </row>
    <row r="21" spans="1:20" x14ac:dyDescent="0.3">
      <c r="A21" t="s">
        <v>13</v>
      </c>
      <c r="B21" s="5" t="s">
        <v>99</v>
      </c>
      <c r="C21" s="6">
        <v>51</v>
      </c>
      <c r="D21" s="6">
        <v>51</v>
      </c>
      <c r="E21" s="6">
        <v>51</v>
      </c>
      <c r="F21" s="6">
        <v>51</v>
      </c>
      <c r="G21" s="6">
        <v>51</v>
      </c>
      <c r="H21" s="6">
        <v>51</v>
      </c>
      <c r="I21" s="6"/>
      <c r="M21" s="3" t="s">
        <v>99</v>
      </c>
      <c r="N21" s="4">
        <v>51</v>
      </c>
      <c r="O21" s="4">
        <v>51</v>
      </c>
      <c r="P21" s="4">
        <v>51</v>
      </c>
      <c r="Q21" s="4">
        <v>51</v>
      </c>
      <c r="R21" s="4">
        <v>51</v>
      </c>
      <c r="S21" s="4">
        <v>51</v>
      </c>
      <c r="T21" s="4">
        <v>51</v>
      </c>
    </row>
    <row r="22" spans="1:20" x14ac:dyDescent="0.3">
      <c r="A22" t="s">
        <v>19</v>
      </c>
      <c r="B22" s="5" t="s">
        <v>100</v>
      </c>
      <c r="C22" s="6">
        <v>1012</v>
      </c>
      <c r="D22" s="6">
        <v>1027.7</v>
      </c>
      <c r="E22" s="6">
        <v>1038.7</v>
      </c>
      <c r="F22" s="6">
        <v>1060.2</v>
      </c>
      <c r="G22" s="6">
        <v>1087.5</v>
      </c>
      <c r="H22" s="6">
        <v>1108.7</v>
      </c>
      <c r="I22" s="6"/>
      <c r="M22" s="3" t="s">
        <v>100</v>
      </c>
      <c r="N22" s="4" t="s">
        <v>101</v>
      </c>
      <c r="O22" s="4" t="s">
        <v>102</v>
      </c>
      <c r="P22" s="4" t="s">
        <v>103</v>
      </c>
      <c r="Q22" s="4" t="s">
        <v>104</v>
      </c>
      <c r="R22" s="4" t="s">
        <v>105</v>
      </c>
      <c r="S22" s="4" t="s">
        <v>106</v>
      </c>
      <c r="T22" s="4" t="s">
        <v>107</v>
      </c>
    </row>
    <row r="23" spans="1:20" x14ac:dyDescent="0.3">
      <c r="A23" t="s">
        <v>20</v>
      </c>
      <c r="B23" s="5" t="s">
        <v>108</v>
      </c>
      <c r="C23" s="6">
        <v>160</v>
      </c>
      <c r="D23" s="6">
        <v>165</v>
      </c>
      <c r="E23" s="6">
        <v>165</v>
      </c>
      <c r="F23" s="6">
        <v>170</v>
      </c>
      <c r="G23" s="6">
        <v>170</v>
      </c>
      <c r="H23" s="6">
        <v>175</v>
      </c>
      <c r="I23" s="6"/>
      <c r="M23" s="3" t="s">
        <v>108</v>
      </c>
      <c r="N23" s="4">
        <v>165</v>
      </c>
      <c r="O23" s="4">
        <v>170</v>
      </c>
      <c r="P23" s="4">
        <v>175</v>
      </c>
      <c r="Q23" s="4">
        <v>180</v>
      </c>
      <c r="R23" s="4">
        <v>180</v>
      </c>
      <c r="S23" s="4">
        <v>180</v>
      </c>
      <c r="T23" s="4">
        <v>180</v>
      </c>
    </row>
    <row r="24" spans="1:20" x14ac:dyDescent="0.3">
      <c r="A24" t="s">
        <v>21</v>
      </c>
      <c r="B24" s="5" t="s">
        <v>109</v>
      </c>
      <c r="C24" s="6"/>
      <c r="D24" s="6"/>
      <c r="E24" s="6"/>
      <c r="F24" s="6"/>
      <c r="G24" s="6"/>
      <c r="H24" s="6"/>
      <c r="I24" s="6"/>
      <c r="M24" s="3" t="s">
        <v>109</v>
      </c>
      <c r="N24" s="4">
        <v>40</v>
      </c>
      <c r="O24" s="4">
        <v>42</v>
      </c>
      <c r="P24" s="4">
        <v>44</v>
      </c>
      <c r="Q24" s="4">
        <v>46</v>
      </c>
      <c r="R24" s="4">
        <v>48</v>
      </c>
      <c r="S24" s="4">
        <v>50</v>
      </c>
      <c r="T24" s="4">
        <v>52</v>
      </c>
    </row>
    <row r="25" spans="1:20" x14ac:dyDescent="0.3">
      <c r="A25" t="s">
        <v>22</v>
      </c>
      <c r="B25" s="5"/>
      <c r="I25" s="6"/>
      <c r="M25" s="3" t="s">
        <v>111</v>
      </c>
      <c r="N25" s="4">
        <v>60</v>
      </c>
      <c r="O25" s="4">
        <v>70</v>
      </c>
      <c r="P25" s="4">
        <v>80</v>
      </c>
      <c r="Q25" s="4">
        <v>90</v>
      </c>
      <c r="R25" s="4">
        <v>90</v>
      </c>
      <c r="S25" s="4">
        <v>100</v>
      </c>
      <c r="T25" s="4">
        <v>110</v>
      </c>
    </row>
    <row r="26" spans="1:20" x14ac:dyDescent="0.3">
      <c r="A26" t="s">
        <v>23</v>
      </c>
      <c r="F26" s="7"/>
    </row>
    <row r="27" spans="1:2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20" x14ac:dyDescent="0.3">
      <c r="A28" t="s">
        <v>25</v>
      </c>
      <c r="B28" t="s">
        <v>25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</row>
    <row r="29" spans="1:2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20" x14ac:dyDescent="0.3">
      <c r="A30" t="s">
        <v>27</v>
      </c>
      <c r="B30" t="s">
        <v>28</v>
      </c>
      <c r="C30">
        <f>VALUE(LEFT(C32,5))</f>
        <v>147</v>
      </c>
      <c r="D30">
        <f t="shared" ref="D30:H30" si="0">VALUE(LEFT(D32,5))</f>
        <v>156</v>
      </c>
      <c r="E30">
        <f t="shared" si="0"/>
        <v>165</v>
      </c>
      <c r="F30">
        <f t="shared" si="0"/>
        <v>174</v>
      </c>
      <c r="G30">
        <f t="shared" si="0"/>
        <v>183</v>
      </c>
      <c r="H30">
        <f t="shared" si="0"/>
        <v>192</v>
      </c>
    </row>
    <row r="31" spans="1:20" x14ac:dyDescent="0.3">
      <c r="A31" t="s">
        <v>29</v>
      </c>
      <c r="B31" t="s">
        <v>30</v>
      </c>
      <c r="C31">
        <f>VALUE(RIGHT(C32,5))</f>
        <v>157</v>
      </c>
      <c r="D31">
        <f t="shared" ref="D31:H31" si="1">VALUE(RIGHT(D32,5))</f>
        <v>166</v>
      </c>
      <c r="E31">
        <f t="shared" si="1"/>
        <v>175</v>
      </c>
      <c r="F31">
        <f t="shared" si="1"/>
        <v>184</v>
      </c>
      <c r="G31">
        <f t="shared" si="1"/>
        <v>193</v>
      </c>
      <c r="H31">
        <f t="shared" si="1"/>
        <v>201</v>
      </c>
    </row>
    <row r="32" spans="1:20" x14ac:dyDescent="0.3">
      <c r="C32" s="6" t="s">
        <v>131</v>
      </c>
      <c r="D32" s="6" t="s">
        <v>132</v>
      </c>
      <c r="E32" s="6" t="s">
        <v>133</v>
      </c>
      <c r="F32" s="6" t="s">
        <v>134</v>
      </c>
      <c r="G32" s="6" t="s">
        <v>135</v>
      </c>
      <c r="H32" s="6" t="s">
        <v>136</v>
      </c>
      <c r="I32" s="6"/>
      <c r="J32" s="5" t="s">
        <v>110</v>
      </c>
    </row>
    <row r="33" spans="1:3" x14ac:dyDescent="0.3">
      <c r="A33" t="s">
        <v>31</v>
      </c>
      <c r="B33" t="s">
        <v>32</v>
      </c>
    </row>
    <row r="34" spans="1:3" x14ac:dyDescent="0.3">
      <c r="A34" t="s">
        <v>68</v>
      </c>
      <c r="B34" t="s">
        <v>69</v>
      </c>
    </row>
    <row r="35" spans="1:3" x14ac:dyDescent="0.3">
      <c r="A35" t="s">
        <v>70</v>
      </c>
      <c r="B35" t="s">
        <v>71</v>
      </c>
    </row>
    <row r="36" spans="1:3" x14ac:dyDescent="0.3">
      <c r="A36" t="s">
        <v>72</v>
      </c>
      <c r="B36" t="s">
        <v>73</v>
      </c>
    </row>
    <row r="37" spans="1:3" x14ac:dyDescent="0.3">
      <c r="A37" t="s">
        <v>33</v>
      </c>
      <c r="B37" s="1" t="s">
        <v>139</v>
      </c>
    </row>
    <row r="38" spans="1:3" x14ac:dyDescent="0.3">
      <c r="A38" t="s">
        <v>34</v>
      </c>
      <c r="B38" s="1" t="s">
        <v>74</v>
      </c>
    </row>
    <row r="39" spans="1:3" x14ac:dyDescent="0.3">
      <c r="A39" t="s">
        <v>35</v>
      </c>
    </row>
    <row r="40" spans="1:3" x14ac:dyDescent="0.3">
      <c r="A40" t="s">
        <v>36</v>
      </c>
      <c r="B40">
        <v>50</v>
      </c>
      <c r="C40" s="1" t="s">
        <v>137</v>
      </c>
    </row>
    <row r="41" spans="1:3" x14ac:dyDescent="0.3">
      <c r="A41" t="s">
        <v>37</v>
      </c>
      <c r="B41">
        <v>51</v>
      </c>
    </row>
    <row r="42" spans="1:3" x14ac:dyDescent="0.3">
      <c r="A42" t="s">
        <v>38</v>
      </c>
      <c r="B42">
        <v>40</v>
      </c>
    </row>
    <row r="43" spans="1:3" x14ac:dyDescent="0.3">
      <c r="A43" t="s">
        <v>39</v>
      </c>
      <c r="B43" s="1"/>
    </row>
    <row r="44" spans="1:3" x14ac:dyDescent="0.3">
      <c r="A44" t="s">
        <v>40</v>
      </c>
    </row>
    <row r="45" spans="1:3" x14ac:dyDescent="0.3">
      <c r="A45" t="s">
        <v>41</v>
      </c>
    </row>
    <row r="46" spans="1:3" x14ac:dyDescent="0.3">
      <c r="A46" t="s">
        <v>42</v>
      </c>
      <c r="B46">
        <v>142</v>
      </c>
    </row>
    <row r="47" spans="1:3" x14ac:dyDescent="0.3">
      <c r="A47" t="s">
        <v>43</v>
      </c>
      <c r="B47">
        <v>100</v>
      </c>
    </row>
    <row r="48" spans="1:3" x14ac:dyDescent="0.3">
      <c r="A48" t="s">
        <v>116</v>
      </c>
    </row>
    <row r="49" spans="1:3" x14ac:dyDescent="0.3">
      <c r="A49" t="s">
        <v>117</v>
      </c>
      <c r="B49" s="1" t="s">
        <v>138</v>
      </c>
    </row>
    <row r="50" spans="1:3" x14ac:dyDescent="0.3">
      <c r="A50" t="s">
        <v>118</v>
      </c>
      <c r="B50" s="1" t="s">
        <v>138</v>
      </c>
    </row>
    <row r="51" spans="1:3" x14ac:dyDescent="0.3">
      <c r="A51" t="s">
        <v>119</v>
      </c>
    </row>
    <row r="52" spans="1:3" x14ac:dyDescent="0.3">
      <c r="A52" t="s">
        <v>120</v>
      </c>
    </row>
    <row r="53" spans="1:3" x14ac:dyDescent="0.3">
      <c r="A53" t="s">
        <v>121</v>
      </c>
    </row>
    <row r="54" spans="1:3" x14ac:dyDescent="0.3">
      <c r="A54" t="s">
        <v>44</v>
      </c>
      <c r="B54" s="1" t="s">
        <v>75</v>
      </c>
      <c r="C54" s="1" t="s">
        <v>140</v>
      </c>
    </row>
    <row r="55" spans="1:3" x14ac:dyDescent="0.3">
      <c r="A55" t="s">
        <v>45</v>
      </c>
    </row>
    <row r="56" spans="1:3" x14ac:dyDescent="0.3">
      <c r="A56" t="s">
        <v>46</v>
      </c>
      <c r="B56">
        <v>27.2</v>
      </c>
    </row>
    <row r="57" spans="1:3" x14ac:dyDescent="0.3">
      <c r="A57" t="s">
        <v>47</v>
      </c>
      <c r="B57" s="1" t="s">
        <v>74</v>
      </c>
    </row>
    <row r="58" spans="1:3" x14ac:dyDescent="0.3">
      <c r="A58" t="s">
        <v>48</v>
      </c>
      <c r="B58">
        <v>46</v>
      </c>
    </row>
    <row r="59" spans="1:3" x14ac:dyDescent="0.3">
      <c r="A59" t="s">
        <v>49</v>
      </c>
    </row>
    <row r="60" spans="1:3" x14ac:dyDescent="0.3">
      <c r="A60" t="s">
        <v>50</v>
      </c>
    </row>
    <row r="61" spans="1:3" x14ac:dyDescent="0.3">
      <c r="A61" t="s">
        <v>51</v>
      </c>
    </row>
    <row r="62" spans="1:3" x14ac:dyDescent="0.3">
      <c r="A62" t="s">
        <v>52</v>
      </c>
    </row>
    <row r="63" spans="1:3" x14ac:dyDescent="0.3">
      <c r="A63" t="s">
        <v>53</v>
      </c>
      <c r="B63" s="1"/>
    </row>
    <row r="64" spans="1:3" x14ac:dyDescent="0.3">
      <c r="A64" t="s">
        <v>54</v>
      </c>
      <c r="B64" s="1" t="s">
        <v>76</v>
      </c>
    </row>
    <row r="65" spans="1:2" x14ac:dyDescent="0.3">
      <c r="A65" t="s">
        <v>55</v>
      </c>
      <c r="B65" s="1"/>
    </row>
    <row r="66" spans="1:2" x14ac:dyDescent="0.3">
      <c r="A66" t="s">
        <v>56</v>
      </c>
    </row>
    <row r="67" spans="1:2" x14ac:dyDescent="0.3">
      <c r="A67" t="s">
        <v>57</v>
      </c>
      <c r="B67">
        <v>3</v>
      </c>
    </row>
    <row r="68" spans="1:2" x14ac:dyDescent="0.3">
      <c r="A68" t="s">
        <v>58</v>
      </c>
    </row>
    <row r="69" spans="1:2" x14ac:dyDescent="0.3">
      <c r="A69" t="s">
        <v>59</v>
      </c>
      <c r="B69" s="1">
        <v>1</v>
      </c>
    </row>
    <row r="70" spans="1:2" x14ac:dyDescent="0.3">
      <c r="A70" t="s">
        <v>60</v>
      </c>
      <c r="B70" s="1"/>
    </row>
    <row r="71" spans="1:2" x14ac:dyDescent="0.3">
      <c r="A71" t="s">
        <v>61</v>
      </c>
      <c r="B71" s="1" t="s">
        <v>74</v>
      </c>
    </row>
    <row r="72" spans="1:2" x14ac:dyDescent="0.3">
      <c r="A72" t="s">
        <v>62</v>
      </c>
      <c r="B72" s="1"/>
    </row>
    <row r="73" spans="1:2" x14ac:dyDescent="0.3">
      <c r="A73" t="s">
        <v>63</v>
      </c>
      <c r="B73" s="1" t="s">
        <v>74</v>
      </c>
    </row>
    <row r="74" spans="1:2" x14ac:dyDescent="0.3">
      <c r="A74" t="s">
        <v>64</v>
      </c>
      <c r="B74">
        <v>2799</v>
      </c>
    </row>
    <row r="75" spans="1:2" x14ac:dyDescent="0.3">
      <c r="A75" t="s">
        <v>65</v>
      </c>
      <c r="B75">
        <v>3499</v>
      </c>
    </row>
    <row r="76" spans="1:2" x14ac:dyDescent="0.3">
      <c r="A76" t="s">
        <v>66</v>
      </c>
    </row>
    <row r="77" spans="1:2" x14ac:dyDescent="0.3">
      <c r="A77" t="s">
        <v>67</v>
      </c>
      <c r="B77" s="1" t="s">
        <v>115</v>
      </c>
    </row>
    <row r="78" spans="1:2" x14ac:dyDescent="0.3">
      <c r="A78" t="s">
        <v>113</v>
      </c>
      <c r="B78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2026-03-20T20:21:44Z</dcterms:modified>
</cp:coreProperties>
</file>