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8F59D7A-4219-8F4B-8B19-547654A2E548}" xr6:coauthVersionLast="47" xr6:coauthVersionMax="47" xr10:uidLastSave="{00000000-0000-0000-0000-000000000000}"/>
  <bookViews>
    <workbookView xWindow="3580" yWindow="2940" windowWidth="25220" windowHeight="14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G33" i="1"/>
  <c r="D33" i="1"/>
  <c r="E33" i="1"/>
  <c r="F33" i="1"/>
  <c r="C33" i="1"/>
  <c r="E32" i="1"/>
  <c r="F32" i="1"/>
  <c r="G32" i="1"/>
  <c r="D32" i="1"/>
</calcChain>
</file>

<file path=xl/sharedStrings.xml><?xml version="1.0" encoding="utf-8"?>
<sst xmlns="http://schemas.openxmlformats.org/spreadsheetml/2006/main" count="182" uniqueCount="143">
  <si>
    <t>brand</t>
  </si>
  <si>
    <t>Lauf</t>
  </si>
  <si>
    <t>model</t>
  </si>
  <si>
    <t>model_year</t>
  </si>
  <si>
    <t>input_date</t>
  </si>
  <si>
    <t>url</t>
  </si>
  <si>
    <t>data_range</t>
  </si>
  <si>
    <t>a8:g33</t>
  </si>
  <si>
    <t>frame_size</t>
  </si>
  <si>
    <t>frame size</t>
  </si>
  <si>
    <t>X-Small</t>
  </si>
  <si>
    <t>Small</t>
  </si>
  <si>
    <t>Medium</t>
  </si>
  <si>
    <t>Large</t>
  </si>
  <si>
    <t>X-large</t>
  </si>
  <si>
    <t>stem_length</t>
  </si>
  <si>
    <t>Stem</t>
  </si>
  <si>
    <t>handlebar_reach</t>
  </si>
  <si>
    <t>Reach to handlebar</t>
  </si>
  <si>
    <t>reach</t>
  </si>
  <si>
    <t>Frame reach</t>
  </si>
  <si>
    <t>stack</t>
  </si>
  <si>
    <t>Frame stack</t>
  </si>
  <si>
    <t>head_tube_angle</t>
  </si>
  <si>
    <t>Head angle</t>
  </si>
  <si>
    <t>seat_tube_angle</t>
  </si>
  <si>
    <t>Seattube angle*</t>
  </si>
  <si>
    <t>seat_tube_length</t>
  </si>
  <si>
    <t>Seattube length</t>
  </si>
  <si>
    <t>chainstay_length</t>
  </si>
  <si>
    <t>Chainstay length</t>
  </si>
  <si>
    <t>bottom_bracket_drop</t>
  </si>
  <si>
    <t>BB drop</t>
  </si>
  <si>
    <t>head_tube_length</t>
  </si>
  <si>
    <t>Headtube length</t>
  </si>
  <si>
    <t>top_tube_effective_length</t>
  </si>
  <si>
    <t>Toptube length</t>
  </si>
  <si>
    <t>wheelbase</t>
  </si>
  <si>
    <t>Wheelbase</t>
  </si>
  <si>
    <t>frontcenter</t>
  </si>
  <si>
    <t>Front-Center</t>
  </si>
  <si>
    <t>axle_crown</t>
  </si>
  <si>
    <t>Axle to crown</t>
  </si>
  <si>
    <t>fork_offset_rake</t>
  </si>
  <si>
    <t>Fork rake</t>
  </si>
  <si>
    <t>standover</t>
  </si>
  <si>
    <t>Standover height (on 45mm tires)</t>
  </si>
  <si>
    <t>crank_length</t>
  </si>
  <si>
    <t>handlebar_width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</si>
  <si>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</si>
  <si>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</si>
  <si>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</si>
  <si>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</si>
  <si>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</si>
  <si>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</si>
  <si>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</si>
  <si>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</si>
  <si>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</si>
  <si>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</si>
  <si>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</si>
  <si>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</si>
  <si>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</si>
  <si>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</si>
  <si>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</si>
  <si>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</si>
  <si>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</si>
  <si>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</si>
  <si>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</si>
  <si>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</si>
  <si>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</si>
  <si>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</si>
  <si>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</si>
  <si>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</si>
  <si>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</si>
  <si>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</si>
  <si>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</si>
  <si>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</si>
  <si>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</si>
  <si>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</si>
  <si>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</si>
  <si>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</si>
  <si>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</si>
  <si>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</si>
  <si>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</si>
  <si>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</si>
  <si>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</si>
  <si>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</si>
  <si>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</si>
  <si>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</si>
  <si>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</si>
  <si>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</si>
  <si>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</si>
  <si>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</si>
  <si>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</si>
  <si>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</si>
  <si>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</si>
  <si>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</si>
  <si>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</si>
  <si>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Rider Height</t>
  </si>
  <si>
    <t>156-165cm</t>
  </si>
  <si>
    <t>5'1.4"-5'5"</t>
  </si>
  <si>
    <t>166-174cm</t>
  </si>
  <si>
    <t>5'5.35"-5'8.5"</t>
  </si>
  <si>
    <t>175-182cm</t>
  </si>
  <si>
    <t>5'8.9"-5'11.65"</t>
  </si>
  <si>
    <t>183-190cm</t>
  </si>
  <si>
    <t>6'0.05"-6'2.8"</t>
  </si>
  <si>
    <t>191-200cm</t>
  </si>
  <si>
    <t>6'3.2"-6'6.74"</t>
  </si>
  <si>
    <t>60, 7°</t>
  </si>
  <si>
    <t>70, 7°</t>
  </si>
  <si>
    <t>80, 7°</t>
  </si>
  <si>
    <t>90, 7°</t>
  </si>
  <si>
    <t>100, 7°</t>
  </si>
  <si>
    <t>Stack to handlebar</t>
  </si>
  <si>
    <t>562-604</t>
  </si>
  <si>
    <t>579-623</t>
  </si>
  <si>
    <t>608-654</t>
  </si>
  <si>
    <t>639-688</t>
  </si>
  <si>
    <t>671-722</t>
  </si>
  <si>
    <t>BB to saddle top</t>
  </si>
  <si>
    <t>541-679</t>
  </si>
  <si>
    <t>580-758</t>
  </si>
  <si>
    <t>608-806</t>
  </si>
  <si>
    <t>628-846</t>
  </si>
  <si>
    <t>655-873</t>
  </si>
  <si>
    <t>70.5°</t>
  </si>
  <si>
    <t>72.9°</t>
  </si>
  <si>
    <t>72.7°</t>
  </si>
  <si>
    <t>72.5°</t>
  </si>
  <si>
    <t>72.4°</t>
  </si>
  <si>
    <t>72.3°</t>
  </si>
  <si>
    <t>* measuremens based on 6 mm sag</t>
  </si>
  <si>
    <t>yes</t>
  </si>
  <si>
    <t>threaded</t>
  </si>
  <si>
    <t>internal</t>
  </si>
  <si>
    <t>Siegla rigid</t>
  </si>
  <si>
    <t>rigid</t>
  </si>
  <si>
    <t>https://www.laufcycles.com/product/seigla-rigid</t>
  </si>
  <si>
    <t>https://www.laufcycles.com/_next/image?url=https%3A%2F%2Fimages.prismic.io%2Flauf%2FZxDrkYF3NbkBXq4I_DSC_7728.jpg%3Fauto%3Dformat%2Ccompress%26rect%3D0%2C311%2C6048%2C3402%26w%3D1280%26h%3D720&amp;w=1920&amp;q=75</t>
  </si>
  <si>
    <t>location</t>
  </si>
  <si>
    <t>Reykjavík, Iceland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</si>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</sst>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sz val="15"/>
      <color theme="1"/>
      <name val="Arial"/>
      <family val="2"/>
    </font>
    <font>
      <sz val="15"/>
      <color theme="1"/>
      <name val="Arial"/>
      <family val="2"/>
    </font>
    <font>
      <sz val="15"/>
      <color theme="1"/>
      <name val="Inherit"/>
    </font>
    <font>
      <sz val="1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61" workbookViewId="0">
      <selection activeCell="B73" sqref="B73"/>
    </sheetView>
  </sheetViews>
  <sheetFormatPr baseColWidth="10" defaultRowHeight="20"/>
  <cols>
    <col min="1" max="2" width="19.6640625" customWidth="1"/>
  </cols>
  <sheetData>
    <row r="1" spans="1:14">
      <c r="A1" t="s">
        <v>0</v>
      </c>
      <c r="B1" t="s">
        <v>1</v>
      </c>
    </row>
    <row r="2" spans="1:14">
      <c r="A2" t="s">
        <v>2</v>
      </c>
      <c r="B2" s="6" t="s">
        <v>136</v>
      </c>
    </row>
    <row r="3" spans="1:14">
      <c r="A3" t="s">
        <v>3</v>
      </c>
      <c r="B3">
        <v>2025</v>
      </c>
    </row>
    <row r="4" spans="1:14">
      <c r="A4" t="s">
        <v>4</v>
      </c>
      <c r="B4" s="1">
        <v>45886</v>
      </c>
    </row>
    <row r="5" spans="1:14">
      <c r="A5" t="s">
        <v>5</v>
      </c>
      <c r="B5" t="s">
        <v>138</v>
      </c>
    </row>
    <row r="6" spans="1:14">
      <c r="B6" t="s">
        <v>139</v>
      </c>
    </row>
    <row r="7" spans="1:14">
      <c r="A7" t="s">
        <v>6</v>
      </c>
      <c r="B7" t="s">
        <v>7</v>
      </c>
      <c r="C7" s="6" t="s">
        <v>132</v>
      </c>
    </row>
    <row r="8" spans="1:14" ht="21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</row>
    <row r="9" spans="1:14" ht="21">
      <c r="A9" t="s">
        <v>15</v>
      </c>
      <c r="B9" t="s">
        <v>16</v>
      </c>
      <c r="C9">
        <v>60</v>
      </c>
      <c r="D9">
        <v>70</v>
      </c>
      <c r="E9">
        <v>80</v>
      </c>
      <c r="F9">
        <v>90</v>
      </c>
      <c r="G9">
        <v>100</v>
      </c>
      <c r="I9" s="7" t="s">
        <v>98</v>
      </c>
      <c r="J9" s="4" t="s">
        <v>99</v>
      </c>
      <c r="K9" s="4" t="s">
        <v>101</v>
      </c>
      <c r="L9" s="4" t="s">
        <v>103</v>
      </c>
      <c r="M9" s="4" t="s">
        <v>105</v>
      </c>
      <c r="N9" s="4" t="s">
        <v>107</v>
      </c>
    </row>
    <row r="10" spans="1:14" ht="21">
      <c r="A10" t="s">
        <v>17</v>
      </c>
      <c r="B10" t="s">
        <v>18</v>
      </c>
      <c r="C10">
        <v>421</v>
      </c>
      <c r="D10">
        <v>435</v>
      </c>
      <c r="E10">
        <v>456</v>
      </c>
      <c r="F10">
        <v>477</v>
      </c>
      <c r="G10">
        <v>498</v>
      </c>
      <c r="I10" s="7"/>
      <c r="J10" s="4" t="s">
        <v>100</v>
      </c>
      <c r="K10" s="4" t="s">
        <v>102</v>
      </c>
      <c r="L10" s="4" t="s">
        <v>104</v>
      </c>
      <c r="M10" s="4" t="s">
        <v>106</v>
      </c>
      <c r="N10" s="4" t="s">
        <v>108</v>
      </c>
    </row>
    <row r="11" spans="1:14" ht="21">
      <c r="A11" t="s">
        <v>19</v>
      </c>
      <c r="B11" t="s">
        <v>20</v>
      </c>
      <c r="C11">
        <v>378</v>
      </c>
      <c r="D11">
        <v>383</v>
      </c>
      <c r="E11">
        <v>394</v>
      </c>
      <c r="F11">
        <v>405</v>
      </c>
      <c r="G11">
        <v>416</v>
      </c>
      <c r="I11" s="3" t="s">
        <v>16</v>
      </c>
      <c r="J11" s="5" t="s">
        <v>109</v>
      </c>
      <c r="K11" s="5" t="s">
        <v>110</v>
      </c>
      <c r="L11" s="5" t="s">
        <v>111</v>
      </c>
      <c r="M11" s="5" t="s">
        <v>112</v>
      </c>
      <c r="N11" s="5" t="s">
        <v>113</v>
      </c>
    </row>
    <row r="12" spans="1:14" ht="21">
      <c r="A12" t="s">
        <v>21</v>
      </c>
      <c r="B12" t="s">
        <v>22</v>
      </c>
      <c r="C12">
        <v>523</v>
      </c>
      <c r="D12">
        <v>537</v>
      </c>
      <c r="E12">
        <v>564</v>
      </c>
      <c r="F12">
        <v>593</v>
      </c>
      <c r="G12">
        <v>623</v>
      </c>
      <c r="I12" s="3" t="s">
        <v>18</v>
      </c>
      <c r="J12" s="5">
        <v>421</v>
      </c>
      <c r="K12" s="5">
        <v>435</v>
      </c>
      <c r="L12" s="5">
        <v>456</v>
      </c>
      <c r="M12" s="5">
        <v>477</v>
      </c>
      <c r="N12" s="5">
        <v>498</v>
      </c>
    </row>
    <row r="13" spans="1:14" ht="21">
      <c r="A13" t="s">
        <v>23</v>
      </c>
      <c r="B13" t="s">
        <v>24</v>
      </c>
      <c r="C13">
        <v>70.5</v>
      </c>
      <c r="D13">
        <v>70.5</v>
      </c>
      <c r="E13">
        <v>70.5</v>
      </c>
      <c r="F13">
        <v>70.5</v>
      </c>
      <c r="G13">
        <v>70.5</v>
      </c>
      <c r="I13" s="3" t="s">
        <v>114</v>
      </c>
      <c r="J13" s="5" t="s">
        <v>115</v>
      </c>
      <c r="K13" s="5" t="s">
        <v>116</v>
      </c>
      <c r="L13" s="5" t="s">
        <v>117</v>
      </c>
      <c r="M13" s="5" t="s">
        <v>118</v>
      </c>
      <c r="N13" s="5" t="s">
        <v>119</v>
      </c>
    </row>
    <row r="14" spans="1:14" ht="21">
      <c r="A14" t="s">
        <v>25</v>
      </c>
      <c r="B14" t="s">
        <v>26</v>
      </c>
      <c r="C14">
        <v>72.900000000000006</v>
      </c>
      <c r="D14">
        <v>72.7</v>
      </c>
      <c r="E14">
        <v>72.5</v>
      </c>
      <c r="F14">
        <v>72.400000000000006</v>
      </c>
      <c r="G14">
        <v>72.3</v>
      </c>
      <c r="I14" s="3" t="s">
        <v>120</v>
      </c>
      <c r="J14" s="5" t="s">
        <v>121</v>
      </c>
      <c r="K14" s="5" t="s">
        <v>122</v>
      </c>
      <c r="L14" s="5" t="s">
        <v>123</v>
      </c>
      <c r="M14" s="5" t="s">
        <v>124</v>
      </c>
      <c r="N14" s="5" t="s">
        <v>125</v>
      </c>
    </row>
    <row r="15" spans="1:14" ht="21">
      <c r="A15" t="s">
        <v>27</v>
      </c>
      <c r="B15" t="s">
        <v>28</v>
      </c>
      <c r="C15">
        <v>461</v>
      </c>
      <c r="D15">
        <v>500</v>
      </c>
      <c r="E15">
        <v>528</v>
      </c>
      <c r="F15">
        <v>548</v>
      </c>
      <c r="G15">
        <v>575</v>
      </c>
      <c r="I15" s="3" t="s">
        <v>20</v>
      </c>
      <c r="J15" s="5">
        <v>378</v>
      </c>
      <c r="K15" s="5">
        <v>383</v>
      </c>
      <c r="L15" s="5">
        <v>394</v>
      </c>
      <c r="M15" s="5">
        <v>405</v>
      </c>
      <c r="N15" s="5">
        <v>416</v>
      </c>
    </row>
    <row r="16" spans="1:14" ht="21">
      <c r="A16" t="s">
        <v>29</v>
      </c>
      <c r="B16" t="s">
        <v>30</v>
      </c>
      <c r="C16">
        <v>425</v>
      </c>
      <c r="D16">
        <v>425</v>
      </c>
      <c r="E16">
        <v>425</v>
      </c>
      <c r="F16">
        <v>425</v>
      </c>
      <c r="G16">
        <v>425</v>
      </c>
      <c r="I16" s="3" t="s">
        <v>22</v>
      </c>
      <c r="J16" s="5">
        <v>523</v>
      </c>
      <c r="K16" s="5">
        <v>537</v>
      </c>
      <c r="L16" s="5">
        <v>564</v>
      </c>
      <c r="M16" s="5">
        <v>593</v>
      </c>
      <c r="N16" s="5">
        <v>623</v>
      </c>
    </row>
    <row r="17" spans="1:14" ht="21">
      <c r="A17" t="s">
        <v>31</v>
      </c>
      <c r="B17" t="s">
        <v>32</v>
      </c>
      <c r="C17">
        <v>65</v>
      </c>
      <c r="D17">
        <v>65</v>
      </c>
      <c r="E17">
        <v>65</v>
      </c>
      <c r="F17">
        <v>65</v>
      </c>
      <c r="G17">
        <v>65</v>
      </c>
      <c r="I17" s="3" t="s">
        <v>24</v>
      </c>
      <c r="J17" s="5" t="s">
        <v>126</v>
      </c>
      <c r="K17" s="5" t="s">
        <v>126</v>
      </c>
      <c r="L17" s="5" t="s">
        <v>126</v>
      </c>
      <c r="M17" s="5" t="s">
        <v>126</v>
      </c>
      <c r="N17" s="5" t="s">
        <v>126</v>
      </c>
    </row>
    <row r="18" spans="1:14" ht="21">
      <c r="A18" t="s">
        <v>33</v>
      </c>
      <c r="B18" t="s">
        <v>34</v>
      </c>
      <c r="C18">
        <v>84</v>
      </c>
      <c r="D18">
        <v>99</v>
      </c>
      <c r="E18">
        <v>129</v>
      </c>
      <c r="F18">
        <v>159</v>
      </c>
      <c r="G18">
        <v>191</v>
      </c>
      <c r="I18" s="3" t="s">
        <v>26</v>
      </c>
      <c r="J18" s="5" t="s">
        <v>127</v>
      </c>
      <c r="K18" s="5" t="s">
        <v>128</v>
      </c>
      <c r="L18" s="5" t="s">
        <v>129</v>
      </c>
      <c r="M18" s="5" t="s">
        <v>130</v>
      </c>
      <c r="N18" s="5" t="s">
        <v>131</v>
      </c>
    </row>
    <row r="19" spans="1:14" ht="21">
      <c r="A19" t="s">
        <v>35</v>
      </c>
      <c r="B19" t="s">
        <v>36</v>
      </c>
      <c r="C19">
        <v>532</v>
      </c>
      <c r="D19">
        <v>544</v>
      </c>
      <c r="E19">
        <v>563</v>
      </c>
      <c r="F19">
        <v>584</v>
      </c>
      <c r="G19">
        <v>607</v>
      </c>
      <c r="I19" s="3" t="s">
        <v>28</v>
      </c>
      <c r="J19" s="5">
        <v>461</v>
      </c>
      <c r="K19" s="5">
        <v>500</v>
      </c>
      <c r="L19" s="5">
        <v>528</v>
      </c>
      <c r="M19" s="5">
        <v>548</v>
      </c>
      <c r="N19" s="5">
        <v>575</v>
      </c>
    </row>
    <row r="20" spans="1:14" ht="21">
      <c r="A20" t="s">
        <v>37</v>
      </c>
      <c r="B20" t="s">
        <v>38</v>
      </c>
      <c r="C20">
        <v>1009</v>
      </c>
      <c r="D20">
        <v>1020</v>
      </c>
      <c r="E20">
        <v>1040</v>
      </c>
      <c r="F20">
        <v>1061</v>
      </c>
      <c r="G20">
        <v>1084</v>
      </c>
      <c r="I20" s="3" t="s">
        <v>30</v>
      </c>
      <c r="J20" s="5">
        <v>425</v>
      </c>
      <c r="K20" s="5">
        <v>425</v>
      </c>
      <c r="L20" s="5">
        <v>425</v>
      </c>
      <c r="M20" s="5">
        <v>425</v>
      </c>
      <c r="N20" s="5">
        <v>425</v>
      </c>
    </row>
    <row r="21" spans="1:14" ht="21">
      <c r="A21" t="s">
        <v>39</v>
      </c>
      <c r="B21" t="s">
        <v>40</v>
      </c>
      <c r="C21">
        <v>589</v>
      </c>
      <c r="D21">
        <v>600</v>
      </c>
      <c r="E21">
        <v>620</v>
      </c>
      <c r="F21">
        <v>641</v>
      </c>
      <c r="G21">
        <v>664</v>
      </c>
      <c r="I21" s="3" t="s">
        <v>32</v>
      </c>
      <c r="J21" s="5">
        <v>65</v>
      </c>
      <c r="K21" s="5">
        <v>65</v>
      </c>
      <c r="L21" s="5">
        <v>65</v>
      </c>
      <c r="M21" s="5">
        <v>65</v>
      </c>
      <c r="N21" s="5">
        <v>65</v>
      </c>
    </row>
    <row r="22" spans="1:14" ht="21">
      <c r="A22" t="s">
        <v>41</v>
      </c>
      <c r="B22" t="s">
        <v>42</v>
      </c>
      <c r="C22">
        <v>417</v>
      </c>
      <c r="D22">
        <v>417</v>
      </c>
      <c r="E22">
        <v>417</v>
      </c>
      <c r="F22">
        <v>417</v>
      </c>
      <c r="G22">
        <v>417</v>
      </c>
      <c r="I22" s="3" t="s">
        <v>34</v>
      </c>
      <c r="J22" s="5">
        <v>84</v>
      </c>
      <c r="K22" s="5">
        <v>99</v>
      </c>
      <c r="L22" s="5">
        <v>129</v>
      </c>
      <c r="M22" s="5">
        <v>159</v>
      </c>
      <c r="N22" s="5">
        <v>191</v>
      </c>
    </row>
    <row r="23" spans="1:14" ht="21">
      <c r="A23" t="s">
        <v>43</v>
      </c>
      <c r="B23" t="s">
        <v>44</v>
      </c>
      <c r="C23">
        <v>45</v>
      </c>
      <c r="D23">
        <v>45</v>
      </c>
      <c r="E23">
        <v>45</v>
      </c>
      <c r="F23">
        <v>45</v>
      </c>
      <c r="G23">
        <v>45</v>
      </c>
      <c r="I23" s="3" t="s">
        <v>36</v>
      </c>
      <c r="J23" s="5">
        <v>532</v>
      </c>
      <c r="K23" s="5">
        <v>544</v>
      </c>
      <c r="L23" s="5">
        <v>563</v>
      </c>
      <c r="M23" s="5">
        <v>584</v>
      </c>
      <c r="N23" s="5">
        <v>607</v>
      </c>
    </row>
    <row r="24" spans="1:14" ht="21">
      <c r="A24" t="s">
        <v>45</v>
      </c>
      <c r="B24" t="s">
        <v>46</v>
      </c>
      <c r="C24">
        <v>731</v>
      </c>
      <c r="D24">
        <v>763</v>
      </c>
      <c r="E24">
        <v>789</v>
      </c>
      <c r="F24">
        <v>811</v>
      </c>
      <c r="G24">
        <v>840</v>
      </c>
      <c r="I24" s="3" t="s">
        <v>38</v>
      </c>
      <c r="J24" s="5">
        <v>1009</v>
      </c>
      <c r="K24" s="5">
        <v>1020</v>
      </c>
      <c r="L24" s="5">
        <v>1040</v>
      </c>
      <c r="M24" s="5">
        <v>1061</v>
      </c>
      <c r="N24" s="5">
        <v>1084</v>
      </c>
    </row>
    <row r="25" spans="1:14" ht="21">
      <c r="A25" t="s">
        <v>47</v>
      </c>
      <c r="B25" t="s">
        <v>47</v>
      </c>
      <c r="C25">
        <v>170</v>
      </c>
      <c r="D25">
        <v>170</v>
      </c>
      <c r="E25">
        <v>172.5</v>
      </c>
      <c r="F25">
        <v>172.5</v>
      </c>
      <c r="G25">
        <v>175</v>
      </c>
      <c r="I25" s="3" t="s">
        <v>40</v>
      </c>
      <c r="J25" s="5">
        <v>589</v>
      </c>
      <c r="K25" s="5">
        <v>600</v>
      </c>
      <c r="L25" s="5">
        <v>620</v>
      </c>
      <c r="M25" s="5">
        <v>641</v>
      </c>
      <c r="N25" s="5">
        <v>664</v>
      </c>
    </row>
    <row r="26" spans="1:14" ht="21">
      <c r="A26" t="s">
        <v>48</v>
      </c>
      <c r="B26" t="s">
        <v>48</v>
      </c>
      <c r="C26">
        <v>400</v>
      </c>
      <c r="D26">
        <v>400</v>
      </c>
      <c r="E26">
        <v>420</v>
      </c>
      <c r="F26">
        <v>440</v>
      </c>
      <c r="G26">
        <v>440</v>
      </c>
      <c r="I26" s="3" t="s">
        <v>42</v>
      </c>
      <c r="J26" s="5">
        <v>419</v>
      </c>
      <c r="K26" s="5">
        <v>419</v>
      </c>
      <c r="L26" s="5">
        <v>419</v>
      </c>
      <c r="M26" s="5">
        <v>419</v>
      </c>
      <c r="N26" s="5">
        <v>419</v>
      </c>
    </row>
    <row r="27" spans="1:14" ht="21">
      <c r="A27" t="s">
        <v>15</v>
      </c>
      <c r="B27" t="s">
        <v>15</v>
      </c>
      <c r="C27">
        <v>60</v>
      </c>
      <c r="D27">
        <v>70</v>
      </c>
      <c r="E27">
        <v>80</v>
      </c>
      <c r="F27">
        <v>90</v>
      </c>
      <c r="G27">
        <v>100</v>
      </c>
      <c r="I27" s="3" t="s">
        <v>44</v>
      </c>
      <c r="J27" s="5">
        <v>47</v>
      </c>
      <c r="K27" s="5">
        <v>47</v>
      </c>
      <c r="L27" s="5">
        <v>47</v>
      </c>
      <c r="M27" s="5">
        <v>47</v>
      </c>
      <c r="N27" s="5">
        <v>47</v>
      </c>
    </row>
    <row r="28" spans="1:14" ht="21">
      <c r="A28" t="s">
        <v>49</v>
      </c>
      <c r="I28" s="3" t="s">
        <v>46</v>
      </c>
      <c r="J28" s="5">
        <v>731</v>
      </c>
      <c r="K28" s="5">
        <v>763</v>
      </c>
      <c r="L28" s="5">
        <v>789</v>
      </c>
      <c r="M28" s="5">
        <v>811</v>
      </c>
      <c r="N28" s="5">
        <v>840</v>
      </c>
    </row>
    <row r="29" spans="1:14">
      <c r="A29" t="s">
        <v>50</v>
      </c>
      <c r="B29" t="s">
        <v>50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4">
      <c r="A30" t="s">
        <v>51</v>
      </c>
      <c r="B30" t="s">
        <v>51</v>
      </c>
      <c r="C30">
        <v>40</v>
      </c>
      <c r="D30">
        <v>40</v>
      </c>
      <c r="E30">
        <v>40</v>
      </c>
      <c r="F30">
        <v>40</v>
      </c>
      <c r="G30">
        <v>40</v>
      </c>
    </row>
    <row r="31" spans="1:14">
      <c r="A31" t="s">
        <v>52</v>
      </c>
      <c r="B31" t="s">
        <v>52</v>
      </c>
      <c r="C31">
        <v>57</v>
      </c>
      <c r="D31">
        <v>57</v>
      </c>
      <c r="E31">
        <v>57</v>
      </c>
      <c r="F31">
        <v>57</v>
      </c>
      <c r="G31">
        <v>57</v>
      </c>
    </row>
    <row r="32" spans="1:14">
      <c r="A32" t="s">
        <v>53</v>
      </c>
      <c r="B32" t="s">
        <v>53</v>
      </c>
      <c r="C32">
        <f>C34</f>
        <v>156</v>
      </c>
      <c r="D32">
        <f>AVERAGE(D34,C35)</f>
        <v>165.5</v>
      </c>
      <c r="E32">
        <f t="shared" ref="E32:G32" si="0">AVERAGE(E34,D35)</f>
        <v>174.5</v>
      </c>
      <c r="F32">
        <f t="shared" si="0"/>
        <v>182.5</v>
      </c>
      <c r="G32">
        <f t="shared" si="0"/>
        <v>190.5</v>
      </c>
    </row>
    <row r="33" spans="1:7">
      <c r="A33" t="s">
        <v>54</v>
      </c>
      <c r="B33" t="s">
        <v>54</v>
      </c>
      <c r="C33">
        <f>D32</f>
        <v>165.5</v>
      </c>
      <c r="D33">
        <f t="shared" ref="D33:F33" si="1">E32</f>
        <v>174.5</v>
      </c>
      <c r="E33">
        <f t="shared" si="1"/>
        <v>182.5</v>
      </c>
      <c r="F33">
        <f t="shared" si="1"/>
        <v>190.5</v>
      </c>
      <c r="G33">
        <f>G35</f>
        <v>200</v>
      </c>
    </row>
    <row r="34" spans="1:7">
      <c r="C34">
        <v>156</v>
      </c>
      <c r="D34">
        <v>166</v>
      </c>
      <c r="E34">
        <v>175</v>
      </c>
      <c r="F34">
        <v>183</v>
      </c>
      <c r="G34">
        <v>191</v>
      </c>
    </row>
    <row r="35" spans="1:7">
      <c r="A35" t="s">
        <v>55</v>
      </c>
      <c r="B35" t="s">
        <v>56</v>
      </c>
      <c r="C35">
        <v>165</v>
      </c>
      <c r="D35">
        <v>174</v>
      </c>
      <c r="E35">
        <v>182</v>
      </c>
      <c r="F35">
        <v>190</v>
      </c>
      <c r="G35">
        <v>200</v>
      </c>
    </row>
    <row r="36" spans="1:7" ht="21">
      <c r="A36" t="s">
        <v>93</v>
      </c>
      <c r="B36" t="s">
        <v>94</v>
      </c>
      <c r="C36" s="4" t="s">
        <v>99</v>
      </c>
      <c r="D36" s="4" t="s">
        <v>101</v>
      </c>
      <c r="E36" s="4" t="s">
        <v>103</v>
      </c>
      <c r="F36" s="4" t="s">
        <v>105</v>
      </c>
      <c r="G36" s="4" t="s">
        <v>107</v>
      </c>
    </row>
    <row r="37" spans="1:7">
      <c r="A37" t="s">
        <v>95</v>
      </c>
      <c r="B37" t="s">
        <v>96</v>
      </c>
    </row>
    <row r="38" spans="1:7">
      <c r="A38" t="s">
        <v>97</v>
      </c>
      <c r="B38" s="6" t="s">
        <v>137</v>
      </c>
    </row>
    <row r="39" spans="1:7">
      <c r="A39" t="s">
        <v>57</v>
      </c>
      <c r="B39" t="s">
        <v>58</v>
      </c>
    </row>
    <row r="40" spans="1:7">
      <c r="A40" t="s">
        <v>59</v>
      </c>
      <c r="B40" s="6" t="s">
        <v>133</v>
      </c>
    </row>
    <row r="41" spans="1:7">
      <c r="A41" t="s">
        <v>60</v>
      </c>
    </row>
    <row r="42" spans="1:7">
      <c r="A42" t="s">
        <v>61</v>
      </c>
      <c r="B42">
        <v>57</v>
      </c>
    </row>
    <row r="43" spans="1:7">
      <c r="A43" t="s">
        <v>62</v>
      </c>
    </row>
    <row r="44" spans="1:7">
      <c r="A44" t="s">
        <v>63</v>
      </c>
      <c r="B44">
        <v>30</v>
      </c>
    </row>
    <row r="45" spans="1:7">
      <c r="A45" t="s">
        <v>64</v>
      </c>
      <c r="B45" s="6"/>
    </row>
    <row r="46" spans="1:7">
      <c r="A46" t="s">
        <v>65</v>
      </c>
    </row>
    <row r="47" spans="1:7">
      <c r="A47" t="s">
        <v>66</v>
      </c>
    </row>
    <row r="48" spans="1:7">
      <c r="A48" t="s">
        <v>67</v>
      </c>
      <c r="B48">
        <v>142</v>
      </c>
    </row>
    <row r="49" spans="1:2">
      <c r="A49" t="s">
        <v>68</v>
      </c>
      <c r="B49">
        <v>100</v>
      </c>
    </row>
    <row r="50" spans="1:2">
      <c r="A50" t="s">
        <v>69</v>
      </c>
      <c r="B50" s="6" t="s">
        <v>134</v>
      </c>
    </row>
    <row r="51" spans="1:2">
      <c r="A51" t="s">
        <v>70</v>
      </c>
    </row>
    <row r="52" spans="1:2">
      <c r="A52" t="s">
        <v>71</v>
      </c>
      <c r="B52">
        <v>27.2</v>
      </c>
    </row>
    <row r="53" spans="1:2">
      <c r="A53" t="s">
        <v>72</v>
      </c>
    </row>
    <row r="54" spans="1:2">
      <c r="A54" t="s">
        <v>73</v>
      </c>
    </row>
    <row r="55" spans="1:2">
      <c r="A55" t="s">
        <v>74</v>
      </c>
    </row>
    <row r="56" spans="1:2">
      <c r="A56" t="s">
        <v>75</v>
      </c>
      <c r="B56">
        <v>160</v>
      </c>
    </row>
    <row r="57" spans="1:2">
      <c r="A57" t="s">
        <v>76</v>
      </c>
      <c r="B57">
        <v>160</v>
      </c>
    </row>
    <row r="58" spans="1:2">
      <c r="A58" t="s">
        <v>77</v>
      </c>
    </row>
    <row r="59" spans="1:2">
      <c r="A59" t="s">
        <v>78</v>
      </c>
    </row>
    <row r="60" spans="1:2">
      <c r="A60" t="s">
        <v>79</v>
      </c>
      <c r="B60" s="6" t="s">
        <v>135</v>
      </c>
    </row>
    <row r="61" spans="1:2">
      <c r="A61" t="s">
        <v>80</v>
      </c>
    </row>
    <row r="62" spans="1:2">
      <c r="A62" t="s">
        <v>81</v>
      </c>
    </row>
    <row r="63" spans="1:2">
      <c r="A63" t="s">
        <v>82</v>
      </c>
      <c r="B63">
        <v>2</v>
      </c>
    </row>
    <row r="64" spans="1:2">
      <c r="A64" t="s">
        <v>83</v>
      </c>
      <c r="B64">
        <v>1</v>
      </c>
    </row>
    <row r="65" spans="1:2">
      <c r="A65" t="s">
        <v>84</v>
      </c>
      <c r="B65">
        <v>1</v>
      </c>
    </row>
    <row r="66" spans="1:2">
      <c r="A66" t="s">
        <v>85</v>
      </c>
    </row>
    <row r="67" spans="1:2">
      <c r="A67" t="s">
        <v>86</v>
      </c>
    </row>
    <row r="68" spans="1:2">
      <c r="A68" t="s">
        <v>87</v>
      </c>
    </row>
    <row r="69" spans="1:2">
      <c r="A69" t="s">
        <v>88</v>
      </c>
    </row>
    <row r="70" spans="1:2">
      <c r="A70" t="s">
        <v>89</v>
      </c>
      <c r="B70">
        <v>2290</v>
      </c>
    </row>
    <row r="71" spans="1:2">
      <c r="A71" t="s">
        <v>90</v>
      </c>
      <c r="B71">
        <v>3350</v>
      </c>
    </row>
    <row r="72" spans="1:2">
      <c r="A72" t="s">
        <v>91</v>
      </c>
    </row>
    <row r="73" spans="1:2">
      <c r="A73" t="s">
        <v>92</v>
      </c>
      <c r="B73" s="6" t="s">
        <v>142</v>
      </c>
    </row>
    <row r="74" spans="1:2">
      <c r="A74" t="s">
        <v>140</v>
      </c>
      <c r="B74" t="s">
        <v>141</v>
      </c>
    </row>
  </sheetData>
  <mergeCells count="1">
    <mergeCell ref="I9:I1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2025-10-17T21:23:54Z</dcterms:modified>
</cp:coreProperties>
</file>