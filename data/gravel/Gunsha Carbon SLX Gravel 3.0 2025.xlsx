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E5C1138-DEF8-8243-9373-DAC899B92F63}" xr6:coauthVersionLast="47" xr6:coauthVersionMax="47" xr10:uidLastSave="{00000000-0000-0000-0000-000000000000}"/>
  <bookViews>
    <workbookView xWindow="3160" yWindow="4000" windowWidth="25640" windowHeight="14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D15" i="1"/>
  <c r="E15" i="1"/>
  <c r="F15" i="1"/>
  <c r="G15" i="1"/>
  <c r="D16" i="1"/>
  <c r="E16" i="1"/>
  <c r="F16" i="1"/>
  <c r="G16" i="1"/>
  <c r="D17" i="1"/>
  <c r="E17" i="1"/>
  <c r="F17" i="1"/>
  <c r="G17" i="1"/>
  <c r="D18" i="1"/>
  <c r="E18" i="1"/>
  <c r="F18" i="1"/>
  <c r="G18" i="1"/>
  <c r="D19" i="1"/>
  <c r="E19" i="1"/>
  <c r="F19" i="1"/>
  <c r="G19" i="1"/>
  <c r="C14" i="1"/>
  <c r="C13" i="1"/>
  <c r="C11" i="1"/>
  <c r="C12" i="1"/>
  <c r="C15" i="1"/>
  <c r="C16" i="1"/>
  <c r="C17" i="1"/>
  <c r="C18" i="1"/>
  <c r="C19" i="1"/>
  <c r="C9" i="1"/>
</calcChain>
</file>

<file path=xl/sharedStrings.xml><?xml version="1.0" encoding="utf-8"?>
<sst xmlns="http://schemas.openxmlformats.org/spreadsheetml/2006/main" count="129" uniqueCount="112">
  <si>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</si>
  <si>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</si>
  <si>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</si>
  <si>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</si>
  <si>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</si>
  <si>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</si>
  <si>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</si>
  <si>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</si>
  <si>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S</t>
  </si>
  <si>
    <t>M</t>
  </si>
  <si>
    <t>L</t>
  </si>
  <si>
    <t>XL</t>
  </si>
  <si>
    <t>top_tube_effective_length</t>
  </si>
  <si>
    <t>seat_tube_length</t>
  </si>
  <si>
    <t>seat_tube_angle</t>
  </si>
  <si>
    <t>chainstay_length</t>
  </si>
  <si>
    <t>head_tube_length</t>
  </si>
  <si>
    <t>head_tube_angle</t>
  </si>
  <si>
    <t>reach</t>
  </si>
  <si>
    <t>stack</t>
  </si>
  <si>
    <t>wheelbase</t>
  </si>
  <si>
    <t>bottom_bracket_drop</t>
  </si>
  <si>
    <t>fork_offset_rake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</si>
  <si>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</si>
  <si>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</si>
  <si>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</si>
  <si>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</si>
  <si>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</si>
  <si>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</si>
  <si>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</si>
  <si>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</si>
  <si>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</si>
  <si>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</si>
  <si>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</si>
  <si>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</si>
  <si>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</si>
  <si>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</si>
  <si>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</si>
  <si>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</si>
  <si>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</si>
  <si>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</si>
  <si>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</si>
  <si>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</si>
  <si>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</si>
  <si>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</si>
  <si>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</si>
  <si>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</si>
  <si>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</si>
  <si>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</si>
  <si>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</si>
  <si>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</si>
  <si>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</si>
  <si>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</si>
  <si>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</si>
  <si>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</si>
  <si>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</si>
  <si>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</si>
  <si>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</si>
  <si>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</si>
  <si>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</si>
  <si>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</si>
  <si>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</si>
  <si>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</si>
  <si>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</si>
  <si>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</si>
  <si>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</si>
  <si>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</si>
  <si>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</si>
  <si>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</si>
  <si>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</si>
  <si>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</si>
  <si>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</si>
  <si>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</si>
  <si>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</si>
  <si>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</si>
  <si>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</si>
  <si>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</si>
  <si>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</si>
  <si>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</si>
  <si>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</si>
  <si>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</si>
  <si>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press fit</t>
  </si>
  <si>
    <t>location</t>
  </si>
  <si>
    <t>EUR</t>
  </si>
  <si>
    <t>head_tube_d</t>
  </si>
  <si>
    <t>headset_upper</t>
  </si>
  <si>
    <t>headset_lower</t>
  </si>
  <si>
    <t>fork_steerer</t>
  </si>
  <si>
    <t>fork_steerer_d</t>
  </si>
  <si>
    <t>fork_material</t>
  </si>
  <si>
    <t>a8:g33</t>
  </si>
  <si>
    <t>internal</t>
  </si>
  <si>
    <t>Gunsha</t>
  </si>
  <si>
    <t>Carbon SLX Gravel</t>
  </si>
  <si>
    <t>A) Frame height / Framesize</t>
  </si>
  <si>
    <t>XS</t>
  </si>
  <si>
    <t>(A) Seat tube (TL center/ end tube)</t>
  </si>
  <si>
    <t xml:space="preserve"> </t>
  </si>
  <si>
    <t>(B) Seat tube (TL middle/ middle top tube) /Seattube C/C-Toptube C/C</t>
  </si>
  <si>
    <t>(D)Top tube (virtual straight)/Toptube virtual</t>
  </si>
  <si>
    <t>(E) Head tube</t>
  </si>
  <si>
    <t>(F) Steering tube angle</t>
  </si>
  <si>
    <t>(G)Seat tube angle /seatpost -angle</t>
  </si>
  <si>
    <t>(H) Rear length /rearstay</t>
  </si>
  <si>
    <t>(J) Bottom bracket rise/drop</t>
  </si>
  <si>
    <t>(K) Wheelbase length</t>
  </si>
  <si>
    <t>(L) Stack</t>
  </si>
  <si>
    <t>(M) Reach</t>
  </si>
  <si>
    <t>https://www.cyclocross-store.de/index.php?page=product&amp;info=992</t>
  </si>
  <si>
    <t>seat_tube_cc</t>
  </si>
  <si>
    <t>https://www.cyclocross-store.de/media/images/org/SLX31_coffee_1.jpg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</si>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</sst>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"/>
  <sheetViews>
    <sheetView tabSelected="1" topLeftCell="A73" workbookViewId="0">
      <selection activeCell="B81" sqref="B81"/>
    </sheetView>
  </sheetViews>
  <sheetFormatPr baseColWidth="10" defaultRowHeight="20" x14ac:dyDescent="0.3"/>
  <cols>
    <col min="1" max="2" width="19.6640625" customWidth="1"/>
  </cols>
  <sheetData>
    <row r="1" spans="1:13" x14ac:dyDescent="0.3">
      <c r="A1" t="s">
        <v>0</v>
      </c>
      <c r="B1" s="1" t="s">
        <v>92</v>
      </c>
    </row>
    <row r="2" spans="1:13" x14ac:dyDescent="0.3">
      <c r="A2" t="s">
        <v>1</v>
      </c>
      <c r="B2" s="1" t="s">
        <v>93</v>
      </c>
    </row>
    <row r="3" spans="1:13" x14ac:dyDescent="0.3">
      <c r="A3" t="s">
        <v>2</v>
      </c>
      <c r="B3" t="s">
        <v>3</v>
      </c>
    </row>
    <row r="4" spans="1:13" x14ac:dyDescent="0.3">
      <c r="A4" t="s">
        <v>4</v>
      </c>
      <c r="B4" s="2">
        <v>46020</v>
      </c>
    </row>
    <row r="5" spans="1:13" x14ac:dyDescent="0.3">
      <c r="A5" t="s">
        <v>5</v>
      </c>
      <c r="B5" t="s">
        <v>108</v>
      </c>
    </row>
    <row r="6" spans="1:13" x14ac:dyDescent="0.3">
      <c r="B6" t="s">
        <v>110</v>
      </c>
    </row>
    <row r="7" spans="1:13" x14ac:dyDescent="0.3">
      <c r="A7" t="s">
        <v>6</v>
      </c>
      <c r="B7" s="1" t="s">
        <v>90</v>
      </c>
    </row>
    <row r="8" spans="1:13" x14ac:dyDescent="0.3">
      <c r="A8" t="s">
        <v>7</v>
      </c>
      <c r="B8" t="s">
        <v>94</v>
      </c>
      <c r="C8" t="s">
        <v>95</v>
      </c>
      <c r="D8" t="s">
        <v>8</v>
      </c>
      <c r="E8" t="s">
        <v>9</v>
      </c>
      <c r="F8" t="s">
        <v>10</v>
      </c>
      <c r="G8" t="s">
        <v>11</v>
      </c>
    </row>
    <row r="9" spans="1:13" x14ac:dyDescent="0.3">
      <c r="A9" t="s">
        <v>13</v>
      </c>
      <c r="B9" t="s">
        <v>96</v>
      </c>
      <c r="C9">
        <f>I9*10</f>
        <v>440</v>
      </c>
      <c r="D9">
        <f t="shared" ref="D9:G9" si="0">J9*10</f>
        <v>470</v>
      </c>
      <c r="E9">
        <f t="shared" si="0"/>
        <v>500</v>
      </c>
      <c r="F9">
        <f t="shared" si="0"/>
        <v>530</v>
      </c>
      <c r="G9">
        <f t="shared" si="0"/>
        <v>560</v>
      </c>
      <c r="I9">
        <v>44</v>
      </c>
      <c r="J9">
        <v>47</v>
      </c>
      <c r="K9">
        <v>50</v>
      </c>
      <c r="L9">
        <v>53</v>
      </c>
      <c r="M9">
        <v>56</v>
      </c>
    </row>
    <row r="10" spans="1:13" x14ac:dyDescent="0.3">
      <c r="A10" s="1" t="s">
        <v>109</v>
      </c>
      <c r="B10" t="s">
        <v>98</v>
      </c>
      <c r="H10" t="s">
        <v>97</v>
      </c>
    </row>
    <row r="11" spans="1:13" x14ac:dyDescent="0.3">
      <c r="A11" t="s">
        <v>12</v>
      </c>
      <c r="B11" t="s">
        <v>99</v>
      </c>
      <c r="C11">
        <f t="shared" ref="C11:C19" si="1">I11*10</f>
        <v>516</v>
      </c>
      <c r="D11">
        <f t="shared" ref="D11:D12" si="2">J11*10</f>
        <v>530</v>
      </c>
      <c r="E11">
        <f t="shared" ref="E11:E12" si="3">K11*10</f>
        <v>553</v>
      </c>
      <c r="F11">
        <f t="shared" ref="F11:F12" si="4">L11*10</f>
        <v>570</v>
      </c>
      <c r="G11">
        <f t="shared" ref="G11:G12" si="5">M11*10</f>
        <v>590</v>
      </c>
      <c r="H11" t="s">
        <v>97</v>
      </c>
      <c r="I11">
        <v>51.6</v>
      </c>
      <c r="J11">
        <v>53</v>
      </c>
      <c r="K11">
        <v>55.3</v>
      </c>
      <c r="L11">
        <v>57</v>
      </c>
      <c r="M11">
        <v>59</v>
      </c>
    </row>
    <row r="12" spans="1:13" x14ac:dyDescent="0.3">
      <c r="A12" t="s">
        <v>16</v>
      </c>
      <c r="B12" t="s">
        <v>100</v>
      </c>
      <c r="C12">
        <f t="shared" si="1"/>
        <v>110</v>
      </c>
      <c r="D12">
        <f t="shared" si="2"/>
        <v>130</v>
      </c>
      <c r="E12">
        <f t="shared" si="3"/>
        <v>145</v>
      </c>
      <c r="F12">
        <f t="shared" si="4"/>
        <v>160</v>
      </c>
      <c r="G12">
        <f t="shared" si="5"/>
        <v>170</v>
      </c>
      <c r="H12" t="s">
        <v>97</v>
      </c>
      <c r="I12">
        <v>11</v>
      </c>
      <c r="J12">
        <v>13</v>
      </c>
      <c r="K12">
        <v>14.5</v>
      </c>
      <c r="L12">
        <v>16</v>
      </c>
      <c r="M12">
        <v>17</v>
      </c>
    </row>
    <row r="13" spans="1:13" x14ac:dyDescent="0.3">
      <c r="A13" t="s">
        <v>17</v>
      </c>
      <c r="B13" t="s">
        <v>101</v>
      </c>
      <c r="C13">
        <f>I13</f>
        <v>69.5</v>
      </c>
      <c r="D13">
        <f t="shared" ref="D13:G14" si="6">J13</f>
        <v>71</v>
      </c>
      <c r="E13">
        <f t="shared" si="6"/>
        <v>72</v>
      </c>
      <c r="F13">
        <f t="shared" si="6"/>
        <v>72</v>
      </c>
      <c r="G13">
        <f t="shared" si="6"/>
        <v>72</v>
      </c>
      <c r="H13" t="s">
        <v>97</v>
      </c>
      <c r="I13">
        <v>69.5</v>
      </c>
      <c r="J13">
        <v>71</v>
      </c>
      <c r="K13">
        <v>72</v>
      </c>
      <c r="L13">
        <v>72</v>
      </c>
      <c r="M13">
        <v>72</v>
      </c>
    </row>
    <row r="14" spans="1:13" x14ac:dyDescent="0.3">
      <c r="A14" t="s">
        <v>14</v>
      </c>
      <c r="B14" t="s">
        <v>102</v>
      </c>
      <c r="C14">
        <f>I14</f>
        <v>74</v>
      </c>
      <c r="D14">
        <f t="shared" si="6"/>
        <v>74</v>
      </c>
      <c r="E14">
        <f t="shared" si="6"/>
        <v>74</v>
      </c>
      <c r="F14">
        <f t="shared" si="6"/>
        <v>73</v>
      </c>
      <c r="G14">
        <f t="shared" si="6"/>
        <v>73</v>
      </c>
      <c r="H14" t="s">
        <v>97</v>
      </c>
      <c r="I14">
        <v>74</v>
      </c>
      <c r="J14">
        <v>74</v>
      </c>
      <c r="K14">
        <v>74</v>
      </c>
      <c r="L14">
        <v>73</v>
      </c>
      <c r="M14">
        <v>73</v>
      </c>
    </row>
    <row r="15" spans="1:13" x14ac:dyDescent="0.3">
      <c r="A15" t="s">
        <v>15</v>
      </c>
      <c r="B15" t="s">
        <v>103</v>
      </c>
      <c r="C15">
        <f t="shared" si="1"/>
        <v>430</v>
      </c>
      <c r="D15">
        <f t="shared" ref="D15:D19" si="7">J15*10</f>
        <v>430</v>
      </c>
      <c r="E15">
        <f t="shared" ref="E15:E19" si="8">K15*10</f>
        <v>430</v>
      </c>
      <c r="F15">
        <f t="shared" ref="F15:F19" si="9">L15*10</f>
        <v>430</v>
      </c>
      <c r="G15">
        <f t="shared" ref="G15:G19" si="10">M15*10</f>
        <v>430</v>
      </c>
      <c r="H15" t="s">
        <v>97</v>
      </c>
      <c r="I15">
        <v>43</v>
      </c>
      <c r="J15">
        <v>43</v>
      </c>
      <c r="K15">
        <v>43</v>
      </c>
      <c r="L15">
        <v>43</v>
      </c>
      <c r="M15">
        <v>43</v>
      </c>
    </row>
    <row r="16" spans="1:13" x14ac:dyDescent="0.3">
      <c r="A16" t="s">
        <v>21</v>
      </c>
      <c r="B16" t="s">
        <v>104</v>
      </c>
      <c r="C16">
        <f t="shared" si="1"/>
        <v>80</v>
      </c>
      <c r="D16">
        <f t="shared" si="7"/>
        <v>80</v>
      </c>
      <c r="E16">
        <f t="shared" si="8"/>
        <v>80</v>
      </c>
      <c r="F16">
        <f t="shared" si="9"/>
        <v>80</v>
      </c>
      <c r="G16">
        <f t="shared" si="10"/>
        <v>80</v>
      </c>
      <c r="H16" t="s">
        <v>97</v>
      </c>
      <c r="I16">
        <v>8</v>
      </c>
      <c r="J16">
        <v>8</v>
      </c>
      <c r="K16">
        <v>8</v>
      </c>
      <c r="L16">
        <v>8</v>
      </c>
      <c r="M16">
        <v>8</v>
      </c>
    </row>
    <row r="17" spans="1:13" x14ac:dyDescent="0.3">
      <c r="A17" t="s">
        <v>20</v>
      </c>
      <c r="B17" t="s">
        <v>105</v>
      </c>
      <c r="C17">
        <f t="shared" si="1"/>
        <v>1008.6</v>
      </c>
      <c r="D17">
        <f t="shared" si="7"/>
        <v>1011.1</v>
      </c>
      <c r="E17">
        <f t="shared" si="8"/>
        <v>1019</v>
      </c>
      <c r="F17">
        <f t="shared" si="9"/>
        <v>1030</v>
      </c>
      <c r="G17">
        <f t="shared" si="10"/>
        <v>1047.7</v>
      </c>
      <c r="H17" t="s">
        <v>97</v>
      </c>
      <c r="I17">
        <v>100.86</v>
      </c>
      <c r="J17">
        <v>101.11</v>
      </c>
      <c r="K17">
        <v>101.9</v>
      </c>
      <c r="L17">
        <v>103</v>
      </c>
      <c r="M17">
        <v>104.77</v>
      </c>
    </row>
    <row r="18" spans="1:13" x14ac:dyDescent="0.3">
      <c r="A18" t="s">
        <v>19</v>
      </c>
      <c r="B18" t="s">
        <v>106</v>
      </c>
      <c r="C18">
        <f t="shared" si="1"/>
        <v>535</v>
      </c>
      <c r="D18">
        <f t="shared" si="7"/>
        <v>560</v>
      </c>
      <c r="E18">
        <f t="shared" si="8"/>
        <v>578</v>
      </c>
      <c r="F18">
        <f t="shared" si="9"/>
        <v>592</v>
      </c>
      <c r="G18">
        <f t="shared" si="10"/>
        <v>600</v>
      </c>
      <c r="H18" t="s">
        <v>97</v>
      </c>
      <c r="I18">
        <v>53.5</v>
      </c>
      <c r="J18">
        <v>56</v>
      </c>
      <c r="K18">
        <v>57.8</v>
      </c>
      <c r="L18">
        <v>59.2</v>
      </c>
      <c r="M18">
        <v>60</v>
      </c>
    </row>
    <row r="19" spans="1:13" x14ac:dyDescent="0.3">
      <c r="A19" t="s">
        <v>18</v>
      </c>
      <c r="B19" t="s">
        <v>107</v>
      </c>
      <c r="C19">
        <f t="shared" si="1"/>
        <v>362</v>
      </c>
      <c r="D19">
        <f t="shared" si="7"/>
        <v>370</v>
      </c>
      <c r="E19">
        <f t="shared" si="8"/>
        <v>380</v>
      </c>
      <c r="F19">
        <f t="shared" si="9"/>
        <v>389</v>
      </c>
      <c r="G19">
        <f t="shared" si="10"/>
        <v>406</v>
      </c>
      <c r="H19" t="s">
        <v>97</v>
      </c>
      <c r="I19">
        <v>36.200000000000003</v>
      </c>
      <c r="J19">
        <v>37</v>
      </c>
      <c r="K19">
        <v>38</v>
      </c>
      <c r="L19">
        <v>38.9</v>
      </c>
      <c r="M19">
        <v>40.6</v>
      </c>
    </row>
    <row r="20" spans="1:13" x14ac:dyDescent="0.3">
      <c r="A20" t="s">
        <v>22</v>
      </c>
      <c r="C20">
        <v>50</v>
      </c>
      <c r="D20">
        <v>50</v>
      </c>
      <c r="E20">
        <v>50</v>
      </c>
      <c r="F20">
        <v>50</v>
      </c>
      <c r="G20">
        <v>50</v>
      </c>
    </row>
    <row r="21" spans="1:13" x14ac:dyDescent="0.3">
      <c r="A21" t="s">
        <v>24</v>
      </c>
      <c r="C21">
        <v>395</v>
      </c>
      <c r="D21">
        <v>395</v>
      </c>
      <c r="E21">
        <v>395</v>
      </c>
      <c r="F21">
        <v>395</v>
      </c>
      <c r="G21">
        <v>395</v>
      </c>
    </row>
    <row r="22" spans="1:13" x14ac:dyDescent="0.3">
      <c r="A22" t="s">
        <v>29</v>
      </c>
    </row>
    <row r="23" spans="1:13" x14ac:dyDescent="0.3">
      <c r="A23" t="s">
        <v>23</v>
      </c>
    </row>
    <row r="24" spans="1:13" x14ac:dyDescent="0.3">
      <c r="A24" t="s">
        <v>25</v>
      </c>
    </row>
    <row r="25" spans="1:13" x14ac:dyDescent="0.3">
      <c r="A25" t="s">
        <v>26</v>
      </c>
    </row>
    <row r="26" spans="1:13" x14ac:dyDescent="0.3">
      <c r="A26" t="s">
        <v>27</v>
      </c>
    </row>
    <row r="27" spans="1:13" x14ac:dyDescent="0.3">
      <c r="A27" t="s">
        <v>28</v>
      </c>
    </row>
    <row r="28" spans="1:13" x14ac:dyDescent="0.3">
      <c r="A28" t="s">
        <v>30</v>
      </c>
      <c r="E28">
        <v>1050</v>
      </c>
    </row>
    <row r="29" spans="1:13" x14ac:dyDescent="0.3">
      <c r="A29" t="s">
        <v>31</v>
      </c>
      <c r="B29" t="s">
        <v>31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13" x14ac:dyDescent="0.3">
      <c r="A30" t="s">
        <v>32</v>
      </c>
      <c r="B30" t="s">
        <v>32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13" x14ac:dyDescent="0.3">
      <c r="A31" t="s">
        <v>33</v>
      </c>
      <c r="B31" t="s">
        <v>33</v>
      </c>
      <c r="C31">
        <v>50</v>
      </c>
      <c r="D31">
        <v>50</v>
      </c>
      <c r="E31">
        <v>50</v>
      </c>
      <c r="F31">
        <v>50</v>
      </c>
      <c r="G31">
        <v>50</v>
      </c>
    </row>
    <row r="32" spans="1:13" x14ac:dyDescent="0.3">
      <c r="A32" t="s">
        <v>34</v>
      </c>
      <c r="B32" t="s">
        <v>34</v>
      </c>
      <c r="C32">
        <v>163</v>
      </c>
      <c r="D32">
        <v>169</v>
      </c>
      <c r="E32">
        <v>175</v>
      </c>
      <c r="F32">
        <v>181</v>
      </c>
      <c r="G32">
        <v>187</v>
      </c>
    </row>
    <row r="33" spans="1:7" x14ac:dyDescent="0.3">
      <c r="A33" t="s">
        <v>35</v>
      </c>
      <c r="B33" t="s">
        <v>35</v>
      </c>
      <c r="C33">
        <v>168</v>
      </c>
      <c r="D33">
        <v>174</v>
      </c>
      <c r="E33">
        <v>180</v>
      </c>
      <c r="F33">
        <v>186</v>
      </c>
      <c r="G33">
        <v>195</v>
      </c>
    </row>
    <row r="35" spans="1:7" x14ac:dyDescent="0.3">
      <c r="A35" t="s">
        <v>36</v>
      </c>
      <c r="B35" t="s">
        <v>37</v>
      </c>
    </row>
    <row r="36" spans="1:7" x14ac:dyDescent="0.3">
      <c r="A36" t="s">
        <v>75</v>
      </c>
      <c r="B36" t="s">
        <v>76</v>
      </c>
    </row>
    <row r="37" spans="1:7" x14ac:dyDescent="0.3">
      <c r="A37" t="s">
        <v>77</v>
      </c>
      <c r="B37" t="s">
        <v>78</v>
      </c>
    </row>
    <row r="38" spans="1:7" x14ac:dyDescent="0.3">
      <c r="A38" t="s">
        <v>79</v>
      </c>
      <c r="B38" t="s">
        <v>80</v>
      </c>
    </row>
    <row r="39" spans="1:7" x14ac:dyDescent="0.3">
      <c r="A39" t="s">
        <v>38</v>
      </c>
      <c r="B39" t="s">
        <v>39</v>
      </c>
    </row>
    <row r="40" spans="1:7" x14ac:dyDescent="0.3">
      <c r="A40" t="s">
        <v>40</v>
      </c>
      <c r="B40" s="1"/>
    </row>
    <row r="41" spans="1:7" x14ac:dyDescent="0.3">
      <c r="A41" t="s">
        <v>42</v>
      </c>
    </row>
    <row r="42" spans="1:7" x14ac:dyDescent="0.3">
      <c r="A42" t="s">
        <v>43</v>
      </c>
      <c r="B42">
        <v>50</v>
      </c>
    </row>
    <row r="43" spans="1:7" x14ac:dyDescent="0.3">
      <c r="A43" t="s">
        <v>44</v>
      </c>
      <c r="B43">
        <v>52</v>
      </c>
    </row>
    <row r="44" spans="1:7" x14ac:dyDescent="0.3">
      <c r="A44" t="s">
        <v>45</v>
      </c>
    </row>
    <row r="45" spans="1:7" x14ac:dyDescent="0.3">
      <c r="A45" t="s">
        <v>46</v>
      </c>
    </row>
    <row r="46" spans="1:7" x14ac:dyDescent="0.3">
      <c r="A46" t="s">
        <v>47</v>
      </c>
    </row>
    <row r="47" spans="1:7" x14ac:dyDescent="0.3">
      <c r="A47" t="s">
        <v>48</v>
      </c>
    </row>
    <row r="48" spans="1:7" x14ac:dyDescent="0.3">
      <c r="A48" t="s">
        <v>49</v>
      </c>
      <c r="B48">
        <v>142</v>
      </c>
    </row>
    <row r="49" spans="1:2" x14ac:dyDescent="0.3">
      <c r="A49" t="s">
        <v>50</v>
      </c>
      <c r="B49">
        <v>100</v>
      </c>
    </row>
    <row r="50" spans="1:2" x14ac:dyDescent="0.3">
      <c r="A50" t="s">
        <v>84</v>
      </c>
    </row>
    <row r="51" spans="1:2" x14ac:dyDescent="0.3">
      <c r="A51" t="s">
        <v>85</v>
      </c>
    </row>
    <row r="52" spans="1:2" x14ac:dyDescent="0.3">
      <c r="A52" t="s">
        <v>86</v>
      </c>
    </row>
    <row r="53" spans="1:2" x14ac:dyDescent="0.3">
      <c r="A53" t="s">
        <v>87</v>
      </c>
    </row>
    <row r="54" spans="1:2" x14ac:dyDescent="0.3">
      <c r="A54" t="s">
        <v>88</v>
      </c>
    </row>
    <row r="55" spans="1:2" x14ac:dyDescent="0.3">
      <c r="A55" t="s">
        <v>89</v>
      </c>
      <c r="B55" s="1" t="s">
        <v>39</v>
      </c>
    </row>
    <row r="56" spans="1:2" x14ac:dyDescent="0.3">
      <c r="A56" t="s">
        <v>51</v>
      </c>
      <c r="B56" s="1" t="s">
        <v>81</v>
      </c>
    </row>
    <row r="57" spans="1:2" x14ac:dyDescent="0.3">
      <c r="A57" t="s">
        <v>52</v>
      </c>
    </row>
    <row r="58" spans="1:2" x14ac:dyDescent="0.3">
      <c r="A58" t="s">
        <v>53</v>
      </c>
      <c r="B58">
        <v>27.2</v>
      </c>
    </row>
    <row r="59" spans="1:2" x14ac:dyDescent="0.3">
      <c r="A59" t="s">
        <v>54</v>
      </c>
      <c r="B59" s="1"/>
    </row>
    <row r="60" spans="1:2" x14ac:dyDescent="0.3">
      <c r="A60" t="s">
        <v>55</v>
      </c>
    </row>
    <row r="61" spans="1:2" x14ac:dyDescent="0.3">
      <c r="A61" t="s">
        <v>56</v>
      </c>
    </row>
    <row r="62" spans="1:2" x14ac:dyDescent="0.3">
      <c r="A62" t="s">
        <v>57</v>
      </c>
    </row>
    <row r="63" spans="1:2" x14ac:dyDescent="0.3">
      <c r="A63" t="s">
        <v>58</v>
      </c>
    </row>
    <row r="64" spans="1:2" x14ac:dyDescent="0.3">
      <c r="A64" t="s">
        <v>59</v>
      </c>
    </row>
    <row r="65" spans="1:2" x14ac:dyDescent="0.3">
      <c r="A65" t="s">
        <v>60</v>
      </c>
      <c r="B65" s="1" t="s">
        <v>91</v>
      </c>
    </row>
    <row r="66" spans="1:2" x14ac:dyDescent="0.3">
      <c r="A66" t="s">
        <v>61</v>
      </c>
    </row>
    <row r="67" spans="1:2" x14ac:dyDescent="0.3">
      <c r="A67" t="s">
        <v>62</v>
      </c>
    </row>
    <row r="68" spans="1:2" x14ac:dyDescent="0.3">
      <c r="A68" t="s">
        <v>63</v>
      </c>
    </row>
    <row r="69" spans="1:2" x14ac:dyDescent="0.3">
      <c r="A69" t="s">
        <v>64</v>
      </c>
      <c r="B69">
        <v>2</v>
      </c>
    </row>
    <row r="70" spans="1:2" x14ac:dyDescent="0.3">
      <c r="A70" t="s">
        <v>65</v>
      </c>
    </row>
    <row r="71" spans="1:2" x14ac:dyDescent="0.3">
      <c r="A71" t="s">
        <v>66</v>
      </c>
      <c r="B71">
        <v>1</v>
      </c>
    </row>
    <row r="72" spans="1:2" x14ac:dyDescent="0.3">
      <c r="A72" t="s">
        <v>67</v>
      </c>
    </row>
    <row r="73" spans="1:2" x14ac:dyDescent="0.3">
      <c r="A73" t="s">
        <v>68</v>
      </c>
      <c r="B73" s="1" t="s">
        <v>41</v>
      </c>
    </row>
    <row r="74" spans="1:2" x14ac:dyDescent="0.3">
      <c r="A74" t="s">
        <v>69</v>
      </c>
      <c r="B74" s="1" t="s">
        <v>41</v>
      </c>
    </row>
    <row r="75" spans="1:2" x14ac:dyDescent="0.3">
      <c r="A75" t="s">
        <v>70</v>
      </c>
      <c r="B75" s="1" t="s">
        <v>41</v>
      </c>
    </row>
    <row r="76" spans="1:2" x14ac:dyDescent="0.3">
      <c r="A76" t="s">
        <v>71</v>
      </c>
      <c r="B76">
        <v>1690</v>
      </c>
    </row>
    <row r="77" spans="1:2" x14ac:dyDescent="0.3">
      <c r="A77" t="s">
        <v>72</v>
      </c>
      <c r="B77">
        <v>2890</v>
      </c>
    </row>
    <row r="78" spans="1:2" x14ac:dyDescent="0.3">
      <c r="A78" t="s">
        <v>73</v>
      </c>
    </row>
    <row r="79" spans="1:2" x14ac:dyDescent="0.3">
      <c r="A79" t="s">
        <v>74</v>
      </c>
      <c r="B79" s="1" t="s">
        <v>83</v>
      </c>
    </row>
    <row r="80" spans="1:2" x14ac:dyDescent="0.3">
      <c r="A80" t="s">
        <v>82</v>
      </c>
      <c r="B80" s="1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2025-07-26T16:23:52Z</dcterms:created>
  <dcterms:modified xsi:type="dcterms:W3CDTF">2025-12-29T17:12:59Z</dcterms:modified>
</cp:coreProperties>
</file>