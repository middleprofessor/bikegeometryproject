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B07B4E3-B10C-F14D-9030-8EA53D89AAE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H17" i="1"/>
  <c r="C17" i="1"/>
  <c r="D15" i="1"/>
  <c r="E15" i="1"/>
  <c r="F15" i="1"/>
  <c r="G15" i="1"/>
  <c r="H15" i="1"/>
  <c r="C15" i="1"/>
  <c r="C38" i="1"/>
  <c r="C40" i="1" s="1"/>
  <c r="C33" i="1" s="1"/>
  <c r="D38" i="1"/>
  <c r="D40" i="1" s="1"/>
  <c r="D33" i="1" s="1"/>
  <c r="E38" i="1"/>
  <c r="E40" i="1" s="1"/>
  <c r="E33" i="1" s="1"/>
  <c r="F38" i="1"/>
  <c r="F40" i="1" s="1"/>
  <c r="F33" i="1" s="1"/>
  <c r="G38" i="1"/>
  <c r="G40" i="1" s="1"/>
  <c r="G33" i="1" s="1"/>
  <c r="H38" i="1"/>
  <c r="H40" i="1" s="1"/>
  <c r="H33" i="1" s="1"/>
  <c r="D37" i="1"/>
  <c r="D39" i="1" s="1"/>
  <c r="D32" i="1" s="1"/>
  <c r="E37" i="1"/>
  <c r="E39" i="1" s="1"/>
  <c r="E32" i="1" s="1"/>
  <c r="F37" i="1"/>
  <c r="F39" i="1" s="1"/>
  <c r="F32" i="1" s="1"/>
  <c r="G37" i="1"/>
  <c r="G39" i="1" s="1"/>
  <c r="G32" i="1" s="1"/>
  <c r="H37" i="1"/>
  <c r="H39" i="1" s="1"/>
  <c r="H32" i="1" s="1"/>
  <c r="C37" i="1"/>
  <c r="C39" i="1" s="1"/>
  <c r="C32" i="1" s="1"/>
</calcChain>
</file>

<file path=xl/sharedStrings.xml><?xml version="1.0" encoding="utf-8"?>
<sst xmlns="http://schemas.openxmlformats.org/spreadsheetml/2006/main" count="158" uniqueCount="133">
  <si>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</si>
  <si>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</si>
  <si>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</si>
  <si>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</si>
  <si>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</si>
  <si>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</si>
  <si>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</si>
  <si>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</si>
  <si>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</si>
  <si>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</si>
  <si>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</si>
  <si>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</si>
  <si>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</si>
  <si>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</si>
  <si>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</si>
  <si>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</si>
  <si>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</si>
  <si>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</si>
  <si>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</si>
  <si>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</si>
  <si>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</si>
  <si>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</si>
  <si>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</si>
  <si>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</si>
  <si>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</si>
  <si>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</si>
  <si>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</si>
  <si>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</si>
  <si>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</si>
  <si>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</si>
  <si>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</si>
  <si>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</si>
  <si>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</si>
  <si>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</si>
  <si>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</si>
  <si>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</si>
  <si>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</si>
  <si>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</si>
  <si>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</si>
  <si>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</si>
  <si>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</si>
  <si>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</si>
  <si>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</si>
  <si>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</si>
  <si>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</si>
  <si>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</si>
  <si>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</si>
  <si>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</si>
  <si>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</si>
  <si>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</si>
  <si>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</si>
  <si>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</si>
  <si>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</si>
  <si>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</si>
  <si>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</si>
  <si>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</si>
  <si>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</si>
  <si>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</si>
  <si>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</si>
  <si>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</si>
  <si>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</si>
  <si>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</si>
  <si>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</si>
  <si>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</si>
  <si>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</si>
  <si>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</si>
  <si>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</si>
  <si>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</si>
  <si>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</si>
  <si>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</si>
  <si>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</si>
  <si>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</si>
  <si>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</si>
  <si>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</si>
  <si>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</si>
  <si>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</si>
  <si>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</si>
  <si>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</si>
  <si>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</si>
  <si>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</si>
  <si>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</si>
  <si>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</si>
  <si>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</si>
  <si>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</si>
  <si>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</si>
  <si>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</si>
  <si>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</si>
  <si>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</si>
  <si>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</si>
  <si>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</si>
  <si>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</si>
  <si>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</si>
  <si>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</si>
  <si>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</si>
  <si>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</si>
  <si>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Inseam Length</t>
  </si>
  <si>
    <t>28-30</t>
  </si>
  <si>
    <t>29-31</t>
  </si>
  <si>
    <t>29-31.5</t>
  </si>
  <si>
    <t>31-32.5</t>
  </si>
  <si>
    <t>32-33.5</t>
  </si>
  <si>
    <t>32.5-34</t>
  </si>
  <si>
    <t>33.5+</t>
  </si>
  <si>
    <t>455-472</t>
  </si>
  <si>
    <t>44-51</t>
  </si>
  <si>
    <t>Kinetik (short)</t>
  </si>
  <si>
    <t>https://binarybicycles.com/product/kinetik-titanium-expedition-frame/</t>
  </si>
  <si>
    <t>flat bar</t>
  </si>
  <si>
    <t>15% sagged 120 mm fork</t>
  </si>
  <si>
    <t>https://binarybicycles.com/wp-content/uploads/2025/10/titanium-Kinetik-bikepacking-bike-1062x800.jpg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</si>
  <si>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</si>
  <si>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</si>
  <si>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</si>
  <si>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</si>
  <si>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</si>
  <si>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</si>
  <si>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</si>
  <si>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</si>
  <si>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S﻿</t>
  </si>
  <si>
    <t>SMD﻿</t>
  </si>
  <si>
    <t>M﻿</t>
  </si>
  <si>
    <t>ML﻿</t>
  </si>
  <si>
    <t>L﻿</t>
  </si>
  <si>
    <t>XL﻿</t>
  </si>
  <si>
    <t>29-31.5﻿</t>
  </si>
  <si>
    <t>Dimensions are using an sagged 29er 120mm fork and 29 x 3.0 wheels and tires.</t>
  </si>
  <si>
    <t>ZS44</t>
  </si>
  <si>
    <t>EC44</t>
  </si>
  <si>
    <t>SMD</t>
  </si>
  <si>
    <t>fork_sag</t>
  </si>
  <si>
    <t>suspension</t>
  </si>
  <si>
    <t>a8:h33</t>
  </si>
  <si>
    <t>fork_travel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</si>
</sst>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rgb="FF000000"/>
      <name val="Futura Medium"/>
    </font>
    <font>
      <sz val="14"/>
      <color rgb="FF313131"/>
      <name val="Futura Medium"/>
    </font>
    <font>
      <sz val="15"/>
      <color rgb="FF000000"/>
      <name val="Arial"/>
      <family val="2"/>
    </font>
    <font>
      <sz val="15"/>
      <color rgb="FF000000"/>
      <name val="Arial"/>
      <family val="2"/>
    </font>
    <font>
      <sz val="15"/>
      <name val="Arial"/>
      <family val="2"/>
    </font>
    <font>
      <sz val="14"/>
      <name val="Futura"/>
      <family val="2"/>
    </font>
    <font>
      <sz val="16"/>
      <color rgb="FF20211C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164" fontId="0" fillId="0" borderId="0" xfId="0" applyNumberFormat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0"/>
  <sheetViews>
    <sheetView tabSelected="1" topLeftCell="A2" zoomScaleNormal="100" workbookViewId="0">
      <selection activeCell="A24" sqref="A24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83</v>
      </c>
    </row>
    <row r="2" spans="1:23" x14ac:dyDescent="0.3">
      <c r="A2" t="s">
        <v>1</v>
      </c>
      <c r="B2" s="1" t="s">
        <v>105</v>
      </c>
    </row>
    <row r="3" spans="1:23" x14ac:dyDescent="0.3">
      <c r="A3" t="s">
        <v>2</v>
      </c>
      <c r="B3" t="s">
        <v>3</v>
      </c>
    </row>
    <row r="4" spans="1:23" x14ac:dyDescent="0.3">
      <c r="A4" t="s">
        <v>4</v>
      </c>
      <c r="B4" s="4">
        <v>45982</v>
      </c>
    </row>
    <row r="5" spans="1:23" x14ac:dyDescent="0.3">
      <c r="A5" t="s">
        <v>5</v>
      </c>
      <c r="B5" t="s">
        <v>106</v>
      </c>
    </row>
    <row r="6" spans="1:23" x14ac:dyDescent="0.3">
      <c r="B6" t="s">
        <v>109</v>
      </c>
    </row>
    <row r="7" spans="1:23" x14ac:dyDescent="0.3">
      <c r="A7" t="s">
        <v>6</v>
      </c>
      <c r="B7" s="1" t="s">
        <v>131</v>
      </c>
    </row>
    <row r="8" spans="1:23" ht="21" x14ac:dyDescent="0.3">
      <c r="A8" t="s">
        <v>7</v>
      </c>
      <c r="B8" s="1" t="s">
        <v>72</v>
      </c>
      <c r="C8" s="10" t="s">
        <v>118</v>
      </c>
      <c r="D8" s="10" t="s">
        <v>128</v>
      </c>
      <c r="E8" s="10" t="s">
        <v>120</v>
      </c>
      <c r="F8" s="10" t="s">
        <v>121</v>
      </c>
      <c r="G8" s="10" t="s">
        <v>122</v>
      </c>
      <c r="H8" s="10" t="s">
        <v>123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3" ht="22" x14ac:dyDescent="0.3">
      <c r="A9" t="s">
        <v>13</v>
      </c>
      <c r="B9" s="9" t="s">
        <v>84</v>
      </c>
      <c r="C9" s="9">
        <v>593</v>
      </c>
      <c r="D9" s="9">
        <v>609</v>
      </c>
      <c r="E9" s="9">
        <v>613</v>
      </c>
      <c r="F9" s="9">
        <v>625</v>
      </c>
      <c r="G9" s="9">
        <v>638</v>
      </c>
      <c r="H9" s="9">
        <v>651</v>
      </c>
      <c r="I9" s="12" t="s">
        <v>125</v>
      </c>
      <c r="N9" s="3"/>
      <c r="O9" s="3"/>
      <c r="P9" s="3"/>
      <c r="Q9" s="10" t="s">
        <v>118</v>
      </c>
      <c r="R9" s="10" t="s">
        <v>119</v>
      </c>
      <c r="S9" s="10" t="s">
        <v>120</v>
      </c>
      <c r="T9" s="10" t="s">
        <v>121</v>
      </c>
      <c r="U9" s="10" t="s">
        <v>122</v>
      </c>
      <c r="V9" s="10" t="s">
        <v>123</v>
      </c>
      <c r="W9" s="11"/>
    </row>
    <row r="10" spans="1:23" ht="21" x14ac:dyDescent="0.3">
      <c r="A10" t="s">
        <v>9</v>
      </c>
      <c r="B10" s="9" t="s">
        <v>80</v>
      </c>
      <c r="C10" s="9">
        <v>390</v>
      </c>
      <c r="D10" s="9">
        <v>415</v>
      </c>
      <c r="E10" s="9">
        <v>420</v>
      </c>
      <c r="F10" s="9">
        <v>440</v>
      </c>
      <c r="G10" s="9">
        <v>480</v>
      </c>
      <c r="H10" s="9">
        <v>508</v>
      </c>
      <c r="I10" s="3"/>
      <c r="J10" s="3"/>
      <c r="K10" s="3"/>
      <c r="L10" s="3"/>
      <c r="M10" s="3"/>
      <c r="N10" s="3"/>
      <c r="O10" s="3"/>
      <c r="P10" s="3"/>
      <c r="Q10" s="8" t="s">
        <v>95</v>
      </c>
      <c r="R10" s="8" t="s">
        <v>96</v>
      </c>
      <c r="S10" s="8" t="s">
        <v>124</v>
      </c>
      <c r="T10" s="8" t="s">
        <v>99</v>
      </c>
      <c r="U10" s="8" t="s">
        <v>100</v>
      </c>
      <c r="V10" s="8" t="s">
        <v>101</v>
      </c>
      <c r="W10" s="8" t="s">
        <v>102</v>
      </c>
    </row>
    <row r="11" spans="1:23" ht="21" x14ac:dyDescent="0.3">
      <c r="A11" s="1" t="s">
        <v>10</v>
      </c>
      <c r="B11" s="9" t="s">
        <v>85</v>
      </c>
      <c r="C11" s="9">
        <v>74</v>
      </c>
      <c r="D11" s="9">
        <v>74</v>
      </c>
      <c r="E11" s="9">
        <v>74</v>
      </c>
      <c r="F11" s="9">
        <v>74</v>
      </c>
      <c r="G11" s="9">
        <v>74.5</v>
      </c>
      <c r="H11" s="9">
        <v>74.5</v>
      </c>
      <c r="I11" s="3"/>
      <c r="J11" s="3"/>
      <c r="K11" s="3"/>
      <c r="L11" s="3"/>
      <c r="M11" s="3"/>
      <c r="N11" s="3"/>
      <c r="O11" s="3"/>
      <c r="P11" s="3"/>
    </row>
    <row r="12" spans="1:23" ht="21" x14ac:dyDescent="0.3">
      <c r="A12" t="s">
        <v>11</v>
      </c>
      <c r="B12" s="9" t="s">
        <v>79</v>
      </c>
      <c r="C12" s="9">
        <v>100</v>
      </c>
      <c r="D12" s="9">
        <v>100</v>
      </c>
      <c r="E12" s="9">
        <v>110</v>
      </c>
      <c r="F12" s="9">
        <v>130</v>
      </c>
      <c r="G12" s="9">
        <v>145</v>
      </c>
      <c r="H12" s="9">
        <v>160</v>
      </c>
      <c r="I12" s="3"/>
      <c r="J12" s="3"/>
      <c r="K12" s="3"/>
      <c r="L12" s="3"/>
      <c r="M12" s="3"/>
      <c r="N12" s="3"/>
      <c r="O12" s="3"/>
      <c r="P12" s="3"/>
    </row>
    <row r="13" spans="1:23" ht="21" x14ac:dyDescent="0.3">
      <c r="A13" t="s">
        <v>12</v>
      </c>
      <c r="B13" s="9" t="s">
        <v>75</v>
      </c>
      <c r="C13" s="9">
        <v>67</v>
      </c>
      <c r="D13" s="9">
        <v>67</v>
      </c>
      <c r="E13" s="9">
        <v>67</v>
      </c>
      <c r="F13" s="9">
        <v>67</v>
      </c>
      <c r="G13" s="9">
        <v>67</v>
      </c>
      <c r="H13" s="9">
        <v>67</v>
      </c>
      <c r="I13" s="5"/>
      <c r="J13" s="3"/>
      <c r="K13" s="3"/>
      <c r="L13" s="3"/>
      <c r="M13" s="3"/>
      <c r="N13" s="3"/>
      <c r="O13" s="3"/>
      <c r="P13" s="3"/>
    </row>
    <row r="14" spans="1:23" ht="21" x14ac:dyDescent="0.3">
      <c r="A14" t="s">
        <v>14</v>
      </c>
      <c r="B14" s="9" t="s">
        <v>76</v>
      </c>
      <c r="C14" s="9">
        <v>60</v>
      </c>
      <c r="D14" s="9">
        <v>60</v>
      </c>
      <c r="E14" s="9">
        <v>60</v>
      </c>
      <c r="F14" s="9">
        <v>60</v>
      </c>
      <c r="G14" s="9">
        <v>60</v>
      </c>
      <c r="H14" s="9">
        <v>60</v>
      </c>
      <c r="I14" s="3"/>
      <c r="J14" s="3"/>
      <c r="K14" s="3"/>
      <c r="L14" s="3"/>
      <c r="M14" s="3"/>
      <c r="N14" s="3"/>
      <c r="O14" s="3"/>
      <c r="P14" s="3"/>
    </row>
    <row r="15" spans="1:23" ht="21" x14ac:dyDescent="0.3">
      <c r="A15" t="s">
        <v>15</v>
      </c>
      <c r="B15" s="9" t="s">
        <v>77</v>
      </c>
      <c r="C15" s="9">
        <f>VALUE(LEFT(I15,3))</f>
        <v>455</v>
      </c>
      <c r="D15" s="9">
        <f t="shared" ref="D15:H15" si="0">VALUE(LEFT(J15,3))</f>
        <v>455</v>
      </c>
      <c r="E15" s="9">
        <f t="shared" si="0"/>
        <v>455</v>
      </c>
      <c r="F15" s="9">
        <f t="shared" si="0"/>
        <v>455</v>
      </c>
      <c r="G15" s="9">
        <f t="shared" si="0"/>
        <v>455</v>
      </c>
      <c r="H15" s="9">
        <f t="shared" si="0"/>
        <v>455</v>
      </c>
      <c r="I15" s="9" t="s">
        <v>103</v>
      </c>
      <c r="J15" s="9" t="s">
        <v>103</v>
      </c>
      <c r="K15" s="9" t="s">
        <v>103</v>
      </c>
      <c r="L15" s="9" t="s">
        <v>103</v>
      </c>
      <c r="M15" s="9" t="s">
        <v>103</v>
      </c>
      <c r="N15" s="9" t="s">
        <v>103</v>
      </c>
      <c r="O15" s="5" t="s">
        <v>103</v>
      </c>
    </row>
    <row r="16" spans="1:23" ht="21" x14ac:dyDescent="0.3">
      <c r="A16" t="s">
        <v>21</v>
      </c>
      <c r="B16" s="9" t="s">
        <v>86</v>
      </c>
      <c r="C16" s="9">
        <v>512</v>
      </c>
      <c r="D16" s="9">
        <v>512</v>
      </c>
      <c r="E16" s="9">
        <v>512</v>
      </c>
      <c r="F16" s="9">
        <v>512</v>
      </c>
      <c r="G16" s="9">
        <v>512</v>
      </c>
      <c r="H16" s="9">
        <v>512</v>
      </c>
      <c r="I16" s="5" t="s">
        <v>108</v>
      </c>
      <c r="J16" s="1"/>
    </row>
    <row r="17" spans="1:15" ht="21" x14ac:dyDescent="0.3">
      <c r="A17" t="s">
        <v>16</v>
      </c>
      <c r="B17" s="9" t="s">
        <v>87</v>
      </c>
      <c r="C17" s="9">
        <f>VALUE(LEFT(I17,2))</f>
        <v>44</v>
      </c>
      <c r="D17" s="9">
        <f t="shared" ref="D17:H17" si="1">VALUE(LEFT(J17,2))</f>
        <v>44</v>
      </c>
      <c r="E17" s="9">
        <f t="shared" si="1"/>
        <v>44</v>
      </c>
      <c r="F17" s="9">
        <f t="shared" si="1"/>
        <v>44</v>
      </c>
      <c r="G17" s="9">
        <f t="shared" si="1"/>
        <v>44</v>
      </c>
      <c r="H17" s="9">
        <f t="shared" si="1"/>
        <v>44</v>
      </c>
      <c r="I17" s="9" t="s">
        <v>104</v>
      </c>
      <c r="J17" s="5" t="s">
        <v>104</v>
      </c>
      <c r="K17" s="5" t="s">
        <v>104</v>
      </c>
      <c r="L17" s="5" t="s">
        <v>104</v>
      </c>
      <c r="M17" s="5" t="s">
        <v>104</v>
      </c>
      <c r="N17" t="s">
        <v>104</v>
      </c>
      <c r="O17" s="2" t="s">
        <v>104</v>
      </c>
    </row>
    <row r="18" spans="1:15" ht="21" x14ac:dyDescent="0.3">
      <c r="A18" t="s">
        <v>17</v>
      </c>
      <c r="B18" s="9" t="s">
        <v>78</v>
      </c>
      <c r="C18" s="9">
        <v>1151</v>
      </c>
      <c r="D18" s="9">
        <v>1167</v>
      </c>
      <c r="E18" s="9">
        <v>1172</v>
      </c>
      <c r="F18" s="9">
        <v>1187</v>
      </c>
      <c r="G18" s="9">
        <v>1208</v>
      </c>
      <c r="H18" s="9">
        <v>1223</v>
      </c>
      <c r="I18" s="3"/>
      <c r="J18" s="3"/>
      <c r="K18" s="3"/>
      <c r="L18" s="3"/>
      <c r="M18" s="3"/>
    </row>
    <row r="19" spans="1:15" ht="21" x14ac:dyDescent="0.3">
      <c r="A19" t="s">
        <v>20</v>
      </c>
      <c r="B19" s="9" t="s">
        <v>74</v>
      </c>
      <c r="C19" s="9">
        <v>616</v>
      </c>
      <c r="D19" s="9">
        <v>616</v>
      </c>
      <c r="E19" s="9">
        <v>625</v>
      </c>
      <c r="F19" s="9">
        <v>643</v>
      </c>
      <c r="G19" s="9">
        <v>657</v>
      </c>
      <c r="H19" s="9">
        <v>671</v>
      </c>
    </row>
    <row r="20" spans="1:15" ht="21" x14ac:dyDescent="0.3">
      <c r="A20" t="s">
        <v>19</v>
      </c>
      <c r="B20" s="9" t="s">
        <v>73</v>
      </c>
      <c r="C20" s="9">
        <v>417</v>
      </c>
      <c r="D20" s="9">
        <v>433</v>
      </c>
      <c r="E20" s="9">
        <v>434</v>
      </c>
      <c r="F20" s="9">
        <v>441</v>
      </c>
      <c r="G20" s="9">
        <v>456</v>
      </c>
      <c r="H20" s="9">
        <v>465</v>
      </c>
    </row>
    <row r="21" spans="1:15" ht="21" x14ac:dyDescent="0.3">
      <c r="A21" s="1" t="s">
        <v>81</v>
      </c>
      <c r="B21" s="9" t="s">
        <v>94</v>
      </c>
      <c r="C21" s="9">
        <v>703</v>
      </c>
      <c r="D21" s="9">
        <v>719</v>
      </c>
      <c r="E21" s="9">
        <v>724</v>
      </c>
      <c r="F21" s="9">
        <v>738</v>
      </c>
      <c r="G21" s="9">
        <v>759</v>
      </c>
      <c r="H21" s="9">
        <v>774</v>
      </c>
    </row>
    <row r="22" spans="1:15" ht="21" x14ac:dyDescent="0.3">
      <c r="A22" t="s">
        <v>18</v>
      </c>
      <c r="B22" s="9" t="s">
        <v>88</v>
      </c>
      <c r="C22" s="9">
        <v>771</v>
      </c>
      <c r="D22" s="9">
        <v>792</v>
      </c>
      <c r="E22" s="9">
        <v>821</v>
      </c>
      <c r="F22" s="9">
        <v>840</v>
      </c>
      <c r="G22" s="9">
        <v>867</v>
      </c>
      <c r="H22" s="9">
        <v>887</v>
      </c>
    </row>
    <row r="23" spans="1:15" ht="21" x14ac:dyDescent="0.3">
      <c r="A23" s="1" t="s">
        <v>132</v>
      </c>
      <c r="B23" s="9"/>
      <c r="C23" s="9">
        <v>120</v>
      </c>
      <c r="D23" s="9">
        <v>120</v>
      </c>
      <c r="E23" s="9">
        <v>120</v>
      </c>
      <c r="F23" s="9">
        <v>120</v>
      </c>
      <c r="G23" s="9">
        <v>120</v>
      </c>
      <c r="H23" s="9">
        <v>120</v>
      </c>
    </row>
    <row r="24" spans="1:15" x14ac:dyDescent="0.3">
      <c r="A24" s="1" t="s">
        <v>129</v>
      </c>
      <c r="I24" s="3"/>
      <c r="J24" s="3"/>
      <c r="K24" s="3"/>
      <c r="L24" s="3"/>
      <c r="M24" s="3"/>
    </row>
    <row r="25" spans="1:15" x14ac:dyDescent="0.3">
      <c r="A25" s="1" t="s">
        <v>71</v>
      </c>
      <c r="I25" s="3"/>
      <c r="J25" s="3"/>
      <c r="K25" s="3"/>
      <c r="L25" s="3"/>
      <c r="M25" s="3"/>
    </row>
    <row r="26" spans="1:15" x14ac:dyDescent="0.3">
      <c r="A26" t="s">
        <v>23</v>
      </c>
      <c r="I26" s="3"/>
      <c r="J26" s="3"/>
      <c r="K26" s="3"/>
      <c r="L26" s="3"/>
      <c r="M26" s="3"/>
    </row>
    <row r="27" spans="1:15" x14ac:dyDescent="0.3">
      <c r="A27" t="s">
        <v>22</v>
      </c>
      <c r="I27" s="3"/>
      <c r="J27" s="3"/>
      <c r="K27" s="3"/>
      <c r="L27" s="3"/>
      <c r="M27" s="3"/>
    </row>
    <row r="28" spans="1:15" x14ac:dyDescent="0.3">
      <c r="A28" t="s">
        <v>24</v>
      </c>
      <c r="I28" s="3"/>
      <c r="J28" s="3"/>
      <c r="K28" s="3"/>
      <c r="L28" s="3"/>
      <c r="M28" s="3"/>
    </row>
    <row r="29" spans="1:15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  <c r="I29" s="3"/>
      <c r="J29" s="3"/>
      <c r="K29" s="3"/>
      <c r="L29" s="3"/>
      <c r="M29" s="3"/>
    </row>
    <row r="30" spans="1:15" x14ac:dyDescent="0.3">
      <c r="A30" t="s">
        <v>25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 s="3"/>
      <c r="J30" s="3"/>
      <c r="K30" s="3"/>
      <c r="L30" s="3"/>
      <c r="M30" s="3"/>
    </row>
    <row r="31" spans="1:15" x14ac:dyDescent="0.3">
      <c r="A31" t="s">
        <v>26</v>
      </c>
      <c r="C31">
        <v>3</v>
      </c>
      <c r="D31">
        <v>3</v>
      </c>
      <c r="E31">
        <v>3</v>
      </c>
      <c r="F31">
        <v>3</v>
      </c>
      <c r="G31">
        <v>3</v>
      </c>
      <c r="H31">
        <v>3</v>
      </c>
      <c r="I31" s="3"/>
      <c r="J31" s="3"/>
      <c r="K31" s="3"/>
      <c r="L31" s="3"/>
      <c r="M31" s="3"/>
    </row>
    <row r="32" spans="1:15" x14ac:dyDescent="0.3">
      <c r="A32" t="s">
        <v>27</v>
      </c>
      <c r="C32" s="7">
        <f>C39</f>
        <v>154.60869565217391</v>
      </c>
      <c r="D32" s="7">
        <f t="shared" ref="D32:H33" si="2">D39</f>
        <v>160.13043478260869</v>
      </c>
      <c r="E32" s="7">
        <f t="shared" si="2"/>
        <v>171.17391304347825</v>
      </c>
      <c r="F32" s="7">
        <f t="shared" si="2"/>
        <v>176.69565217391303</v>
      </c>
      <c r="G32" s="7">
        <f t="shared" si="2"/>
        <v>179.45652173913041</v>
      </c>
      <c r="H32" s="7">
        <f t="shared" si="2"/>
        <v>184.97826086956522</v>
      </c>
      <c r="I32" s="3"/>
      <c r="J32" s="3"/>
      <c r="K32" s="3"/>
      <c r="L32" s="3"/>
      <c r="M32" s="3"/>
    </row>
    <row r="33" spans="1:9" x14ac:dyDescent="0.3">
      <c r="A33" t="s">
        <v>28</v>
      </c>
      <c r="C33" s="7">
        <f>C40</f>
        <v>165.65217391304347</v>
      </c>
      <c r="D33" s="7">
        <f t="shared" si="2"/>
        <v>173.93478260869566</v>
      </c>
      <c r="E33" s="7">
        <f t="shared" si="2"/>
        <v>179.45652173913041</v>
      </c>
      <c r="F33" s="7">
        <f t="shared" si="2"/>
        <v>184.97826086956522</v>
      </c>
      <c r="G33" s="7">
        <f t="shared" si="2"/>
        <v>187.7391304347826</v>
      </c>
      <c r="H33" s="7">
        <f t="shared" si="2"/>
        <v>193.2608695652174</v>
      </c>
      <c r="I33" s="3"/>
    </row>
    <row r="34" spans="1:9" x14ac:dyDescent="0.3">
      <c r="C34" s="5" t="s">
        <v>96</v>
      </c>
      <c r="D34" s="5" t="s">
        <v>97</v>
      </c>
      <c r="E34" s="5" t="s">
        <v>98</v>
      </c>
      <c r="F34" s="5" t="s">
        <v>99</v>
      </c>
      <c r="G34" s="5" t="s">
        <v>100</v>
      </c>
      <c r="H34" t="s">
        <v>101</v>
      </c>
      <c r="I34" s="6" t="s">
        <v>95</v>
      </c>
    </row>
    <row r="35" spans="1:9" x14ac:dyDescent="0.3">
      <c r="A35" t="s">
        <v>29</v>
      </c>
      <c r="B35" t="s">
        <v>30</v>
      </c>
      <c r="C35" s="2">
        <v>28</v>
      </c>
      <c r="D35" s="2">
        <v>29</v>
      </c>
      <c r="E35" s="2">
        <v>31</v>
      </c>
      <c r="F35" s="2">
        <v>32</v>
      </c>
      <c r="G35" s="2">
        <v>32.5</v>
      </c>
      <c r="H35" s="2">
        <v>33.5</v>
      </c>
    </row>
    <row r="36" spans="1:9" x14ac:dyDescent="0.3">
      <c r="A36" t="s">
        <v>67</v>
      </c>
      <c r="B36" t="s">
        <v>68</v>
      </c>
      <c r="C36" s="2">
        <v>30</v>
      </c>
      <c r="D36" s="2">
        <v>31.5</v>
      </c>
      <c r="E36" s="2">
        <v>32.5</v>
      </c>
      <c r="F36" s="2">
        <v>33.5</v>
      </c>
      <c r="G36" s="2">
        <v>34</v>
      </c>
      <c r="H36" s="13">
        <v>35</v>
      </c>
    </row>
    <row r="37" spans="1:9" x14ac:dyDescent="0.3">
      <c r="A37" t="s">
        <v>69</v>
      </c>
      <c r="B37" s="1" t="s">
        <v>107</v>
      </c>
      <c r="C37" s="2">
        <f>C35*2.54</f>
        <v>71.12</v>
      </c>
      <c r="D37" s="2">
        <f t="shared" ref="D37:H38" si="3">D35*2.54</f>
        <v>73.66</v>
      </c>
      <c r="E37" s="2">
        <f t="shared" si="3"/>
        <v>78.739999999999995</v>
      </c>
      <c r="F37" s="2">
        <f t="shared" si="3"/>
        <v>81.28</v>
      </c>
      <c r="G37" s="2">
        <f t="shared" si="3"/>
        <v>82.55</v>
      </c>
      <c r="H37" s="2">
        <f t="shared" si="3"/>
        <v>85.09</v>
      </c>
    </row>
    <row r="38" spans="1:9" x14ac:dyDescent="0.3">
      <c r="A38" t="s">
        <v>70</v>
      </c>
      <c r="B38" s="1" t="s">
        <v>130</v>
      </c>
      <c r="C38" s="2">
        <f>C36*2.54</f>
        <v>76.2</v>
      </c>
      <c r="D38" s="2">
        <f t="shared" si="3"/>
        <v>80.010000000000005</v>
      </c>
      <c r="E38" s="2">
        <f t="shared" si="3"/>
        <v>82.55</v>
      </c>
      <c r="F38" s="2">
        <f t="shared" si="3"/>
        <v>85.09</v>
      </c>
      <c r="G38" s="2">
        <f t="shared" si="3"/>
        <v>86.36</v>
      </c>
      <c r="H38" s="2">
        <f t="shared" si="3"/>
        <v>88.9</v>
      </c>
    </row>
    <row r="39" spans="1:9" x14ac:dyDescent="0.3">
      <c r="A39" t="s">
        <v>31</v>
      </c>
      <c r="B39" s="1" t="s">
        <v>89</v>
      </c>
      <c r="C39" s="2">
        <f>C37/0.46</f>
        <v>154.60869565217391</v>
      </c>
      <c r="D39" s="2">
        <f t="shared" ref="D39:H40" si="4">D37/0.46</f>
        <v>160.13043478260869</v>
      </c>
      <c r="E39" s="2">
        <f t="shared" si="4"/>
        <v>171.17391304347825</v>
      </c>
      <c r="F39" s="2">
        <f t="shared" si="4"/>
        <v>176.69565217391303</v>
      </c>
      <c r="G39" s="2">
        <f t="shared" si="4"/>
        <v>179.45652173913041</v>
      </c>
      <c r="H39" s="2">
        <f t="shared" si="4"/>
        <v>184.97826086956522</v>
      </c>
    </row>
    <row r="40" spans="1:9" x14ac:dyDescent="0.3">
      <c r="A40" t="s">
        <v>32</v>
      </c>
      <c r="B40" s="1"/>
      <c r="C40" s="2">
        <f>C38/0.46</f>
        <v>165.65217391304347</v>
      </c>
      <c r="D40" s="2">
        <f t="shared" si="4"/>
        <v>173.93478260869566</v>
      </c>
      <c r="E40" s="2">
        <f t="shared" si="4"/>
        <v>179.45652173913041</v>
      </c>
      <c r="F40" s="2">
        <f t="shared" si="4"/>
        <v>184.97826086956522</v>
      </c>
      <c r="G40" s="2">
        <f t="shared" si="4"/>
        <v>187.7391304347826</v>
      </c>
      <c r="H40" s="2">
        <f t="shared" si="4"/>
        <v>193.2608695652174</v>
      </c>
    </row>
    <row r="41" spans="1:9" x14ac:dyDescent="0.3">
      <c r="A41" t="s">
        <v>34</v>
      </c>
      <c r="B41" s="1">
        <v>17</v>
      </c>
      <c r="C41" s="2"/>
      <c r="D41" s="2"/>
      <c r="E41" s="2"/>
    </row>
    <row r="42" spans="1:9" x14ac:dyDescent="0.3">
      <c r="A42" t="s">
        <v>35</v>
      </c>
      <c r="B42">
        <v>3</v>
      </c>
      <c r="C42" s="2"/>
      <c r="D42" s="2"/>
      <c r="E42" s="2"/>
    </row>
    <row r="43" spans="1:9" x14ac:dyDescent="0.3">
      <c r="A43" t="s">
        <v>36</v>
      </c>
      <c r="B43">
        <v>3</v>
      </c>
      <c r="C43" s="2"/>
      <c r="D43" s="2"/>
      <c r="E43" s="2"/>
    </row>
    <row r="44" spans="1:9" x14ac:dyDescent="0.3">
      <c r="A44" t="s">
        <v>37</v>
      </c>
      <c r="B44">
        <v>120</v>
      </c>
      <c r="C44" s="2"/>
      <c r="D44" s="2"/>
      <c r="E44" s="2"/>
    </row>
    <row r="45" spans="1:9" x14ac:dyDescent="0.3">
      <c r="A45" t="s">
        <v>38</v>
      </c>
      <c r="B45">
        <v>120</v>
      </c>
    </row>
    <row r="46" spans="1:9" x14ac:dyDescent="0.3">
      <c r="A46" t="s">
        <v>39</v>
      </c>
    </row>
    <row r="47" spans="1:9" x14ac:dyDescent="0.3">
      <c r="A47" t="s">
        <v>40</v>
      </c>
    </row>
    <row r="48" spans="1:9" x14ac:dyDescent="0.3">
      <c r="A48" t="s">
        <v>41</v>
      </c>
      <c r="B48">
        <v>148</v>
      </c>
    </row>
    <row r="49" spans="1:2" x14ac:dyDescent="0.3">
      <c r="A49" t="s">
        <v>42</v>
      </c>
      <c r="B49">
        <v>110</v>
      </c>
    </row>
    <row r="50" spans="1:2" x14ac:dyDescent="0.3">
      <c r="A50" t="s">
        <v>112</v>
      </c>
      <c r="B50">
        <v>44</v>
      </c>
    </row>
    <row r="51" spans="1:2" x14ac:dyDescent="0.3">
      <c r="A51" t="s">
        <v>113</v>
      </c>
      <c r="B51" s="1" t="s">
        <v>126</v>
      </c>
    </row>
    <row r="52" spans="1:2" x14ac:dyDescent="0.3">
      <c r="A52" t="s">
        <v>114</v>
      </c>
      <c r="B52" s="1" t="s">
        <v>127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117</v>
      </c>
    </row>
    <row r="56" spans="1:2" x14ac:dyDescent="0.3">
      <c r="A56" t="s">
        <v>43</v>
      </c>
      <c r="B56" s="1" t="s">
        <v>91</v>
      </c>
    </row>
    <row r="57" spans="1:2" x14ac:dyDescent="0.3">
      <c r="A57" t="s">
        <v>44</v>
      </c>
    </row>
    <row r="58" spans="1:2" x14ac:dyDescent="0.3">
      <c r="A58" t="s">
        <v>45</v>
      </c>
      <c r="B58">
        <v>31.6</v>
      </c>
    </row>
    <row r="59" spans="1:2" x14ac:dyDescent="0.3">
      <c r="A59" t="s">
        <v>54</v>
      </c>
      <c r="B59" s="1" t="s">
        <v>33</v>
      </c>
    </row>
    <row r="60" spans="1:2" x14ac:dyDescent="0.3">
      <c r="A60" t="s">
        <v>46</v>
      </c>
      <c r="B60">
        <v>38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  <c r="B63">
        <v>180</v>
      </c>
    </row>
    <row r="64" spans="1:2" x14ac:dyDescent="0.3">
      <c r="A64" t="s">
        <v>50</v>
      </c>
      <c r="B64" s="1"/>
    </row>
    <row r="65" spans="1:3" x14ac:dyDescent="0.3">
      <c r="A65" t="s">
        <v>51</v>
      </c>
      <c r="B65" s="1" t="s">
        <v>93</v>
      </c>
    </row>
    <row r="66" spans="1:3" x14ac:dyDescent="0.3">
      <c r="A66" t="s">
        <v>52</v>
      </c>
      <c r="B66" s="1" t="s">
        <v>92</v>
      </c>
    </row>
    <row r="67" spans="1:3" x14ac:dyDescent="0.3">
      <c r="A67" t="s">
        <v>53</v>
      </c>
    </row>
    <row r="68" spans="1:3" x14ac:dyDescent="0.3">
      <c r="A68" t="s">
        <v>55</v>
      </c>
      <c r="B68" s="1"/>
    </row>
    <row r="69" spans="1:3" x14ac:dyDescent="0.3">
      <c r="A69" t="s">
        <v>56</v>
      </c>
      <c r="B69">
        <v>2</v>
      </c>
    </row>
    <row r="70" spans="1:3" x14ac:dyDescent="0.3">
      <c r="A70" t="s">
        <v>57</v>
      </c>
      <c r="B70">
        <v>1</v>
      </c>
    </row>
    <row r="71" spans="1:3" x14ac:dyDescent="0.3">
      <c r="A71" t="s">
        <v>58</v>
      </c>
      <c r="B71">
        <v>1</v>
      </c>
    </row>
    <row r="72" spans="1:3" x14ac:dyDescent="0.3">
      <c r="A72" t="s">
        <v>59</v>
      </c>
    </row>
    <row r="73" spans="1:3" x14ac:dyDescent="0.3">
      <c r="A73" t="s">
        <v>60</v>
      </c>
      <c r="B73" s="1" t="s">
        <v>33</v>
      </c>
    </row>
    <row r="74" spans="1:3" x14ac:dyDescent="0.3">
      <c r="A74" t="s">
        <v>61</v>
      </c>
      <c r="B74" s="1" t="s">
        <v>33</v>
      </c>
    </row>
    <row r="75" spans="1:3" x14ac:dyDescent="0.3">
      <c r="A75" t="s">
        <v>62</v>
      </c>
      <c r="B75" s="1" t="s">
        <v>33</v>
      </c>
    </row>
    <row r="76" spans="1:3" x14ac:dyDescent="0.3">
      <c r="A76" t="s">
        <v>63</v>
      </c>
      <c r="B76">
        <v>2649</v>
      </c>
      <c r="C76" s="1" t="s">
        <v>90</v>
      </c>
    </row>
    <row r="77" spans="1:3" x14ac:dyDescent="0.3">
      <c r="A77" t="s">
        <v>64</v>
      </c>
    </row>
    <row r="78" spans="1:3" x14ac:dyDescent="0.3">
      <c r="A78" t="s">
        <v>65</v>
      </c>
    </row>
    <row r="79" spans="1:3" x14ac:dyDescent="0.3">
      <c r="A79" t="s">
        <v>66</v>
      </c>
      <c r="B79" s="1" t="s">
        <v>82</v>
      </c>
    </row>
    <row r="80" spans="1:3" x14ac:dyDescent="0.3">
      <c r="A80" t="s">
        <v>110</v>
      </c>
      <c r="B80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2025-12-07T17:09:11Z</dcterms:modified>
</cp:coreProperties>
</file>