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8E9D684-C0BA-7F4E-B511-41E06798E066}" xr6:coauthVersionLast="47" xr6:coauthVersionMax="47" xr10:uidLastSave="{00000000-0000-0000-0000-000000000000}"/>
  <bookViews>
    <workbookView xWindow="24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I32" i="1"/>
  <c r="D31" i="1"/>
  <c r="E31" i="1"/>
  <c r="F31" i="1"/>
  <c r="G31" i="1"/>
  <c r="H31" i="1"/>
  <c r="I31" i="1"/>
  <c r="C31" i="1"/>
  <c r="I38" i="1"/>
  <c r="C39" i="1"/>
  <c r="D39" i="1"/>
  <c r="E39" i="1"/>
  <c r="F39" i="1"/>
  <c r="G39" i="1"/>
  <c r="H39" i="1"/>
  <c r="I39" i="1"/>
  <c r="D38" i="1"/>
  <c r="E38" i="1"/>
  <c r="F38" i="1"/>
  <c r="G38" i="1"/>
  <c r="H38" i="1"/>
  <c r="C38" i="1"/>
  <c r="C37" i="1"/>
  <c r="D37" i="1"/>
  <c r="E37" i="1"/>
  <c r="F37" i="1"/>
  <c r="G37" i="1"/>
  <c r="H37" i="1"/>
  <c r="I37" i="1"/>
  <c r="D36" i="1"/>
  <c r="E36" i="1"/>
  <c r="F36" i="1"/>
  <c r="G36" i="1"/>
  <c r="H36" i="1"/>
  <c r="I36" i="1"/>
  <c r="C36" i="1"/>
  <c r="D17" i="1"/>
  <c r="E17" i="1"/>
  <c r="F17" i="1"/>
  <c r="G17" i="1"/>
  <c r="H17" i="1"/>
  <c r="I17" i="1"/>
  <c r="C17" i="1"/>
  <c r="D15" i="1"/>
  <c r="E15" i="1"/>
  <c r="F15" i="1"/>
  <c r="G15" i="1"/>
  <c r="H15" i="1"/>
  <c r="I15" i="1"/>
  <c r="C15" i="1"/>
</calcChain>
</file>

<file path=xl/sharedStrings.xml><?xml version="1.0" encoding="utf-8"?>
<sst xmlns="http://schemas.openxmlformats.org/spreadsheetml/2006/main" count="126" uniqueCount="111">
  <si>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</si>
  <si>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</si>
  <si>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</si>
  <si>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</si>
  <si>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</si>
  <si>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</si>
  <si>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</si>
  <si>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</si>
  <si>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</si>
  <si>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</si>
  <si>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</si>
  <si>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</si>
  <si>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</si>
  <si>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</si>
  <si>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</si>
  <si>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</si>
  <si>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</si>
  <si>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</si>
  <si>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</si>
  <si>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</si>
  <si>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</si>
  <si>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</si>
  <si>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</si>
  <si>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</si>
  <si>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</si>
  <si>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</si>
  <si>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</si>
  <si>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</si>
  <si>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</si>
  <si>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</si>
  <si>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</si>
  <si>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</si>
  <si>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</si>
  <si>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</si>
  <si>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</si>
  <si>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</si>
  <si>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</si>
  <si>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</si>
  <si>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</si>
  <si>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</si>
  <si>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</si>
  <si>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</si>
  <si>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</si>
  <si>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</si>
  <si>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</si>
  <si>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</si>
  <si>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</si>
  <si>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</si>
  <si>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</si>
  <si>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</si>
  <si>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</si>
  <si>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</si>
  <si>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</si>
  <si>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</si>
  <si>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</si>
  <si>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</si>
  <si>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</si>
  <si>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</si>
  <si>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</si>
  <si>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</si>
  <si>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</si>
  <si>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</si>
  <si>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</si>
  <si>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</si>
  <si>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</si>
  <si>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</si>
  <si>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</si>
  <si>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</si>
  <si>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</si>
  <si>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</si>
  <si>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</si>
  <si>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</si>
  <si>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</si>
  <si>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</si>
  <si>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</si>
  <si>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</si>
  <si>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</si>
  <si>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</si>
  <si>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</si>
  <si>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</si>
  <si>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</si>
  <si>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</si>
  <si>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</si>
  <si>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</si>
  <si>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</si>
  <si>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</si>
  <si>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</si>
  <si>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</si>
  <si>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</si>
  <si>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</si>
  <si>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</si>
  <si>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</si>
  <si>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</si>
  <si>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</si>
  <si>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</si>
  <si>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</si>
  <si>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</si>
  <si>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Inseam Length</t>
  </si>
  <si>
    <t>28-30</t>
  </si>
  <si>
    <t>29-31</t>
  </si>
  <si>
    <t>29-31.5</t>
  </si>
  <si>
    <t>31-32.5</t>
  </si>
  <si>
    <t>32-33.5</t>
  </si>
  <si>
    <t>32.5-34</t>
  </si>
  <si>
    <t>33.5+</t>
  </si>
  <si>
    <t>455-472</t>
  </si>
  <si>
    <t>44-51</t>
  </si>
  <si>
    <t>Kinetik (short)</t>
  </si>
  <si>
    <t>https://binarybicycles.com/product/kinetik-titanium-expedition-frame/</t>
  </si>
  <si>
    <t>flat bar</t>
  </si>
  <si>
    <t>a8:i32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</si>
</sst>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topLeftCell="A21" zoomScaleNormal="100" workbookViewId="0">
      <selection activeCell="B41" sqref="B41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108</v>
      </c>
    </row>
    <row r="7" spans="1:22" x14ac:dyDescent="0.3">
      <c r="A7" t="s">
        <v>6</v>
      </c>
      <c r="B7" s="1" t="s">
        <v>110</v>
      </c>
    </row>
    <row r="8" spans="1:22" x14ac:dyDescent="0.3">
      <c r="A8" t="s">
        <v>7</v>
      </c>
      <c r="B8" s="1" t="s">
        <v>74</v>
      </c>
      <c r="C8" s="6">
        <v>15.5</v>
      </c>
      <c r="D8" s="6">
        <v>16</v>
      </c>
      <c r="E8" s="7">
        <v>17</v>
      </c>
      <c r="F8" s="7">
        <v>18</v>
      </c>
      <c r="G8" s="7">
        <v>19</v>
      </c>
      <c r="H8" s="7">
        <v>20</v>
      </c>
      <c r="I8" s="2">
        <v>21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595</v>
      </c>
      <c r="D9" s="6">
        <v>600</v>
      </c>
      <c r="E9" s="6">
        <v>609</v>
      </c>
      <c r="F9" s="6">
        <v>613</v>
      </c>
      <c r="G9" s="6">
        <v>625</v>
      </c>
      <c r="H9">
        <v>638</v>
      </c>
      <c r="I9" s="3">
        <v>651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390</v>
      </c>
      <c r="D10" s="6">
        <v>410</v>
      </c>
      <c r="E10" s="6">
        <v>415</v>
      </c>
      <c r="F10" s="6">
        <v>420</v>
      </c>
      <c r="G10" s="6">
        <v>440</v>
      </c>
      <c r="H10">
        <v>480</v>
      </c>
      <c r="I10" s="3">
        <v>508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H11">
        <v>74.5</v>
      </c>
      <c r="I11" s="3">
        <v>74.5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100</v>
      </c>
      <c r="E12" s="6">
        <v>100</v>
      </c>
      <c r="F12" s="6">
        <v>110</v>
      </c>
      <c r="G12" s="6">
        <v>130</v>
      </c>
      <c r="H12" s="6">
        <v>145</v>
      </c>
      <c r="I12" s="6">
        <v>160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67</v>
      </c>
      <c r="D13" s="6">
        <v>67</v>
      </c>
      <c r="E13" s="6">
        <v>67</v>
      </c>
      <c r="F13" s="6">
        <v>67</v>
      </c>
      <c r="G13" s="6">
        <v>67</v>
      </c>
      <c r="H13">
        <v>67</v>
      </c>
      <c r="I13" s="3">
        <v>67</v>
      </c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65</v>
      </c>
      <c r="D14">
        <v>65</v>
      </c>
      <c r="E14">
        <v>60</v>
      </c>
      <c r="F14">
        <v>60</v>
      </c>
      <c r="G14">
        <v>60</v>
      </c>
      <c r="H14">
        <v>60</v>
      </c>
      <c r="I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VALUE(LEFT(J15,3))</f>
        <v>455</v>
      </c>
      <c r="D15">
        <f t="shared" ref="D15:I15" si="0">VALUE(LEFT(K15,3))</f>
        <v>455</v>
      </c>
      <c r="E15">
        <f t="shared" si="0"/>
        <v>455</v>
      </c>
      <c r="F15">
        <f t="shared" si="0"/>
        <v>455</v>
      </c>
      <c r="G15">
        <f t="shared" si="0"/>
        <v>455</v>
      </c>
      <c r="H15">
        <f t="shared" si="0"/>
        <v>455</v>
      </c>
      <c r="I15">
        <f t="shared" si="0"/>
        <v>455</v>
      </c>
      <c r="J15" t="s">
        <v>105</v>
      </c>
      <c r="K15" t="s">
        <v>105</v>
      </c>
      <c r="L15" t="s">
        <v>105</v>
      </c>
      <c r="M15" t="s">
        <v>105</v>
      </c>
      <c r="N15" s="6" t="s">
        <v>105</v>
      </c>
      <c r="O15" s="6" t="s">
        <v>105</v>
      </c>
      <c r="P15" s="6" t="s">
        <v>105</v>
      </c>
    </row>
    <row r="16" spans="1:22" x14ac:dyDescent="0.3">
      <c r="A16" t="s">
        <v>22</v>
      </c>
      <c r="B16" s="7" t="s">
        <v>88</v>
      </c>
      <c r="C16">
        <v>512</v>
      </c>
      <c r="D16">
        <v>512</v>
      </c>
      <c r="E16">
        <v>512</v>
      </c>
      <c r="F16">
        <v>512</v>
      </c>
      <c r="G16" s="6">
        <v>512</v>
      </c>
      <c r="H16" s="6">
        <v>512</v>
      </c>
      <c r="I16" s="6">
        <v>512</v>
      </c>
      <c r="J16" s="6"/>
    </row>
    <row r="17" spans="1:16" x14ac:dyDescent="0.3">
      <c r="A17" t="s">
        <v>16</v>
      </c>
      <c r="B17" s="7" t="s">
        <v>89</v>
      </c>
      <c r="C17">
        <f>VALUE(LEFT(J17,2))</f>
        <v>44</v>
      </c>
      <c r="D17">
        <f t="shared" ref="D17:I17" si="1">VALUE(LEFT(K17,2))</f>
        <v>44</v>
      </c>
      <c r="E17">
        <f t="shared" si="1"/>
        <v>44</v>
      </c>
      <c r="F17">
        <f t="shared" si="1"/>
        <v>44</v>
      </c>
      <c r="G17">
        <f t="shared" si="1"/>
        <v>44</v>
      </c>
      <c r="H17">
        <f t="shared" si="1"/>
        <v>44</v>
      </c>
      <c r="I17">
        <f t="shared" si="1"/>
        <v>44</v>
      </c>
      <c r="J17" s="6" t="s">
        <v>106</v>
      </c>
      <c r="K17" s="6" t="s">
        <v>106</v>
      </c>
      <c r="L17" s="6" t="s">
        <v>106</v>
      </c>
      <c r="M17" s="6" t="s">
        <v>106</v>
      </c>
      <c r="N17" s="6" t="s">
        <v>106</v>
      </c>
      <c r="O17" t="s">
        <v>106</v>
      </c>
      <c r="P17" s="2" t="s">
        <v>106</v>
      </c>
    </row>
    <row r="18" spans="1:16" x14ac:dyDescent="0.3">
      <c r="A18" t="s">
        <v>18</v>
      </c>
      <c r="B18" s="7" t="s">
        <v>80</v>
      </c>
      <c r="C18">
        <v>1149</v>
      </c>
      <c r="D18">
        <v>1154</v>
      </c>
      <c r="E18">
        <v>1167</v>
      </c>
      <c r="F18">
        <v>1171</v>
      </c>
      <c r="G18">
        <v>1187</v>
      </c>
      <c r="H18">
        <v>1208</v>
      </c>
      <c r="I18">
        <v>1223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611</v>
      </c>
      <c r="D19">
        <v>611</v>
      </c>
      <c r="E19">
        <v>616</v>
      </c>
      <c r="F19">
        <v>625</v>
      </c>
      <c r="G19">
        <v>643</v>
      </c>
      <c r="H19">
        <v>657</v>
      </c>
      <c r="I19">
        <v>671</v>
      </c>
    </row>
    <row r="20" spans="1:16" x14ac:dyDescent="0.3">
      <c r="A20" t="s">
        <v>20</v>
      </c>
      <c r="B20" s="7" t="s">
        <v>75</v>
      </c>
      <c r="C20">
        <v>419</v>
      </c>
      <c r="D20">
        <v>424</v>
      </c>
      <c r="E20">
        <v>433</v>
      </c>
      <c r="F20">
        <v>434</v>
      </c>
      <c r="G20">
        <v>440</v>
      </c>
      <c r="H20">
        <v>456</v>
      </c>
      <c r="I20">
        <v>465</v>
      </c>
    </row>
    <row r="21" spans="1:16" x14ac:dyDescent="0.3">
      <c r="A21" s="1" t="s">
        <v>83</v>
      </c>
      <c r="B21" s="1" t="s">
        <v>96</v>
      </c>
      <c r="C21">
        <v>702</v>
      </c>
      <c r="D21" s="8">
        <v>707</v>
      </c>
      <c r="E21">
        <v>719</v>
      </c>
      <c r="F21">
        <v>724</v>
      </c>
      <c r="G21">
        <v>738</v>
      </c>
      <c r="H21">
        <v>759</v>
      </c>
      <c r="I21">
        <v>774</v>
      </c>
    </row>
    <row r="22" spans="1:16" x14ac:dyDescent="0.3">
      <c r="A22" t="s">
        <v>19</v>
      </c>
      <c r="B22" t="s">
        <v>90</v>
      </c>
      <c r="C22">
        <v>771</v>
      </c>
      <c r="D22">
        <v>781</v>
      </c>
      <c r="E22">
        <v>792</v>
      </c>
      <c r="F22">
        <v>821</v>
      </c>
      <c r="G22">
        <v>840</v>
      </c>
      <c r="H22">
        <v>867</v>
      </c>
      <c r="I22" s="2">
        <v>887</v>
      </c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H24">
        <v>2550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 s="3"/>
      <c r="K30" s="3"/>
      <c r="L30" s="3"/>
      <c r="M30" s="3"/>
      <c r="N30" s="3"/>
    </row>
    <row r="31" spans="1:16" x14ac:dyDescent="0.3">
      <c r="A31" t="s">
        <v>28</v>
      </c>
      <c r="C31" s="9">
        <f>C38</f>
        <v>154.60869565217391</v>
      </c>
      <c r="D31" s="9">
        <f t="shared" ref="D31:I32" si="2">D38</f>
        <v>160.13043478260869</v>
      </c>
      <c r="E31" s="9">
        <f t="shared" si="2"/>
        <v>160.13043478260869</v>
      </c>
      <c r="F31" s="9">
        <f t="shared" si="2"/>
        <v>171.17391304347825</v>
      </c>
      <c r="G31" s="9">
        <f t="shared" si="2"/>
        <v>176.69565217391303</v>
      </c>
      <c r="H31" s="9">
        <f t="shared" si="2"/>
        <v>179.45652173913041</v>
      </c>
      <c r="I31" s="9">
        <f t="shared" si="2"/>
        <v>184.97826086956522</v>
      </c>
      <c r="J31" s="3"/>
      <c r="K31" s="3"/>
      <c r="L31" s="3"/>
      <c r="M31" s="3"/>
      <c r="N31" s="3"/>
    </row>
    <row r="32" spans="1:16" x14ac:dyDescent="0.3">
      <c r="A32" t="s">
        <v>29</v>
      </c>
      <c r="C32" s="9">
        <f>C39</f>
        <v>165.65217391304347</v>
      </c>
      <c r="D32" s="9">
        <f t="shared" si="2"/>
        <v>171.17391304347825</v>
      </c>
      <c r="E32" s="9">
        <f t="shared" si="2"/>
        <v>173.93478260869566</v>
      </c>
      <c r="F32" s="9">
        <f t="shared" si="2"/>
        <v>179.45652173913041</v>
      </c>
      <c r="G32" s="9">
        <f t="shared" si="2"/>
        <v>184.97826086956522</v>
      </c>
      <c r="H32" s="9">
        <f t="shared" si="2"/>
        <v>187.7391304347826</v>
      </c>
      <c r="I32" s="9">
        <f t="shared" si="2"/>
        <v>193.2608695652174</v>
      </c>
      <c r="J32" s="3"/>
    </row>
    <row r="33" spans="1:10" x14ac:dyDescent="0.3">
      <c r="C33" s="6" t="s">
        <v>98</v>
      </c>
      <c r="D33" s="6" t="s">
        <v>99</v>
      </c>
      <c r="E33" s="6" t="s">
        <v>100</v>
      </c>
      <c r="F33" s="6" t="s">
        <v>101</v>
      </c>
      <c r="G33" s="6" t="s">
        <v>102</v>
      </c>
      <c r="H33" t="s">
        <v>103</v>
      </c>
      <c r="I33" t="s">
        <v>104</v>
      </c>
      <c r="J33" s="7" t="s">
        <v>97</v>
      </c>
    </row>
    <row r="34" spans="1:10" x14ac:dyDescent="0.3">
      <c r="A34" t="s">
        <v>30</v>
      </c>
      <c r="B34" t="s">
        <v>31</v>
      </c>
      <c r="C34" s="2">
        <v>28</v>
      </c>
      <c r="D34" s="2">
        <v>29</v>
      </c>
      <c r="E34" s="2">
        <v>29</v>
      </c>
      <c r="F34" s="1">
        <v>31</v>
      </c>
      <c r="G34" s="2">
        <v>32</v>
      </c>
      <c r="H34" s="2">
        <v>32.5</v>
      </c>
      <c r="I34" s="2">
        <v>33.5</v>
      </c>
    </row>
    <row r="35" spans="1:10" x14ac:dyDescent="0.3">
      <c r="A35" t="s">
        <v>68</v>
      </c>
      <c r="B35" t="s">
        <v>69</v>
      </c>
      <c r="C35" s="2">
        <v>30</v>
      </c>
      <c r="D35" s="2">
        <v>31</v>
      </c>
      <c r="E35" s="2">
        <v>31.5</v>
      </c>
      <c r="F35" s="2">
        <v>32.5</v>
      </c>
      <c r="G35" s="2">
        <v>33.5</v>
      </c>
      <c r="H35" s="2">
        <v>34</v>
      </c>
      <c r="I35" s="2">
        <v>35</v>
      </c>
    </row>
    <row r="36" spans="1:10" x14ac:dyDescent="0.3">
      <c r="A36" t="s">
        <v>70</v>
      </c>
      <c r="B36" s="1" t="s">
        <v>109</v>
      </c>
      <c r="C36" s="2">
        <f>C34*2.54</f>
        <v>71.12</v>
      </c>
      <c r="D36" s="2">
        <f t="shared" ref="D36:I37" si="3">D34*2.54</f>
        <v>73.66</v>
      </c>
      <c r="E36" s="2">
        <f t="shared" si="3"/>
        <v>73.66</v>
      </c>
      <c r="F36" s="2">
        <f t="shared" si="3"/>
        <v>78.739999999999995</v>
      </c>
      <c r="G36" s="2">
        <f t="shared" si="3"/>
        <v>81.28</v>
      </c>
      <c r="H36" s="2">
        <f t="shared" si="3"/>
        <v>82.55</v>
      </c>
      <c r="I36" s="2">
        <f t="shared" si="3"/>
        <v>85.09</v>
      </c>
    </row>
    <row r="37" spans="1:10" x14ac:dyDescent="0.3">
      <c r="A37" t="s">
        <v>71</v>
      </c>
      <c r="B37" s="1" t="s">
        <v>73</v>
      </c>
      <c r="C37" s="2">
        <f>C35*2.54</f>
        <v>76.2</v>
      </c>
      <c r="D37" s="2">
        <f t="shared" si="3"/>
        <v>78.739999999999995</v>
      </c>
      <c r="E37" s="2">
        <f t="shared" si="3"/>
        <v>80.010000000000005</v>
      </c>
      <c r="F37" s="2">
        <f t="shared" si="3"/>
        <v>82.55</v>
      </c>
      <c r="G37" s="2">
        <f t="shared" si="3"/>
        <v>85.09</v>
      </c>
      <c r="H37" s="2">
        <f t="shared" si="3"/>
        <v>86.36</v>
      </c>
      <c r="I37" s="2">
        <f t="shared" si="3"/>
        <v>88.9</v>
      </c>
    </row>
    <row r="38" spans="1:10" x14ac:dyDescent="0.3">
      <c r="A38" t="s">
        <v>32</v>
      </c>
      <c r="B38" s="1" t="s">
        <v>91</v>
      </c>
      <c r="C38" s="2">
        <f>C36/0.46</f>
        <v>154.60869565217391</v>
      </c>
      <c r="D38" s="2">
        <f t="shared" ref="D38:I39" si="4">D36/0.46</f>
        <v>160.13043478260869</v>
      </c>
      <c r="E38" s="2">
        <f t="shared" si="4"/>
        <v>160.13043478260869</v>
      </c>
      <c r="F38" s="2">
        <f t="shared" si="4"/>
        <v>171.17391304347825</v>
      </c>
      <c r="G38" s="2">
        <f t="shared" si="4"/>
        <v>176.69565217391303</v>
      </c>
      <c r="H38" s="2">
        <f t="shared" si="4"/>
        <v>179.45652173913041</v>
      </c>
      <c r="I38" s="2">
        <f>I36/0.46</f>
        <v>184.97826086956522</v>
      </c>
    </row>
    <row r="39" spans="1:10" x14ac:dyDescent="0.3">
      <c r="A39" t="s">
        <v>33</v>
      </c>
      <c r="B39" s="1"/>
      <c r="C39" s="2">
        <f>C37/0.46</f>
        <v>165.65217391304347</v>
      </c>
      <c r="D39" s="2">
        <f t="shared" si="4"/>
        <v>171.17391304347825</v>
      </c>
      <c r="E39" s="2">
        <f t="shared" si="4"/>
        <v>173.93478260869566</v>
      </c>
      <c r="F39" s="2">
        <f t="shared" si="4"/>
        <v>179.45652173913041</v>
      </c>
      <c r="G39" s="2">
        <f t="shared" si="4"/>
        <v>184.97826086956522</v>
      </c>
      <c r="H39" s="2">
        <f t="shared" si="4"/>
        <v>187.7391304347826</v>
      </c>
      <c r="I39" s="2">
        <f t="shared" si="4"/>
        <v>193.2608695652174</v>
      </c>
    </row>
    <row r="40" spans="1:10" x14ac:dyDescent="0.3">
      <c r="A40" t="s">
        <v>35</v>
      </c>
      <c r="B40" s="1">
        <v>17</v>
      </c>
      <c r="C40" s="2"/>
      <c r="D40" s="2"/>
      <c r="E40" s="2"/>
    </row>
    <row r="41" spans="1:10" x14ac:dyDescent="0.3">
      <c r="A41" t="s">
        <v>36</v>
      </c>
      <c r="B41">
        <v>3</v>
      </c>
      <c r="C41" s="2"/>
      <c r="D41" s="2"/>
      <c r="E41" s="2"/>
    </row>
    <row r="42" spans="1:10" x14ac:dyDescent="0.3">
      <c r="A42" t="s">
        <v>37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  <c r="B64">
        <v>1</v>
      </c>
    </row>
    <row r="65" spans="1:3" x14ac:dyDescent="0.3">
      <c r="A65" t="s">
        <v>60</v>
      </c>
    </row>
    <row r="66" spans="1:3" x14ac:dyDescent="0.3">
      <c r="A66" t="s">
        <v>61</v>
      </c>
      <c r="B66" s="1" t="s">
        <v>34</v>
      </c>
    </row>
    <row r="67" spans="1:3" x14ac:dyDescent="0.3">
      <c r="A67" t="s">
        <v>62</v>
      </c>
      <c r="B67" s="1" t="s">
        <v>34</v>
      </c>
    </row>
    <row r="68" spans="1:3" x14ac:dyDescent="0.3">
      <c r="A68" t="s">
        <v>63</v>
      </c>
      <c r="B68" s="1" t="s">
        <v>34</v>
      </c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2025-09-30T00:28:45Z</dcterms:modified>
</cp:coreProperties>
</file>