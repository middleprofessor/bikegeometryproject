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6057ECD-E3AB-9E4F-A69B-15DFA7681B2B}" xr6:coauthVersionLast="47" xr6:coauthVersionMax="47" xr10:uidLastSave="{00000000-0000-0000-0000-000000000000}"/>
  <bookViews>
    <workbookView xWindow="33480" yWindow="-2420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E19" i="1"/>
  <c r="F19" i="1"/>
  <c r="G19" i="1"/>
  <c r="C19" i="1"/>
  <c r="K29" i="1"/>
  <c r="B39" i="1"/>
</calcChain>
</file>

<file path=xl/sharedStrings.xml><?xml version="1.0" encoding="utf-8"?>
<sst xmlns="http://schemas.openxmlformats.org/spreadsheetml/2006/main" count="105" uniqueCount="98">
  <si>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</si>
  <si>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</si>
  <si>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</si>
  <si>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</si>
  <si>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</si>
  <si>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</si>
  <si>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</si>
  <si>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</si>
  <si>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</si>
  <si>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</si>
  <si>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</si>
  <si>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</si>
  <si>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</si>
  <si>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</si>
  <si>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</si>
  <si>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</si>
  <si>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</si>
  <si>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</si>
  <si>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</si>
  <si>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</si>
  <si>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</si>
  <si>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</si>
  <si>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</si>
  <si>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</si>
  <si>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</si>
  <si>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</si>
  <si>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</si>
  <si>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</si>
  <si>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</si>
  <si>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</si>
  <si>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</si>
  <si>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</si>
  <si>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</si>
  <si>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</si>
  <si>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</si>
  <si>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</si>
  <si>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</si>
  <si>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</si>
  <si>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</si>
  <si>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</si>
  <si>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</si>
  <si>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</si>
  <si>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</si>
  <si>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</si>
  <si>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</si>
  <si>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</si>
  <si>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</si>
  <si>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</si>
  <si>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</si>
  <si>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</si>
  <si>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</si>
  <si>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</si>
  <si>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</si>
  <si>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</si>
  <si>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</si>
  <si>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</si>
  <si>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</si>
  <si>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</si>
  <si>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</si>
  <si>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</si>
  <si>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</si>
  <si>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</si>
  <si>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</si>
  <si>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</si>
  <si>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</si>
  <si>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</si>
  <si>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</si>
  <si>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</si>
  <si>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</si>
  <si>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</si>
  <si>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</si>
  <si>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</si>
  <si>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</si>
  <si>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</si>
  <si>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Tumalo</t>
  </si>
  <si>
    <t>Co-Motion</t>
  </si>
  <si>
    <t>Frame Size</t>
  </si>
  <si>
    <t>A - Top Tube (cm)</t>
  </si>
  <si>
    <t>B - Seat Tube (cm)</t>
  </si>
  <si>
    <t>C - Head Tube (mm)</t>
  </si>
  <si>
    <t>D - Chainstay (mm)</t>
  </si>
  <si>
    <t>E - Seat Tube Angle</t>
  </si>
  <si>
    <t>F - Fork Span (mm)</t>
  </si>
  <si>
    <t>G - Head Tube Angle</t>
  </si>
  <si>
    <t>H - Fork Rake (mm)</t>
  </si>
  <si>
    <t>I - BB Drop (mm)</t>
  </si>
  <si>
    <t>J - Standover (cm)</t>
  </si>
  <si>
    <t>K - Wheelbase (cm)</t>
  </si>
  <si>
    <t>L - Stack (mm)</t>
  </si>
  <si>
    <t>M - Reach (mm)</t>
  </si>
  <si>
    <t>XS</t>
  </si>
  <si>
    <t>S</t>
  </si>
  <si>
    <t>M</t>
  </si>
  <si>
    <t>L</t>
  </si>
  <si>
    <t>XL</t>
  </si>
  <si>
    <t>https://co-motion.com/collections/single-bikes/products/tumalo</t>
  </si>
  <si>
    <t>steel</t>
  </si>
  <si>
    <t>a8:g30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</si>
</sst>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"/>
  <sheetViews>
    <sheetView tabSelected="1" topLeftCell="A27" zoomScale="95" workbookViewId="0">
      <selection activeCell="B50" sqref="B50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75</v>
      </c>
    </row>
    <row r="2" spans="1:7" x14ac:dyDescent="0.3">
      <c r="A2" s="1" t="s">
        <v>1</v>
      </c>
      <c r="B2" s="1" t="s">
        <v>74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95</v>
      </c>
    </row>
    <row r="7" spans="1:7" x14ac:dyDescent="0.3">
      <c r="A7" s="1" t="s">
        <v>5</v>
      </c>
      <c r="B7" s="1" t="s">
        <v>97</v>
      </c>
    </row>
    <row r="8" spans="1:7" x14ac:dyDescent="0.3">
      <c r="A8" s="1" t="s">
        <v>6</v>
      </c>
      <c r="B8" s="3" t="s">
        <v>76</v>
      </c>
      <c r="C8" s="1" t="s">
        <v>90</v>
      </c>
      <c r="D8" s="1" t="s">
        <v>91</v>
      </c>
      <c r="E8" s="1" t="s">
        <v>92</v>
      </c>
      <c r="F8" s="1" t="s">
        <v>93</v>
      </c>
      <c r="G8" s="1" t="s">
        <v>94</v>
      </c>
    </row>
    <row r="9" spans="1:7" x14ac:dyDescent="0.3">
      <c r="A9" s="1" t="s">
        <v>7</v>
      </c>
      <c r="B9" s="4" t="s">
        <v>77</v>
      </c>
      <c r="C9" s="1">
        <v>525</v>
      </c>
      <c r="D9" s="1">
        <v>545</v>
      </c>
      <c r="E9" s="1">
        <v>560</v>
      </c>
      <c r="F9" s="1">
        <v>590</v>
      </c>
      <c r="G9" s="1">
        <v>620</v>
      </c>
    </row>
    <row r="10" spans="1:7" x14ac:dyDescent="0.3">
      <c r="A10" s="1" t="s">
        <v>11</v>
      </c>
      <c r="B10" s="4" t="s">
        <v>78</v>
      </c>
      <c r="C10" s="1">
        <v>405</v>
      </c>
      <c r="D10" s="1">
        <v>430</v>
      </c>
      <c r="E10" s="1">
        <v>460</v>
      </c>
      <c r="F10" s="1">
        <v>490</v>
      </c>
      <c r="G10" s="1">
        <v>520</v>
      </c>
    </row>
    <row r="11" spans="1:7" x14ac:dyDescent="0.3">
      <c r="A11" s="1" t="s">
        <v>9</v>
      </c>
      <c r="B11" s="4" t="s">
        <v>79</v>
      </c>
      <c r="C11" s="1">
        <v>110</v>
      </c>
      <c r="D11" s="1">
        <v>115</v>
      </c>
      <c r="E11" s="1">
        <v>125</v>
      </c>
      <c r="F11" s="1">
        <v>145</v>
      </c>
      <c r="G11" s="1">
        <v>165</v>
      </c>
    </row>
    <row r="12" spans="1:7" x14ac:dyDescent="0.3">
      <c r="A12" s="1" t="s">
        <v>12</v>
      </c>
      <c r="B12" s="4" t="s">
        <v>80</v>
      </c>
      <c r="C12" s="1">
        <v>460</v>
      </c>
      <c r="D12" s="1">
        <v>460</v>
      </c>
      <c r="E12" s="1">
        <v>460</v>
      </c>
      <c r="F12" s="1">
        <v>460</v>
      </c>
      <c r="G12" s="1">
        <v>460</v>
      </c>
    </row>
    <row r="13" spans="1:7" x14ac:dyDescent="0.3">
      <c r="A13" s="1" t="s">
        <v>10</v>
      </c>
      <c r="B13" s="4" t="s">
        <v>81</v>
      </c>
      <c r="C13" s="1">
        <v>75</v>
      </c>
      <c r="D13" s="1">
        <v>74</v>
      </c>
      <c r="E13" s="1">
        <v>73.5</v>
      </c>
      <c r="F13" s="1">
        <v>73</v>
      </c>
      <c r="G13" s="1">
        <v>72.5</v>
      </c>
    </row>
    <row r="14" spans="1:7" x14ac:dyDescent="0.3">
      <c r="A14" s="1" t="s">
        <v>19</v>
      </c>
      <c r="B14" s="4" t="s">
        <v>82</v>
      </c>
      <c r="C14" s="1">
        <v>485</v>
      </c>
      <c r="D14" s="1">
        <v>485</v>
      </c>
      <c r="E14" s="1">
        <v>485</v>
      </c>
      <c r="F14" s="1">
        <v>485</v>
      </c>
      <c r="G14" s="1">
        <v>485</v>
      </c>
    </row>
    <row r="15" spans="1:7" x14ac:dyDescent="0.3">
      <c r="A15" s="1" t="s">
        <v>8</v>
      </c>
      <c r="B15" s="4" t="s">
        <v>83</v>
      </c>
      <c r="C15" s="1">
        <v>68</v>
      </c>
      <c r="D15" s="1">
        <v>68.5</v>
      </c>
      <c r="E15" s="1">
        <v>69</v>
      </c>
      <c r="F15" s="1">
        <v>69</v>
      </c>
      <c r="G15" s="1">
        <v>69</v>
      </c>
    </row>
    <row r="16" spans="1:7" x14ac:dyDescent="0.3">
      <c r="A16" s="1" t="s">
        <v>18</v>
      </c>
      <c r="B16" s="4" t="s">
        <v>84</v>
      </c>
      <c r="C16" s="1">
        <v>51</v>
      </c>
      <c r="D16" s="1">
        <v>51</v>
      </c>
      <c r="E16" s="1">
        <v>51</v>
      </c>
      <c r="F16" s="1">
        <v>51</v>
      </c>
      <c r="G16" s="1">
        <v>51</v>
      </c>
    </row>
    <row r="17" spans="1:12" x14ac:dyDescent="0.3">
      <c r="A17" s="1" t="s">
        <v>13</v>
      </c>
      <c r="B17" s="4" t="s">
        <v>85</v>
      </c>
      <c r="C17" s="1">
        <v>77</v>
      </c>
      <c r="D17" s="1">
        <v>77</v>
      </c>
      <c r="E17" s="1">
        <v>77</v>
      </c>
      <c r="F17" s="1">
        <v>77</v>
      </c>
      <c r="G17" s="1">
        <v>77</v>
      </c>
    </row>
    <row r="18" spans="1:12" x14ac:dyDescent="0.3">
      <c r="A18" s="1" t="s">
        <v>15</v>
      </c>
      <c r="B18" s="4" t="s">
        <v>86</v>
      </c>
      <c r="C18" s="1">
        <v>72.900000000000006</v>
      </c>
      <c r="D18" s="1">
        <v>74.900000000000006</v>
      </c>
      <c r="E18" s="1">
        <v>77.3</v>
      </c>
      <c r="F18" s="1">
        <v>79.099999999999994</v>
      </c>
      <c r="G18" s="1">
        <v>82.1</v>
      </c>
    </row>
    <row r="19" spans="1:12" x14ac:dyDescent="0.3">
      <c r="A19" s="1" t="s">
        <v>14</v>
      </c>
      <c r="B19" s="4" t="s">
        <v>87</v>
      </c>
      <c r="C19" s="1">
        <f>H19*10</f>
        <v>1087</v>
      </c>
      <c r="D19" s="1">
        <f t="shared" ref="D19:G19" si="0">I19*10</f>
        <v>1091</v>
      </c>
      <c r="E19" s="1">
        <f t="shared" si="0"/>
        <v>1096</v>
      </c>
      <c r="F19" s="1">
        <f t="shared" si="0"/>
        <v>1121</v>
      </c>
      <c r="G19" s="1">
        <f t="shared" si="0"/>
        <v>1146</v>
      </c>
      <c r="H19" s="1">
        <v>108.7</v>
      </c>
      <c r="I19" s="1">
        <v>109.1</v>
      </c>
      <c r="J19" s="1">
        <v>109.6</v>
      </c>
      <c r="K19" s="1">
        <v>112.1</v>
      </c>
      <c r="L19" s="1">
        <v>114.6</v>
      </c>
    </row>
    <row r="20" spans="1:12" x14ac:dyDescent="0.3">
      <c r="A20" s="1" t="s">
        <v>17</v>
      </c>
      <c r="B20" s="4" t="s">
        <v>88</v>
      </c>
      <c r="C20" s="1">
        <v>613</v>
      </c>
      <c r="D20" s="1">
        <v>620</v>
      </c>
      <c r="E20" s="1">
        <v>632</v>
      </c>
      <c r="F20" s="1">
        <v>651</v>
      </c>
      <c r="G20" s="1">
        <v>669</v>
      </c>
    </row>
    <row r="21" spans="1:12" x14ac:dyDescent="0.3">
      <c r="A21" s="1" t="s">
        <v>16</v>
      </c>
      <c r="B21" s="4" t="s">
        <v>89</v>
      </c>
      <c r="C21" s="1">
        <v>361</v>
      </c>
      <c r="D21" s="1">
        <v>368</v>
      </c>
      <c r="E21" s="1">
        <v>374</v>
      </c>
      <c r="F21" s="1">
        <v>393</v>
      </c>
      <c r="G21" s="1">
        <v>410</v>
      </c>
    </row>
    <row r="22" spans="1:12" x14ac:dyDescent="0.3">
      <c r="A22" s="1" t="s">
        <v>20</v>
      </c>
      <c r="B22" s="1" t="s">
        <v>20</v>
      </c>
    </row>
    <row r="23" spans="1:12" x14ac:dyDescent="0.3">
      <c r="A23" s="1" t="s">
        <v>21</v>
      </c>
      <c r="B23" s="1" t="s">
        <v>21</v>
      </c>
    </row>
    <row r="24" spans="1:12" x14ac:dyDescent="0.3">
      <c r="A24" s="1" t="s">
        <v>22</v>
      </c>
      <c r="B24" s="1" t="s">
        <v>22</v>
      </c>
    </row>
    <row r="25" spans="1:12" x14ac:dyDescent="0.3">
      <c r="A25" s="1" t="s">
        <v>23</v>
      </c>
    </row>
    <row r="26" spans="1:12" x14ac:dyDescent="0.3">
      <c r="A26" s="1" t="s">
        <v>24</v>
      </c>
      <c r="B26" s="1" t="s">
        <v>24</v>
      </c>
      <c r="C26" s="1">
        <v>700</v>
      </c>
      <c r="D26" s="1">
        <v>700</v>
      </c>
      <c r="E26" s="1">
        <v>700</v>
      </c>
      <c r="F26" s="1">
        <v>700</v>
      </c>
      <c r="G26" s="1">
        <v>700</v>
      </c>
    </row>
    <row r="27" spans="1:12" x14ac:dyDescent="0.3">
      <c r="A27" s="1" t="s">
        <v>25</v>
      </c>
      <c r="B27" s="1" t="s">
        <v>25</v>
      </c>
      <c r="C27" s="1">
        <v>61</v>
      </c>
      <c r="D27" s="1">
        <v>61</v>
      </c>
      <c r="E27" s="1">
        <v>61</v>
      </c>
      <c r="F27" s="1">
        <v>61</v>
      </c>
      <c r="G27" s="1">
        <v>61</v>
      </c>
    </row>
    <row r="28" spans="1:12" x14ac:dyDescent="0.3">
      <c r="A28" s="1" t="s">
        <v>26</v>
      </c>
      <c r="B28" s="1" t="s">
        <v>26</v>
      </c>
      <c r="C28" s="1">
        <v>76</v>
      </c>
      <c r="D28" s="1">
        <v>76</v>
      </c>
      <c r="E28" s="1">
        <v>76</v>
      </c>
      <c r="F28" s="1">
        <v>76</v>
      </c>
      <c r="G28" s="1">
        <v>76</v>
      </c>
    </row>
    <row r="29" spans="1:12" x14ac:dyDescent="0.3">
      <c r="A29" s="1" t="s">
        <v>27</v>
      </c>
      <c r="K29" s="1">
        <f>507-0.25*100</f>
        <v>482</v>
      </c>
    </row>
    <row r="30" spans="1:12" x14ac:dyDescent="0.3">
      <c r="A30" s="1" t="s">
        <v>28</v>
      </c>
    </row>
    <row r="32" spans="1:12" x14ac:dyDescent="0.3">
      <c r="A32" s="1" t="s">
        <v>29</v>
      </c>
      <c r="B32" s="1" t="s">
        <v>30</v>
      </c>
    </row>
    <row r="33" spans="1:2" x14ac:dyDescent="0.3">
      <c r="A33" s="1" t="s">
        <v>66</v>
      </c>
      <c r="B33" s="1" t="s">
        <v>67</v>
      </c>
    </row>
    <row r="34" spans="1:2" x14ac:dyDescent="0.3">
      <c r="A34" s="1" t="s">
        <v>68</v>
      </c>
      <c r="B34" s="1" t="s">
        <v>69</v>
      </c>
    </row>
    <row r="35" spans="1:2" x14ac:dyDescent="0.3">
      <c r="A35" s="1" t="s">
        <v>70</v>
      </c>
      <c r="B35" s="1" t="s">
        <v>71</v>
      </c>
    </row>
    <row r="36" spans="1:2" x14ac:dyDescent="0.3">
      <c r="A36" s="1" t="s">
        <v>31</v>
      </c>
      <c r="B36" s="1" t="s">
        <v>96</v>
      </c>
    </row>
    <row r="37" spans="1:2" x14ac:dyDescent="0.3">
      <c r="A37" s="1" t="s">
        <v>32</v>
      </c>
    </row>
    <row r="38" spans="1:2" x14ac:dyDescent="0.3">
      <c r="A38" s="1" t="s">
        <v>33</v>
      </c>
    </row>
    <row r="39" spans="1:2" x14ac:dyDescent="0.3">
      <c r="A39" s="1" t="s">
        <v>34</v>
      </c>
      <c r="B39" s="1">
        <f>3*25.4</f>
        <v>76.199999999999989</v>
      </c>
    </row>
    <row r="40" spans="1:2" x14ac:dyDescent="0.3">
      <c r="A40" s="1" t="s">
        <v>35</v>
      </c>
    </row>
    <row r="41" spans="1:2" x14ac:dyDescent="0.3">
      <c r="A41" s="1" t="s">
        <v>36</v>
      </c>
      <c r="B41" s="1">
        <v>120</v>
      </c>
    </row>
    <row r="42" spans="1:2" x14ac:dyDescent="0.3">
      <c r="A42" s="1" t="s">
        <v>37</v>
      </c>
    </row>
    <row r="43" spans="1:2" x14ac:dyDescent="0.3">
      <c r="A43" s="1" t="s">
        <v>38</v>
      </c>
    </row>
    <row r="44" spans="1:2" x14ac:dyDescent="0.3">
      <c r="A44" s="1" t="s">
        <v>39</v>
      </c>
    </row>
    <row r="45" spans="1:2" x14ac:dyDescent="0.3">
      <c r="A45" s="1" t="s">
        <v>40</v>
      </c>
      <c r="B45" s="1">
        <v>148</v>
      </c>
    </row>
    <row r="46" spans="1:2" x14ac:dyDescent="0.3">
      <c r="A46" s="1" t="s">
        <v>41</v>
      </c>
      <c r="B46" s="1">
        <v>110</v>
      </c>
    </row>
    <row r="47" spans="1:2" x14ac:dyDescent="0.3">
      <c r="A47" s="1" t="s">
        <v>42</v>
      </c>
    </row>
    <row r="48" spans="1:2" x14ac:dyDescent="0.3">
      <c r="A48" s="1" t="s">
        <v>43</v>
      </c>
    </row>
    <row r="49" spans="1:2" x14ac:dyDescent="0.3">
      <c r="A49" s="1" t="s">
        <v>44</v>
      </c>
      <c r="B49" s="1">
        <v>31.6</v>
      </c>
    </row>
    <row r="50" spans="1:2" x14ac:dyDescent="0.3">
      <c r="A50" s="1" t="s">
        <v>45</v>
      </c>
    </row>
    <row r="51" spans="1:2" x14ac:dyDescent="0.3">
      <c r="A51" s="1" t="s">
        <v>46</v>
      </c>
    </row>
    <row r="52" spans="1:2" x14ac:dyDescent="0.3">
      <c r="A52" s="1" t="s">
        <v>47</v>
      </c>
    </row>
    <row r="53" spans="1:2" x14ac:dyDescent="0.3">
      <c r="A53" s="1" t="s">
        <v>48</v>
      </c>
    </row>
    <row r="54" spans="1:2" x14ac:dyDescent="0.3">
      <c r="A54" s="1" t="s">
        <v>49</v>
      </c>
    </row>
    <row r="55" spans="1:2" x14ac:dyDescent="0.3">
      <c r="A55" s="1" t="s">
        <v>50</v>
      </c>
    </row>
    <row r="56" spans="1:2" x14ac:dyDescent="0.3">
      <c r="A56" s="1" t="s">
        <v>51</v>
      </c>
    </row>
    <row r="57" spans="1:2" x14ac:dyDescent="0.3">
      <c r="A57" s="1" t="s">
        <v>52</v>
      </c>
    </row>
    <row r="58" spans="1:2" x14ac:dyDescent="0.3">
      <c r="A58" s="1" t="s">
        <v>53</v>
      </c>
    </row>
    <row r="59" spans="1:2" x14ac:dyDescent="0.3">
      <c r="A59" s="1" t="s">
        <v>54</v>
      </c>
    </row>
    <row r="60" spans="1:2" x14ac:dyDescent="0.3">
      <c r="A60" s="1" t="s">
        <v>55</v>
      </c>
      <c r="B60" s="1">
        <v>2</v>
      </c>
    </row>
    <row r="61" spans="1:2" x14ac:dyDescent="0.3">
      <c r="A61" s="1" t="s">
        <v>56</v>
      </c>
      <c r="B61" s="1">
        <v>1</v>
      </c>
    </row>
    <row r="62" spans="1:2" x14ac:dyDescent="0.3">
      <c r="A62" s="1" t="s">
        <v>57</v>
      </c>
      <c r="B62" s="1">
        <v>1</v>
      </c>
    </row>
    <row r="63" spans="1:2" x14ac:dyDescent="0.3">
      <c r="A63" s="1" t="s">
        <v>58</v>
      </c>
      <c r="B63" s="1">
        <v>3</v>
      </c>
    </row>
    <row r="64" spans="1:2" x14ac:dyDescent="0.3">
      <c r="A64" s="1" t="s">
        <v>59</v>
      </c>
    </row>
    <row r="65" spans="1:2" x14ac:dyDescent="0.3">
      <c r="A65" s="1" t="s">
        <v>60</v>
      </c>
      <c r="B65" s="1" t="s">
        <v>72</v>
      </c>
    </row>
    <row r="66" spans="1:2" x14ac:dyDescent="0.3">
      <c r="A66" s="1" t="s">
        <v>61</v>
      </c>
      <c r="B66" s="1" t="s">
        <v>72</v>
      </c>
    </row>
    <row r="67" spans="1:2" x14ac:dyDescent="0.3">
      <c r="A67" s="1" t="s">
        <v>62</v>
      </c>
      <c r="B67" s="1">
        <v>3195</v>
      </c>
    </row>
    <row r="68" spans="1:2" x14ac:dyDescent="0.3">
      <c r="A68" s="1" t="s">
        <v>63</v>
      </c>
      <c r="B68" s="1">
        <v>6795</v>
      </c>
    </row>
    <row r="69" spans="1:2" x14ac:dyDescent="0.3">
      <c r="A69" s="1" t="s">
        <v>64</v>
      </c>
    </row>
    <row r="70" spans="1:2" x14ac:dyDescent="0.3">
      <c r="A70" s="1" t="s">
        <v>65</v>
      </c>
      <c r="B70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2025-09-09T11:38:34Z</dcterms:modified>
</cp:coreProperties>
</file>