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271380B-FD3F-BD48-B200-DE197AC1DB16}" xr6:coauthVersionLast="47" xr6:coauthVersionMax="47" xr10:uidLastSave="{00000000-0000-0000-0000-000000000000}"/>
  <bookViews>
    <workbookView xWindow="2780" yWindow="96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2" i="1" s="1"/>
  <c r="F31" i="1"/>
  <c r="E32" i="1" s="1"/>
  <c r="G31" i="1"/>
  <c r="F32" i="1" s="1"/>
  <c r="D31" i="1"/>
  <c r="C32" i="1" s="1"/>
  <c r="G32" i="1"/>
  <c r="C31" i="1"/>
</calcChain>
</file>

<file path=xl/sharedStrings.xml><?xml version="1.0" encoding="utf-8"?>
<sst xmlns="http://schemas.openxmlformats.org/spreadsheetml/2006/main" count="123" uniqueCount="115">
  <si>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</si>
  <si>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</si>
  <si>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</si>
  <si>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</si>
  <si>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</si>
  <si>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</si>
  <si>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</si>
  <si>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</si>
  <si>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</si>
  <si>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</si>
  <si>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</si>
  <si>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</si>
  <si>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</si>
  <si>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</si>
  <si>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</si>
  <si>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</si>
  <si>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</si>
  <si>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</si>
  <si>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</si>
  <si>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</si>
  <si>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</si>
  <si>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</si>
  <si>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</si>
  <si>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</si>
  <si>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</si>
  <si>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</si>
  <si>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</si>
  <si>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</si>
  <si>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</si>
  <si>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</si>
  <si>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</si>
  <si>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</si>
  <si>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</si>
  <si>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</si>
  <si>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</si>
  <si>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</si>
  <si>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</si>
  <si>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</si>
  <si>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</si>
  <si>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</si>
  <si>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</si>
  <si>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</si>
  <si>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</si>
  <si>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</si>
  <si>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</si>
  <si>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</si>
  <si>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</si>
  <si>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</si>
  <si>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</si>
  <si>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</si>
  <si>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</si>
  <si>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</si>
  <si>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</si>
  <si>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</si>
  <si>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</si>
  <si>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</si>
  <si>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</si>
  <si>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</si>
  <si>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</si>
  <si>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</si>
  <si>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</si>
  <si>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</si>
  <si>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</si>
  <si>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</si>
  <si>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</si>
  <si>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</si>
  <si>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</si>
  <si>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</si>
  <si>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</si>
  <si>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</si>
  <si>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</si>
  <si>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</si>
  <si>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</si>
  <si>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</si>
  <si>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rider_min_spec</t>
  </si>
  <si>
    <t>rider_max_spec</t>
  </si>
  <si>
    <t>integrated</t>
  </si>
  <si>
    <t>Aurum</t>
  </si>
  <si>
    <t>https://aurumbikes.com/manto/</t>
  </si>
  <si>
    <t>carbon</t>
  </si>
  <si>
    <t>SIZE</t>
  </si>
  <si>
    <t>152-163cm</t>
  </si>
  <si>
    <t>161-170cm</t>
  </si>
  <si>
    <t>170-177cm</t>
  </si>
  <si>
    <t>175-181cm</t>
  </si>
  <si>
    <t>180-188cm</t>
  </si>
  <si>
    <t>A. Stack</t>
  </si>
  <si>
    <t>B. Reach</t>
  </si>
  <si>
    <t>C. Seat Tube Angle</t>
  </si>
  <si>
    <t>D. Top Tube</t>
  </si>
  <si>
    <t>E. Head Tube Angle</t>
  </si>
  <si>
    <t>F. Fork Offset</t>
  </si>
  <si>
    <t>G. Fork Trail</t>
  </si>
  <si>
    <t>H. Seat Tube Length</t>
  </si>
  <si>
    <t>I. BB Drop</t>
  </si>
  <si>
    <t>J. Front Center</t>
  </si>
  <si>
    <t>K. Chainstay Length</t>
  </si>
  <si>
    <t>L. Wheelbase</t>
  </si>
  <si>
    <t>M. Stand Over Height</t>
  </si>
  <si>
    <t>N. Head Tube Length</t>
  </si>
  <si>
    <t>O. Fork Length</t>
  </si>
  <si>
    <t>trail</t>
  </si>
  <si>
    <t>front_center</t>
  </si>
  <si>
    <t>a8:g34</t>
  </si>
  <si>
    <t>Manto</t>
  </si>
  <si>
    <t>EUR</t>
  </si>
  <si>
    <t>https://aurumbikes.com/wp-content/uploads/2024/12/ARTIK-FC-SRAM-RED-1X.png</t>
  </si>
  <si>
    <t>location</t>
  </si>
  <si>
    <t>Pinto, Madrid, Spain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</si>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</sst>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u/>
      <sz val="14"/>
      <color theme="10"/>
      <name val="Futura"/>
      <family val="2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58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4" t="s">
        <v>77</v>
      </c>
    </row>
    <row r="2" spans="1:8" x14ac:dyDescent="0.3">
      <c r="A2" t="s">
        <v>1</v>
      </c>
      <c r="B2" s="1" t="s">
        <v>104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45905</v>
      </c>
    </row>
    <row r="5" spans="1:8" x14ac:dyDescent="0.3">
      <c r="A5" t="s">
        <v>4</v>
      </c>
      <c r="B5" t="s">
        <v>78</v>
      </c>
    </row>
    <row r="6" spans="1:8" x14ac:dyDescent="0.3">
      <c r="B6" t="s">
        <v>106</v>
      </c>
    </row>
    <row r="7" spans="1:8" x14ac:dyDescent="0.3">
      <c r="A7" t="s">
        <v>5</v>
      </c>
      <c r="B7" s="1" t="s">
        <v>103</v>
      </c>
    </row>
    <row r="8" spans="1:8" x14ac:dyDescent="0.3">
      <c r="A8" t="s">
        <v>6</v>
      </c>
      <c r="B8" s="5" t="s">
        <v>80</v>
      </c>
      <c r="C8" s="5">
        <v>48</v>
      </c>
      <c r="D8" s="5">
        <v>51</v>
      </c>
      <c r="E8" s="5">
        <v>54</v>
      </c>
      <c r="F8" s="5">
        <v>56</v>
      </c>
      <c r="G8" s="5">
        <v>58</v>
      </c>
      <c r="H8" s="7"/>
    </row>
    <row r="9" spans="1:8" x14ac:dyDescent="0.3">
      <c r="A9" t="s">
        <v>12</v>
      </c>
      <c r="B9" s="5" t="s">
        <v>86</v>
      </c>
      <c r="C9" s="6">
        <v>515</v>
      </c>
      <c r="D9" s="6">
        <v>535</v>
      </c>
      <c r="E9" s="6">
        <v>555</v>
      </c>
      <c r="F9" s="6">
        <v>570</v>
      </c>
      <c r="G9" s="6">
        <v>590</v>
      </c>
    </row>
    <row r="10" spans="1:8" x14ac:dyDescent="0.3">
      <c r="A10" t="s">
        <v>13</v>
      </c>
      <c r="B10" s="5" t="s">
        <v>87</v>
      </c>
      <c r="C10" s="6">
        <v>380</v>
      </c>
      <c r="D10" s="6">
        <v>386</v>
      </c>
      <c r="E10" s="6">
        <v>394</v>
      </c>
      <c r="F10" s="6">
        <v>402</v>
      </c>
      <c r="G10" s="6">
        <v>411</v>
      </c>
    </row>
    <row r="11" spans="1:8" x14ac:dyDescent="0.3">
      <c r="A11" t="s">
        <v>8</v>
      </c>
      <c r="B11" s="5" t="s">
        <v>88</v>
      </c>
      <c r="C11" s="6">
        <v>74.5</v>
      </c>
      <c r="D11" s="6">
        <v>74</v>
      </c>
      <c r="E11" s="6">
        <v>74</v>
      </c>
      <c r="F11" s="6">
        <v>73.5</v>
      </c>
      <c r="G11" s="6">
        <v>73.5</v>
      </c>
    </row>
    <row r="12" spans="1:8" x14ac:dyDescent="0.3">
      <c r="A12" t="s">
        <v>11</v>
      </c>
      <c r="B12" s="5" t="s">
        <v>89</v>
      </c>
      <c r="C12" s="6">
        <v>518</v>
      </c>
      <c r="D12" s="6">
        <v>539</v>
      </c>
      <c r="E12" s="6">
        <v>554</v>
      </c>
      <c r="F12" s="6">
        <v>571</v>
      </c>
      <c r="G12" s="6">
        <v>586</v>
      </c>
    </row>
    <row r="13" spans="1:8" x14ac:dyDescent="0.3">
      <c r="A13" t="s">
        <v>7</v>
      </c>
      <c r="B13" s="5" t="s">
        <v>90</v>
      </c>
      <c r="C13" s="6">
        <v>71.2</v>
      </c>
      <c r="D13" s="6">
        <v>71.2</v>
      </c>
      <c r="E13" s="6">
        <v>72.2</v>
      </c>
      <c r="F13" s="6">
        <v>72.3</v>
      </c>
      <c r="G13" s="6">
        <v>72.3</v>
      </c>
    </row>
    <row r="14" spans="1:8" x14ac:dyDescent="0.3">
      <c r="A14" t="s">
        <v>16</v>
      </c>
      <c r="B14" s="5" t="s">
        <v>91</v>
      </c>
      <c r="C14" s="6">
        <v>50</v>
      </c>
      <c r="D14" s="6">
        <v>50</v>
      </c>
      <c r="E14" s="6">
        <v>50</v>
      </c>
      <c r="F14" s="6">
        <v>50</v>
      </c>
      <c r="G14" s="6">
        <v>50</v>
      </c>
    </row>
    <row r="15" spans="1:8" x14ac:dyDescent="0.3">
      <c r="A15" s="1" t="s">
        <v>101</v>
      </c>
      <c r="B15" s="5" t="s">
        <v>92</v>
      </c>
      <c r="C15" s="6">
        <v>66</v>
      </c>
      <c r="D15" s="6">
        <v>66</v>
      </c>
      <c r="E15" s="6">
        <v>61</v>
      </c>
      <c r="F15" s="6">
        <v>61</v>
      </c>
      <c r="G15" s="6">
        <v>61</v>
      </c>
    </row>
    <row r="16" spans="1:8" x14ac:dyDescent="0.3">
      <c r="A16" t="s">
        <v>10</v>
      </c>
      <c r="B16" s="5" t="s">
        <v>93</v>
      </c>
      <c r="C16" s="6">
        <v>425</v>
      </c>
      <c r="D16" s="6">
        <v>455</v>
      </c>
      <c r="E16" s="6">
        <v>488</v>
      </c>
      <c r="F16" s="6">
        <v>515</v>
      </c>
      <c r="G16" s="6">
        <v>534</v>
      </c>
    </row>
    <row r="17" spans="1:9" x14ac:dyDescent="0.3">
      <c r="A17" t="s">
        <v>18</v>
      </c>
      <c r="B17" s="5" t="s">
        <v>94</v>
      </c>
      <c r="C17" s="6">
        <v>77</v>
      </c>
      <c r="D17" s="6">
        <v>77</v>
      </c>
      <c r="E17" s="6">
        <v>75</v>
      </c>
      <c r="F17" s="6">
        <v>75</v>
      </c>
      <c r="G17" s="6">
        <v>75</v>
      </c>
    </row>
    <row r="18" spans="1:9" x14ac:dyDescent="0.3">
      <c r="A18" s="1" t="s">
        <v>102</v>
      </c>
      <c r="B18" t="s">
        <v>95</v>
      </c>
      <c r="C18">
        <v>587</v>
      </c>
      <c r="D18">
        <v>600</v>
      </c>
      <c r="E18">
        <v>605</v>
      </c>
      <c r="F18">
        <v>617</v>
      </c>
      <c r="G18">
        <v>632</v>
      </c>
    </row>
    <row r="19" spans="1:9" x14ac:dyDescent="0.3">
      <c r="A19" t="s">
        <v>14</v>
      </c>
      <c r="B19" t="s">
        <v>96</v>
      </c>
      <c r="C19" s="6">
        <v>423</v>
      </c>
      <c r="D19" s="6">
        <v>423</v>
      </c>
      <c r="E19" s="6">
        <v>425</v>
      </c>
      <c r="F19" s="6">
        <v>425</v>
      </c>
      <c r="G19" s="6">
        <v>425</v>
      </c>
    </row>
    <row r="20" spans="1:9" x14ac:dyDescent="0.3">
      <c r="A20" t="s">
        <v>19</v>
      </c>
      <c r="B20" t="s">
        <v>97</v>
      </c>
      <c r="C20">
        <v>998</v>
      </c>
      <c r="D20">
        <v>1010</v>
      </c>
      <c r="E20">
        <v>1019</v>
      </c>
      <c r="F20">
        <v>1031</v>
      </c>
      <c r="G20">
        <v>1046</v>
      </c>
      <c r="H20" s="1"/>
    </row>
    <row r="21" spans="1:9" x14ac:dyDescent="0.3">
      <c r="A21" t="s">
        <v>17</v>
      </c>
      <c r="B21" t="s">
        <v>98</v>
      </c>
      <c r="C21">
        <v>704</v>
      </c>
      <c r="D21">
        <v>731</v>
      </c>
      <c r="E21">
        <v>763</v>
      </c>
      <c r="F21">
        <v>786</v>
      </c>
      <c r="G21">
        <v>806</v>
      </c>
    </row>
    <row r="22" spans="1:9" x14ac:dyDescent="0.3">
      <c r="A22" t="s">
        <v>9</v>
      </c>
      <c r="B22" t="s">
        <v>99</v>
      </c>
      <c r="C22">
        <v>88</v>
      </c>
      <c r="D22">
        <v>109</v>
      </c>
      <c r="E22">
        <v>127</v>
      </c>
      <c r="F22">
        <v>144</v>
      </c>
      <c r="G22">
        <v>164</v>
      </c>
    </row>
    <row r="23" spans="1:9" x14ac:dyDescent="0.3">
      <c r="A23" t="s">
        <v>15</v>
      </c>
      <c r="B23" t="s">
        <v>100</v>
      </c>
      <c r="C23" s="8">
        <v>395</v>
      </c>
      <c r="D23" s="8">
        <v>395</v>
      </c>
      <c r="E23" s="8">
        <v>395</v>
      </c>
      <c r="F23" s="8">
        <v>395</v>
      </c>
      <c r="G23" s="8">
        <v>395</v>
      </c>
    </row>
    <row r="24" spans="1:9" x14ac:dyDescent="0.3">
      <c r="A24" t="s">
        <v>21</v>
      </c>
      <c r="C24">
        <v>90</v>
      </c>
      <c r="D24">
        <v>90</v>
      </c>
      <c r="E24">
        <v>100</v>
      </c>
      <c r="F24">
        <v>100</v>
      </c>
      <c r="G24">
        <v>110</v>
      </c>
    </row>
    <row r="25" spans="1:9" x14ac:dyDescent="0.3">
      <c r="A25" t="s">
        <v>22</v>
      </c>
      <c r="B25" t="s">
        <v>22</v>
      </c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9" x14ac:dyDescent="0.3">
      <c r="A29" t="s">
        <v>25</v>
      </c>
      <c r="B29" t="s">
        <v>25</v>
      </c>
      <c r="C29">
        <v>38</v>
      </c>
      <c r="D29">
        <v>38</v>
      </c>
      <c r="E29">
        <v>38</v>
      </c>
      <c r="F29">
        <v>38</v>
      </c>
      <c r="G29">
        <v>38</v>
      </c>
    </row>
    <row r="30" spans="1:9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9" x14ac:dyDescent="0.3">
      <c r="A31" t="s">
        <v>27</v>
      </c>
      <c r="B31" t="s">
        <v>27</v>
      </c>
      <c r="C31" s="3">
        <f>C33</f>
        <v>152</v>
      </c>
      <c r="D31" s="3">
        <f>AVERAGE(D33,C34)</f>
        <v>162</v>
      </c>
      <c r="E31" s="3">
        <f t="shared" ref="E31:G31" si="0">AVERAGE(E33,D34)</f>
        <v>170</v>
      </c>
      <c r="F31" s="3">
        <f t="shared" si="0"/>
        <v>176</v>
      </c>
      <c r="G31" s="3">
        <f t="shared" si="0"/>
        <v>180.5</v>
      </c>
      <c r="H31" s="3"/>
      <c r="I31" s="3"/>
    </row>
    <row r="32" spans="1:9" x14ac:dyDescent="0.3">
      <c r="A32" t="s">
        <v>28</v>
      </c>
      <c r="B32" t="s">
        <v>28</v>
      </c>
      <c r="C32" s="3">
        <f>D31</f>
        <v>162</v>
      </c>
      <c r="D32" s="3">
        <f t="shared" ref="D32:F32" si="1">E31</f>
        <v>170</v>
      </c>
      <c r="E32" s="3">
        <f t="shared" si="1"/>
        <v>176</v>
      </c>
      <c r="F32" s="3">
        <f t="shared" si="1"/>
        <v>180.5</v>
      </c>
      <c r="G32" s="3">
        <f t="shared" ref="G32" si="2">G34</f>
        <v>188</v>
      </c>
      <c r="H32" s="3"/>
      <c r="I32" s="3"/>
    </row>
    <row r="33" spans="1:7" x14ac:dyDescent="0.3">
      <c r="A33" s="1" t="s">
        <v>74</v>
      </c>
      <c r="C33">
        <v>152</v>
      </c>
      <c r="D33">
        <v>161</v>
      </c>
      <c r="E33">
        <v>170</v>
      </c>
      <c r="F33">
        <v>175</v>
      </c>
      <c r="G33">
        <v>180</v>
      </c>
    </row>
    <row r="34" spans="1:7" x14ac:dyDescent="0.3">
      <c r="A34" s="1" t="s">
        <v>75</v>
      </c>
      <c r="C34">
        <v>163</v>
      </c>
      <c r="D34">
        <v>170</v>
      </c>
      <c r="E34">
        <v>177</v>
      </c>
      <c r="F34">
        <v>181</v>
      </c>
      <c r="G34">
        <v>188</v>
      </c>
    </row>
    <row r="35" spans="1:7" x14ac:dyDescent="0.3">
      <c r="C35" s="6" t="s">
        <v>81</v>
      </c>
      <c r="D35" s="6" t="s">
        <v>82</v>
      </c>
      <c r="E35" s="6" t="s">
        <v>83</v>
      </c>
      <c r="F35" s="6" t="s">
        <v>84</v>
      </c>
      <c r="G35" s="6" t="s">
        <v>85</v>
      </c>
    </row>
    <row r="36" spans="1:7" x14ac:dyDescent="0.3">
      <c r="A36" t="s">
        <v>29</v>
      </c>
      <c r="B36" t="s">
        <v>30</v>
      </c>
    </row>
    <row r="37" spans="1:7" x14ac:dyDescent="0.3">
      <c r="A37" t="s">
        <v>66</v>
      </c>
      <c r="B37" t="s">
        <v>67</v>
      </c>
    </row>
    <row r="38" spans="1:7" x14ac:dyDescent="0.3">
      <c r="A38" t="s">
        <v>68</v>
      </c>
      <c r="B38" t="s">
        <v>69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31</v>
      </c>
      <c r="B40" s="1" t="s">
        <v>79</v>
      </c>
    </row>
    <row r="41" spans="1:7" x14ac:dyDescent="0.3">
      <c r="A41" t="s">
        <v>32</v>
      </c>
      <c r="B41" s="1" t="s">
        <v>73</v>
      </c>
    </row>
    <row r="42" spans="1:7" x14ac:dyDescent="0.3">
      <c r="A42" t="s">
        <v>33</v>
      </c>
    </row>
    <row r="43" spans="1:7" x14ac:dyDescent="0.3">
      <c r="A43" t="s">
        <v>34</v>
      </c>
      <c r="B43">
        <v>45</v>
      </c>
    </row>
    <row r="44" spans="1:7" x14ac:dyDescent="0.3">
      <c r="A44" t="s">
        <v>35</v>
      </c>
    </row>
    <row r="45" spans="1:7" x14ac:dyDescent="0.3">
      <c r="A45" t="s">
        <v>36</v>
      </c>
    </row>
    <row r="46" spans="1:7" x14ac:dyDescent="0.3">
      <c r="A46" t="s">
        <v>37</v>
      </c>
    </row>
    <row r="47" spans="1:7" x14ac:dyDescent="0.3">
      <c r="A47" t="s">
        <v>38</v>
      </c>
    </row>
    <row r="48" spans="1:7" x14ac:dyDescent="0.3">
      <c r="A48" t="s">
        <v>39</v>
      </c>
    </row>
    <row r="49" spans="1:2" x14ac:dyDescent="0.3">
      <c r="A49" t="s">
        <v>40</v>
      </c>
      <c r="B49">
        <v>142</v>
      </c>
    </row>
    <row r="50" spans="1:2" x14ac:dyDescent="0.3">
      <c r="A50" t="s">
        <v>41</v>
      </c>
      <c r="B50">
        <v>100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113</v>
      </c>
    </row>
    <row r="56" spans="1:2" x14ac:dyDescent="0.3">
      <c r="A56" t="s">
        <v>114</v>
      </c>
    </row>
    <row r="57" spans="1:2" x14ac:dyDescent="0.3">
      <c r="A57" t="s">
        <v>42</v>
      </c>
      <c r="B57" s="1" t="s">
        <v>72</v>
      </c>
    </row>
    <row r="58" spans="1:2" x14ac:dyDescent="0.3">
      <c r="A58" t="s">
        <v>43</v>
      </c>
    </row>
    <row r="59" spans="1:2" x14ac:dyDescent="0.3">
      <c r="A59" t="s">
        <v>44</v>
      </c>
      <c r="B59">
        <v>27.2</v>
      </c>
    </row>
    <row r="60" spans="1:2" x14ac:dyDescent="0.3">
      <c r="A60" t="s">
        <v>45</v>
      </c>
      <c r="B60" s="1" t="s">
        <v>73</v>
      </c>
    </row>
    <row r="61" spans="1:2" x14ac:dyDescent="0.3">
      <c r="A61" t="s">
        <v>46</v>
      </c>
    </row>
    <row r="62" spans="1:2" x14ac:dyDescent="0.3">
      <c r="A62" t="s">
        <v>47</v>
      </c>
    </row>
    <row r="63" spans="1:2" x14ac:dyDescent="0.3">
      <c r="A63" t="s">
        <v>48</v>
      </c>
    </row>
    <row r="64" spans="1:2" x14ac:dyDescent="0.3">
      <c r="A64" t="s">
        <v>49</v>
      </c>
    </row>
    <row r="65" spans="1:2" x14ac:dyDescent="0.3">
      <c r="A65" t="s">
        <v>50</v>
      </c>
    </row>
    <row r="66" spans="1:2" x14ac:dyDescent="0.3">
      <c r="A66" t="s">
        <v>51</v>
      </c>
      <c r="B66" s="1" t="s">
        <v>76</v>
      </c>
    </row>
    <row r="67" spans="1:2" x14ac:dyDescent="0.3">
      <c r="A67" t="s">
        <v>52</v>
      </c>
      <c r="B67" s="1"/>
    </row>
    <row r="68" spans="1:2" x14ac:dyDescent="0.3">
      <c r="A68" t="s">
        <v>53</v>
      </c>
      <c r="B68" s="1"/>
    </row>
    <row r="69" spans="1:2" x14ac:dyDescent="0.3">
      <c r="A69" t="s">
        <v>54</v>
      </c>
    </row>
    <row r="70" spans="1:2" x14ac:dyDescent="0.3">
      <c r="A70" t="s">
        <v>55</v>
      </c>
      <c r="B70">
        <v>2</v>
      </c>
    </row>
    <row r="71" spans="1:2" x14ac:dyDescent="0.3">
      <c r="A71" t="s">
        <v>56</v>
      </c>
    </row>
    <row r="72" spans="1:2" x14ac:dyDescent="0.3">
      <c r="A72" t="s">
        <v>57</v>
      </c>
      <c r="B72" s="1" t="s">
        <v>73</v>
      </c>
    </row>
    <row r="73" spans="1:2" x14ac:dyDescent="0.3">
      <c r="A73" t="s">
        <v>58</v>
      </c>
      <c r="B73" s="1"/>
    </row>
    <row r="74" spans="1:2" x14ac:dyDescent="0.3">
      <c r="A74" t="s">
        <v>59</v>
      </c>
      <c r="B74" s="1"/>
    </row>
    <row r="75" spans="1:2" x14ac:dyDescent="0.3">
      <c r="A75" t="s">
        <v>60</v>
      </c>
      <c r="B75" s="1"/>
    </row>
    <row r="76" spans="1:2" x14ac:dyDescent="0.3">
      <c r="A76" t="s">
        <v>61</v>
      </c>
      <c r="B76" s="1"/>
    </row>
    <row r="77" spans="1:2" x14ac:dyDescent="0.3">
      <c r="A77" t="s">
        <v>62</v>
      </c>
    </row>
    <row r="78" spans="1:2" x14ac:dyDescent="0.3">
      <c r="A78" t="s">
        <v>63</v>
      </c>
      <c r="B78">
        <v>5199</v>
      </c>
    </row>
    <row r="79" spans="1:2" x14ac:dyDescent="0.3">
      <c r="A79" t="s">
        <v>64</v>
      </c>
      <c r="B79" s="1"/>
    </row>
    <row r="80" spans="1:2" x14ac:dyDescent="0.3">
      <c r="A80" t="s">
        <v>65</v>
      </c>
      <c r="B80" s="1" t="s">
        <v>105</v>
      </c>
    </row>
    <row r="81" spans="1:2" x14ac:dyDescent="0.3">
      <c r="A81" t="s">
        <v>107</v>
      </c>
      <c r="B8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2025-11-07T14:40:35Z</dcterms:modified>
</cp:coreProperties>
</file>