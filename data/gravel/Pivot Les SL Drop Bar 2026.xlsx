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D16731-1F88-7C49-9ED6-324A4ADCEC60}" xr6:coauthVersionLast="47" xr6:coauthVersionMax="47" xr10:uidLastSave="{00000000-0000-0000-0000-000000000000}"/>
  <bookViews>
    <workbookView xWindow="143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C13" i="1"/>
  <c r="C12" i="1"/>
  <c r="C10" i="1"/>
  <c r="C11" i="1"/>
  <c r="C14" i="1"/>
  <c r="C15" i="1"/>
  <c r="C16" i="1"/>
  <c r="C17" i="1"/>
  <c r="C18" i="1"/>
  <c r="C19" i="1"/>
  <c r="C20" i="1"/>
  <c r="C9" i="1"/>
</calcChain>
</file>

<file path=xl/sharedStrings.xml><?xml version="1.0" encoding="utf-8"?>
<sst xmlns="http://schemas.openxmlformats.org/spreadsheetml/2006/main" count="130" uniqueCount="112">
  <si>
    <t>brand</t>
  </si>
  <si>
    <t>model</t>
  </si>
  <si>
    <t>model year</t>
  </si>
  <si>
    <t>input date</t>
  </si>
  <si>
    <t>URL</t>
  </si>
  <si>
    <t>data_range</t>
  </si>
  <si>
    <t>frame_size</t>
  </si>
  <si>
    <t>XL</t>
  </si>
  <si>
    <t>seat_tube_length</t>
  </si>
  <si>
    <t>top_tube_effective_length</t>
  </si>
  <si>
    <t>head_tube_length</t>
  </si>
  <si>
    <t>head_tube_angle</t>
  </si>
  <si>
    <t>seat_tube_angle</t>
  </si>
  <si>
    <t>chainstay_length</t>
  </si>
  <si>
    <t>wheelbase</t>
  </si>
  <si>
    <t>stack</t>
  </si>
  <si>
    <t>reach</t>
  </si>
  <si>
    <t>standover</t>
  </si>
  <si>
    <t>bottom_bracket_drop</t>
  </si>
  <si>
    <t>fork_offset_rake</t>
  </si>
  <si>
    <t>axle_crown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</si>
  <si>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</si>
  <si>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</si>
  <si>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</si>
  <si>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</si>
  <si>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</si>
  <si>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</si>
  <si>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</si>
  <si>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</si>
  <si>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</si>
  <si>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</si>
  <si>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</si>
  <si>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</si>
  <si>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</si>
  <si>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</si>
  <si>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</si>
  <si>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</si>
  <si>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</si>
  <si>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</si>
  <si>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</si>
  <si>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</si>
  <si>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</si>
  <si>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</si>
  <si>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</si>
  <si>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</si>
  <si>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</si>
  <si>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</si>
  <si>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</si>
  <si>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</si>
  <si>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</si>
  <si>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</si>
  <si>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</si>
  <si>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</si>
  <si>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</si>
  <si>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</si>
  <si>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</si>
  <si>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</si>
  <si>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</si>
  <si>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</si>
  <si>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</si>
  <si>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</si>
  <si>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</si>
  <si>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</si>
  <si>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</si>
  <si>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</si>
  <si>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</si>
  <si>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</si>
  <si>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</si>
  <si>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</si>
  <si>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</si>
  <si>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</si>
  <si>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</si>
  <si>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</si>
  <si>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</si>
  <si>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</si>
  <si>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</si>
  <si>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</si>
  <si>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</si>
  <si>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</si>
  <si>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</si>
  <si>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</si>
  <si>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</si>
  <si>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suspension</t>
  </si>
  <si>
    <t>internal</t>
  </si>
  <si>
    <t>Reach</t>
  </si>
  <si>
    <t>Stack</t>
  </si>
  <si>
    <t>Wheelbase</t>
  </si>
  <si>
    <t>Head Tube Length</t>
  </si>
  <si>
    <t>Standover Height</t>
  </si>
  <si>
    <t>front_center</t>
  </si>
  <si>
    <t>bb_height</t>
  </si>
  <si>
    <t>Pivot</t>
  </si>
  <si>
    <t>XS</t>
  </si>
  <si>
    <t>SM</t>
  </si>
  <si>
    <t>MD</t>
  </si>
  <si>
    <t>LG</t>
  </si>
  <si>
    <t>Seat Tube Length (C-T)</t>
  </si>
  <si>
    <t>Top Tube Length (Eff.)</t>
  </si>
  <si>
    <t>Head Tube Angle</t>
  </si>
  <si>
    <t>Seat Tube Angle (Eff.)</t>
  </si>
  <si>
    <t>Chain Stay Length</t>
  </si>
  <si>
    <t>Bottom Bracket Height</t>
  </si>
  <si>
    <t>Bottom Bracket Drop</t>
  </si>
  <si>
    <t>frame size</t>
  </si>
  <si>
    <t>Tempe, Arizona, USA</t>
  </si>
  <si>
    <t>a8:g34</t>
  </si>
  <si>
    <t>https://www.pivotcycles.com/en-us/bikes/les-sl-drop-bar</t>
  </si>
  <si>
    <t>Les SL Drop Bar</t>
  </si>
  <si>
    <t>https://res.cloudinary.com/dh826anba/image/upload/w_2000,f_webp,q_auto,dpr_auto/00lslv229agxbd-slbmdstdhn</t>
  </si>
  <si>
    <t>drop bar</t>
  </si>
  <si>
    <t>gravel</t>
  </si>
  <si>
    <t>press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</si>
</sst>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topLeftCell="A27" workbookViewId="0">
      <selection activeCell="B56" sqref="B56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91</v>
      </c>
    </row>
    <row r="2" spans="1:14" x14ac:dyDescent="0.3">
      <c r="A2" t="s">
        <v>1</v>
      </c>
      <c r="B2" s="1" t="s">
        <v>107</v>
      </c>
    </row>
    <row r="3" spans="1:14" x14ac:dyDescent="0.3">
      <c r="A3" t="s">
        <v>2</v>
      </c>
      <c r="B3">
        <v>2026</v>
      </c>
    </row>
    <row r="4" spans="1:14" x14ac:dyDescent="0.3">
      <c r="A4" t="s">
        <v>3</v>
      </c>
      <c r="B4" s="2">
        <v>46037</v>
      </c>
    </row>
    <row r="5" spans="1:14" x14ac:dyDescent="0.3">
      <c r="A5" t="s">
        <v>4</v>
      </c>
      <c r="B5" t="s">
        <v>106</v>
      </c>
    </row>
    <row r="6" spans="1:14" x14ac:dyDescent="0.3">
      <c r="B6" t="s">
        <v>108</v>
      </c>
    </row>
    <row r="7" spans="1:14" x14ac:dyDescent="0.3">
      <c r="A7" t="s">
        <v>5</v>
      </c>
      <c r="B7" s="1" t="s">
        <v>105</v>
      </c>
    </row>
    <row r="8" spans="1:14" x14ac:dyDescent="0.3">
      <c r="A8" t="s">
        <v>6</v>
      </c>
      <c r="B8" s="1" t="s">
        <v>103</v>
      </c>
      <c r="C8" t="s">
        <v>92</v>
      </c>
      <c r="D8" s="1" t="s">
        <v>93</v>
      </c>
      <c r="E8" t="s">
        <v>94</v>
      </c>
      <c r="F8" t="s">
        <v>95</v>
      </c>
      <c r="G8" t="s">
        <v>7</v>
      </c>
      <c r="I8" t="s">
        <v>92</v>
      </c>
      <c r="J8" t="s">
        <v>93</v>
      </c>
      <c r="K8" t="s">
        <v>94</v>
      </c>
      <c r="L8" t="s">
        <v>95</v>
      </c>
      <c r="M8" t="s">
        <v>7</v>
      </c>
    </row>
    <row r="9" spans="1:14" x14ac:dyDescent="0.3">
      <c r="A9" t="s">
        <v>8</v>
      </c>
      <c r="B9" t="s">
        <v>96</v>
      </c>
      <c r="C9">
        <f>J9*10</f>
        <v>355</v>
      </c>
      <c r="D9">
        <f t="shared" ref="D9:G11" si="0">K9*10</f>
        <v>395</v>
      </c>
      <c r="E9">
        <f t="shared" si="0"/>
        <v>420</v>
      </c>
      <c r="F9">
        <f t="shared" si="0"/>
        <v>470</v>
      </c>
      <c r="G9">
        <f t="shared" si="0"/>
        <v>510</v>
      </c>
      <c r="I9" t="s">
        <v>96</v>
      </c>
      <c r="J9">
        <v>35.5</v>
      </c>
      <c r="K9">
        <v>39.5</v>
      </c>
      <c r="L9">
        <v>42</v>
      </c>
      <c r="M9">
        <v>47</v>
      </c>
      <c r="N9">
        <v>51</v>
      </c>
    </row>
    <row r="10" spans="1:14" x14ac:dyDescent="0.3">
      <c r="A10" t="s">
        <v>9</v>
      </c>
      <c r="B10" t="s">
        <v>97</v>
      </c>
      <c r="C10">
        <f t="shared" ref="C10:C20" si="1">J10*10</f>
        <v>565</v>
      </c>
      <c r="D10">
        <f t="shared" si="0"/>
        <v>592</v>
      </c>
      <c r="E10">
        <f t="shared" si="0"/>
        <v>620</v>
      </c>
      <c r="F10">
        <f t="shared" si="0"/>
        <v>638</v>
      </c>
      <c r="G10">
        <f t="shared" si="0"/>
        <v>668</v>
      </c>
      <c r="I10" t="s">
        <v>97</v>
      </c>
      <c r="J10">
        <v>56.5</v>
      </c>
      <c r="K10">
        <v>59.2</v>
      </c>
      <c r="L10">
        <v>62</v>
      </c>
      <c r="M10">
        <v>63.8</v>
      </c>
      <c r="N10">
        <v>66.8</v>
      </c>
    </row>
    <row r="11" spans="1:14" x14ac:dyDescent="0.3">
      <c r="A11" t="s">
        <v>10</v>
      </c>
      <c r="B11" t="s">
        <v>87</v>
      </c>
      <c r="C11">
        <f t="shared" si="1"/>
        <v>85</v>
      </c>
      <c r="D11">
        <f t="shared" si="0"/>
        <v>90</v>
      </c>
      <c r="E11">
        <f t="shared" si="0"/>
        <v>100</v>
      </c>
      <c r="F11">
        <f t="shared" si="0"/>
        <v>110</v>
      </c>
      <c r="G11">
        <f t="shared" si="0"/>
        <v>130</v>
      </c>
      <c r="I11" t="s">
        <v>87</v>
      </c>
      <c r="J11">
        <v>8.5</v>
      </c>
      <c r="K11">
        <v>9</v>
      </c>
      <c r="L11">
        <v>10</v>
      </c>
      <c r="M11">
        <v>11</v>
      </c>
      <c r="N11">
        <v>13</v>
      </c>
    </row>
    <row r="12" spans="1:14" x14ac:dyDescent="0.3">
      <c r="A12" t="s">
        <v>11</v>
      </c>
      <c r="B12" t="s">
        <v>98</v>
      </c>
      <c r="C12">
        <f>J12</f>
        <v>68</v>
      </c>
      <c r="D12">
        <f t="shared" ref="D12:G13" si="2">K12</f>
        <v>68.5</v>
      </c>
      <c r="E12">
        <f t="shared" si="2"/>
        <v>68.5</v>
      </c>
      <c r="F12">
        <f t="shared" si="2"/>
        <v>68.5</v>
      </c>
      <c r="G12">
        <f t="shared" si="2"/>
        <v>68.5</v>
      </c>
      <c r="I12" t="s">
        <v>98</v>
      </c>
      <c r="J12">
        <v>68</v>
      </c>
      <c r="K12">
        <v>68.5</v>
      </c>
      <c r="L12">
        <v>68.5</v>
      </c>
      <c r="M12">
        <v>68.5</v>
      </c>
      <c r="N12">
        <v>68.5</v>
      </c>
    </row>
    <row r="13" spans="1:14" x14ac:dyDescent="0.3">
      <c r="A13" t="s">
        <v>12</v>
      </c>
      <c r="B13" t="s">
        <v>99</v>
      </c>
      <c r="C13">
        <f>J13</f>
        <v>75</v>
      </c>
      <c r="D13">
        <f t="shared" si="2"/>
        <v>74.5</v>
      </c>
      <c r="E13">
        <f t="shared" si="2"/>
        <v>74.5</v>
      </c>
      <c r="F13">
        <f t="shared" si="2"/>
        <v>74.5</v>
      </c>
      <c r="G13">
        <f t="shared" si="2"/>
        <v>74.5</v>
      </c>
      <c r="I13" t="s">
        <v>99</v>
      </c>
      <c r="J13">
        <v>75</v>
      </c>
      <c r="K13">
        <v>74.5</v>
      </c>
      <c r="L13">
        <v>74.5</v>
      </c>
      <c r="M13">
        <v>74.5</v>
      </c>
      <c r="N13">
        <v>74.5</v>
      </c>
    </row>
    <row r="14" spans="1:14" x14ac:dyDescent="0.3">
      <c r="A14" t="s">
        <v>13</v>
      </c>
      <c r="B14" t="s">
        <v>100</v>
      </c>
      <c r="C14">
        <f t="shared" si="1"/>
        <v>429</v>
      </c>
      <c r="D14">
        <f t="shared" ref="D14:D20" si="3">K14*10</f>
        <v>429</v>
      </c>
      <c r="E14">
        <f t="shared" ref="E14:E20" si="4">L14*10</f>
        <v>429</v>
      </c>
      <c r="F14">
        <f t="shared" ref="F14:F20" si="5">M14*10</f>
        <v>429</v>
      </c>
      <c r="G14">
        <f t="shared" ref="G14:G20" si="6">N14*10</f>
        <v>429</v>
      </c>
      <c r="I14" t="s">
        <v>100</v>
      </c>
      <c r="J14">
        <v>42.9</v>
      </c>
      <c r="K14">
        <v>42.9</v>
      </c>
      <c r="L14">
        <v>42.9</v>
      </c>
      <c r="M14">
        <v>42.9</v>
      </c>
      <c r="N14">
        <v>42.9</v>
      </c>
    </row>
    <row r="15" spans="1:14" x14ac:dyDescent="0.3">
      <c r="A15" s="1" t="s">
        <v>90</v>
      </c>
      <c r="B15" t="s">
        <v>101</v>
      </c>
      <c r="C15">
        <f t="shared" si="1"/>
        <v>310</v>
      </c>
      <c r="D15">
        <f t="shared" si="3"/>
        <v>310</v>
      </c>
      <c r="E15">
        <f t="shared" si="4"/>
        <v>310</v>
      </c>
      <c r="F15">
        <f t="shared" si="5"/>
        <v>310</v>
      </c>
      <c r="G15">
        <f t="shared" si="6"/>
        <v>310</v>
      </c>
      <c r="I15" t="s">
        <v>101</v>
      </c>
      <c r="J15">
        <v>31</v>
      </c>
      <c r="K15">
        <v>31</v>
      </c>
      <c r="L15">
        <v>31</v>
      </c>
      <c r="M15">
        <v>31</v>
      </c>
      <c r="N15">
        <v>31</v>
      </c>
    </row>
    <row r="16" spans="1:14" x14ac:dyDescent="0.3">
      <c r="A16" t="s">
        <v>18</v>
      </c>
      <c r="B16" t="s">
        <v>102</v>
      </c>
      <c r="C16">
        <f t="shared" si="1"/>
        <v>64</v>
      </c>
      <c r="D16">
        <f t="shared" si="3"/>
        <v>64</v>
      </c>
      <c r="E16">
        <f t="shared" si="4"/>
        <v>64</v>
      </c>
      <c r="F16">
        <f t="shared" si="5"/>
        <v>64</v>
      </c>
      <c r="G16">
        <f t="shared" si="6"/>
        <v>64</v>
      </c>
      <c r="I16" t="s">
        <v>102</v>
      </c>
      <c r="J16">
        <v>6.4</v>
      </c>
      <c r="K16">
        <v>6.4</v>
      </c>
      <c r="L16">
        <v>6.4</v>
      </c>
      <c r="M16">
        <v>6.4</v>
      </c>
      <c r="N16">
        <v>6.4</v>
      </c>
    </row>
    <row r="17" spans="1:14" x14ac:dyDescent="0.3">
      <c r="A17" t="s">
        <v>17</v>
      </c>
      <c r="B17" t="s">
        <v>88</v>
      </c>
      <c r="C17">
        <f t="shared" si="1"/>
        <v>607</v>
      </c>
      <c r="D17">
        <f t="shared" si="3"/>
        <v>649</v>
      </c>
      <c r="E17">
        <f t="shared" si="4"/>
        <v>684</v>
      </c>
      <c r="F17">
        <f t="shared" si="5"/>
        <v>711</v>
      </c>
      <c r="G17">
        <f t="shared" si="6"/>
        <v>748</v>
      </c>
      <c r="I17" t="s">
        <v>88</v>
      </c>
      <c r="J17">
        <v>60.7</v>
      </c>
      <c r="K17">
        <v>64.900000000000006</v>
      </c>
      <c r="L17">
        <v>68.400000000000006</v>
      </c>
      <c r="M17">
        <v>71.099999999999994</v>
      </c>
      <c r="N17">
        <v>74.8</v>
      </c>
    </row>
    <row r="18" spans="1:14" x14ac:dyDescent="0.3">
      <c r="A18" t="s">
        <v>14</v>
      </c>
      <c r="B18" t="s">
        <v>86</v>
      </c>
      <c r="C18">
        <f t="shared" si="1"/>
        <v>1086</v>
      </c>
      <c r="D18">
        <f t="shared" si="3"/>
        <v>1103</v>
      </c>
      <c r="E18">
        <f t="shared" si="4"/>
        <v>1132</v>
      </c>
      <c r="F18">
        <f t="shared" si="5"/>
        <v>1150</v>
      </c>
      <c r="G18">
        <f t="shared" si="6"/>
        <v>1183</v>
      </c>
      <c r="I18" t="s">
        <v>86</v>
      </c>
      <c r="J18">
        <v>108.6</v>
      </c>
      <c r="K18">
        <v>110.3</v>
      </c>
      <c r="L18">
        <v>113.2</v>
      </c>
      <c r="M18">
        <v>115</v>
      </c>
      <c r="N18">
        <v>118.3</v>
      </c>
    </row>
    <row r="19" spans="1:14" x14ac:dyDescent="0.3">
      <c r="A19" s="1" t="s">
        <v>15</v>
      </c>
      <c r="B19" t="s">
        <v>85</v>
      </c>
      <c r="C19">
        <f t="shared" si="1"/>
        <v>594</v>
      </c>
      <c r="D19">
        <f t="shared" si="3"/>
        <v>601</v>
      </c>
      <c r="E19">
        <f t="shared" si="4"/>
        <v>601</v>
      </c>
      <c r="F19">
        <f t="shared" si="5"/>
        <v>620</v>
      </c>
      <c r="G19">
        <f t="shared" si="6"/>
        <v>638</v>
      </c>
      <c r="I19" t="s">
        <v>85</v>
      </c>
      <c r="J19">
        <v>59.4</v>
      </c>
      <c r="K19">
        <v>60.1</v>
      </c>
      <c r="L19">
        <v>60.1</v>
      </c>
      <c r="M19">
        <v>62</v>
      </c>
      <c r="N19">
        <v>63.8</v>
      </c>
    </row>
    <row r="20" spans="1:14" x14ac:dyDescent="0.3">
      <c r="A20" t="s">
        <v>16</v>
      </c>
      <c r="B20" t="s">
        <v>84</v>
      </c>
      <c r="C20">
        <f t="shared" si="1"/>
        <v>400</v>
      </c>
      <c r="D20">
        <f t="shared" si="3"/>
        <v>420</v>
      </c>
      <c r="E20">
        <f t="shared" si="4"/>
        <v>445</v>
      </c>
      <c r="F20">
        <f t="shared" si="5"/>
        <v>460</v>
      </c>
      <c r="G20">
        <f t="shared" si="6"/>
        <v>485</v>
      </c>
      <c r="I20" t="s">
        <v>84</v>
      </c>
      <c r="J20">
        <v>40</v>
      </c>
      <c r="K20">
        <v>42</v>
      </c>
      <c r="L20">
        <v>44.5</v>
      </c>
      <c r="M20">
        <v>46</v>
      </c>
      <c r="N20">
        <v>48.5</v>
      </c>
    </row>
    <row r="21" spans="1:14" x14ac:dyDescent="0.3">
      <c r="A21" s="1" t="s">
        <v>89</v>
      </c>
    </row>
    <row r="22" spans="1:14" x14ac:dyDescent="0.3">
      <c r="A22" t="s">
        <v>19</v>
      </c>
      <c r="C22">
        <v>44</v>
      </c>
      <c r="D22">
        <v>44</v>
      </c>
      <c r="E22">
        <v>44</v>
      </c>
      <c r="F22">
        <v>44</v>
      </c>
      <c r="G22">
        <v>44</v>
      </c>
    </row>
    <row r="23" spans="1:14" x14ac:dyDescent="0.3">
      <c r="A23" t="s">
        <v>20</v>
      </c>
      <c r="C23">
        <v>503.7</v>
      </c>
      <c r="D23">
        <v>503.7</v>
      </c>
      <c r="E23">
        <v>503.7</v>
      </c>
      <c r="F23">
        <v>503.7</v>
      </c>
      <c r="G23">
        <v>503.7</v>
      </c>
    </row>
    <row r="24" spans="1:14" x14ac:dyDescent="0.3">
      <c r="A24" s="1" t="s">
        <v>80</v>
      </c>
      <c r="C24">
        <v>100</v>
      </c>
      <c r="D24">
        <v>100</v>
      </c>
      <c r="E24">
        <v>100</v>
      </c>
      <c r="F24">
        <v>100</v>
      </c>
      <c r="G24">
        <v>100</v>
      </c>
    </row>
    <row r="25" spans="1:14" x14ac:dyDescent="0.3">
      <c r="A25" s="1" t="s">
        <v>81</v>
      </c>
    </row>
    <row r="26" spans="1:14" x14ac:dyDescent="0.3">
      <c r="A26" t="s">
        <v>21</v>
      </c>
    </row>
    <row r="27" spans="1:14" x14ac:dyDescent="0.3">
      <c r="A27" t="s">
        <v>22</v>
      </c>
    </row>
    <row r="28" spans="1:14" x14ac:dyDescent="0.3">
      <c r="A28" t="s">
        <v>23</v>
      </c>
    </row>
    <row r="29" spans="1:14" x14ac:dyDescent="0.3">
      <c r="A29" t="s">
        <v>24</v>
      </c>
      <c r="D29">
        <v>800</v>
      </c>
    </row>
    <row r="30" spans="1:14" x14ac:dyDescent="0.3">
      <c r="A30" t="s">
        <v>25</v>
      </c>
      <c r="C30">
        <v>29</v>
      </c>
      <c r="D30">
        <v>29</v>
      </c>
      <c r="E30">
        <v>29</v>
      </c>
      <c r="F30">
        <v>29</v>
      </c>
      <c r="G30">
        <v>29</v>
      </c>
    </row>
    <row r="31" spans="1:14" x14ac:dyDescent="0.3">
      <c r="A31" t="s">
        <v>26</v>
      </c>
      <c r="C31">
        <v>2.25</v>
      </c>
      <c r="D31">
        <v>2.25</v>
      </c>
      <c r="E31">
        <v>2.25</v>
      </c>
      <c r="F31">
        <v>2.25</v>
      </c>
      <c r="G31">
        <v>2.25</v>
      </c>
    </row>
    <row r="32" spans="1:14" x14ac:dyDescent="0.3">
      <c r="A32" t="s">
        <v>27</v>
      </c>
      <c r="C32">
        <v>2.4</v>
      </c>
      <c r="D32">
        <v>2.4</v>
      </c>
      <c r="E32">
        <v>2.4</v>
      </c>
      <c r="F32">
        <v>2.4</v>
      </c>
      <c r="G32">
        <v>2.4</v>
      </c>
    </row>
    <row r="33" spans="1:7" x14ac:dyDescent="0.3">
      <c r="A33" t="s">
        <v>28</v>
      </c>
      <c r="C33">
        <v>147</v>
      </c>
      <c r="D33">
        <v>160</v>
      </c>
      <c r="E33">
        <v>165</v>
      </c>
      <c r="F33" s="1">
        <v>177</v>
      </c>
      <c r="G33" s="1">
        <v>185</v>
      </c>
    </row>
    <row r="34" spans="1:7" x14ac:dyDescent="0.3">
      <c r="A34" t="s">
        <v>29</v>
      </c>
      <c r="C34">
        <v>165</v>
      </c>
      <c r="D34">
        <v>173</v>
      </c>
      <c r="E34">
        <v>180</v>
      </c>
      <c r="F34" s="1">
        <v>185</v>
      </c>
      <c r="G34" s="1">
        <v>193</v>
      </c>
    </row>
    <row r="36" spans="1:7" x14ac:dyDescent="0.3">
      <c r="A36" t="s">
        <v>30</v>
      </c>
      <c r="B36" t="s">
        <v>31</v>
      </c>
    </row>
    <row r="37" spans="1:7" x14ac:dyDescent="0.3">
      <c r="A37" t="s">
        <v>69</v>
      </c>
      <c r="B37" s="1" t="s">
        <v>110</v>
      </c>
    </row>
    <row r="38" spans="1:7" x14ac:dyDescent="0.3">
      <c r="A38" t="s">
        <v>70</v>
      </c>
      <c r="B38" s="1" t="s">
        <v>109</v>
      </c>
    </row>
    <row r="39" spans="1:7" x14ac:dyDescent="0.3">
      <c r="A39" t="s">
        <v>71</v>
      </c>
      <c r="B39" s="1" t="s">
        <v>82</v>
      </c>
    </row>
    <row r="40" spans="1:7" x14ac:dyDescent="0.3">
      <c r="A40" t="s">
        <v>32</v>
      </c>
      <c r="B40" s="1" t="s">
        <v>33</v>
      </c>
    </row>
    <row r="41" spans="1:7" x14ac:dyDescent="0.3">
      <c r="A41" t="s">
        <v>34</v>
      </c>
      <c r="B41" s="1" t="s">
        <v>35</v>
      </c>
    </row>
    <row r="42" spans="1:7" x14ac:dyDescent="0.3">
      <c r="A42" t="s">
        <v>36</v>
      </c>
    </row>
    <row r="43" spans="1:7" x14ac:dyDescent="0.3">
      <c r="A43" t="s">
        <v>37</v>
      </c>
      <c r="B43">
        <v>2.4</v>
      </c>
    </row>
    <row r="44" spans="1:7" x14ac:dyDescent="0.3">
      <c r="A44" t="s">
        <v>38</v>
      </c>
    </row>
    <row r="45" spans="1:7" x14ac:dyDescent="0.3">
      <c r="A45" t="s">
        <v>39</v>
      </c>
      <c r="B45" s="1">
        <v>100</v>
      </c>
    </row>
    <row r="46" spans="1:7" x14ac:dyDescent="0.3">
      <c r="A46" t="s">
        <v>40</v>
      </c>
      <c r="B46">
        <v>100</v>
      </c>
    </row>
    <row r="47" spans="1:7" x14ac:dyDescent="0.3">
      <c r="A47" t="s">
        <v>41</v>
      </c>
    </row>
    <row r="48" spans="1:7" x14ac:dyDescent="0.3">
      <c r="A48" t="s">
        <v>42</v>
      </c>
    </row>
    <row r="49" spans="1:3" x14ac:dyDescent="0.3">
      <c r="A49" t="s">
        <v>43</v>
      </c>
      <c r="B49">
        <v>148</v>
      </c>
    </row>
    <row r="50" spans="1:3" x14ac:dyDescent="0.3">
      <c r="A50" t="s">
        <v>44</v>
      </c>
    </row>
    <row r="51" spans="1:3" x14ac:dyDescent="0.3">
      <c r="A51" t="s">
        <v>74</v>
      </c>
    </row>
    <row r="52" spans="1:3" x14ac:dyDescent="0.3">
      <c r="A52" t="s">
        <v>75</v>
      </c>
      <c r="B52" s="1"/>
    </row>
    <row r="53" spans="1:3" x14ac:dyDescent="0.3">
      <c r="A53" t="s">
        <v>76</v>
      </c>
      <c r="B53" s="1"/>
    </row>
    <row r="54" spans="1:3" x14ac:dyDescent="0.3">
      <c r="A54" t="s">
        <v>77</v>
      </c>
    </row>
    <row r="55" spans="1:3" x14ac:dyDescent="0.3">
      <c r="A55" t="s">
        <v>78</v>
      </c>
    </row>
    <row r="56" spans="1:3" x14ac:dyDescent="0.3">
      <c r="A56" t="s">
        <v>79</v>
      </c>
    </row>
    <row r="57" spans="1:3" x14ac:dyDescent="0.3">
      <c r="A57" t="s">
        <v>45</v>
      </c>
      <c r="B57" s="1" t="s">
        <v>111</v>
      </c>
      <c r="C57" s="1"/>
    </row>
    <row r="58" spans="1:3" x14ac:dyDescent="0.3">
      <c r="A58" t="s">
        <v>46</v>
      </c>
    </row>
    <row r="59" spans="1:3" x14ac:dyDescent="0.3">
      <c r="A59" t="s">
        <v>47</v>
      </c>
      <c r="B59">
        <v>27.2</v>
      </c>
    </row>
    <row r="60" spans="1:3" x14ac:dyDescent="0.3">
      <c r="A60" t="s">
        <v>48</v>
      </c>
    </row>
    <row r="61" spans="1:3" x14ac:dyDescent="0.3">
      <c r="A61" t="s">
        <v>49</v>
      </c>
      <c r="B61">
        <v>38</v>
      </c>
    </row>
    <row r="62" spans="1:3" x14ac:dyDescent="0.3">
      <c r="A62" t="s">
        <v>50</v>
      </c>
    </row>
    <row r="63" spans="1:3" x14ac:dyDescent="0.3">
      <c r="A63" t="s">
        <v>51</v>
      </c>
    </row>
    <row r="64" spans="1:3" x14ac:dyDescent="0.3">
      <c r="A64" t="s">
        <v>52</v>
      </c>
    </row>
    <row r="65" spans="1:2" x14ac:dyDescent="0.3">
      <c r="A65" t="s">
        <v>53</v>
      </c>
    </row>
    <row r="66" spans="1:2" x14ac:dyDescent="0.3">
      <c r="A66" t="s">
        <v>54</v>
      </c>
      <c r="B66" s="1" t="s">
        <v>83</v>
      </c>
    </row>
    <row r="67" spans="1:2" x14ac:dyDescent="0.3">
      <c r="A67" t="s">
        <v>55</v>
      </c>
      <c r="B67" s="1" t="s">
        <v>83</v>
      </c>
    </row>
    <row r="68" spans="1:2" x14ac:dyDescent="0.3">
      <c r="A68" t="s">
        <v>56</v>
      </c>
    </row>
    <row r="69" spans="1:2" x14ac:dyDescent="0.3">
      <c r="A69" t="s">
        <v>57</v>
      </c>
      <c r="B69" s="1"/>
    </row>
    <row r="70" spans="1:2" x14ac:dyDescent="0.3">
      <c r="A70" t="s">
        <v>58</v>
      </c>
    </row>
    <row r="71" spans="1:2" x14ac:dyDescent="0.3">
      <c r="A71" t="s">
        <v>59</v>
      </c>
    </row>
    <row r="72" spans="1:2" x14ac:dyDescent="0.3">
      <c r="A72" t="s">
        <v>60</v>
      </c>
    </row>
    <row r="73" spans="1:2" x14ac:dyDescent="0.3">
      <c r="A73" t="s">
        <v>61</v>
      </c>
    </row>
    <row r="74" spans="1:2" x14ac:dyDescent="0.3">
      <c r="A74" t="s">
        <v>62</v>
      </c>
    </row>
    <row r="75" spans="1:2" x14ac:dyDescent="0.3">
      <c r="A75" t="s">
        <v>63</v>
      </c>
    </row>
    <row r="76" spans="1:2" x14ac:dyDescent="0.3">
      <c r="A76" t="s">
        <v>64</v>
      </c>
    </row>
    <row r="77" spans="1:2" x14ac:dyDescent="0.3">
      <c r="A77" t="s">
        <v>65</v>
      </c>
    </row>
    <row r="78" spans="1:2" x14ac:dyDescent="0.3">
      <c r="A78" t="s">
        <v>66</v>
      </c>
    </row>
    <row r="79" spans="1:2" x14ac:dyDescent="0.3">
      <c r="A79" t="s">
        <v>67</v>
      </c>
    </row>
    <row r="80" spans="1:2" x14ac:dyDescent="0.3">
      <c r="A80" t="s">
        <v>68</v>
      </c>
      <c r="B80" s="1" t="s">
        <v>72</v>
      </c>
    </row>
    <row r="81" spans="1:2" x14ac:dyDescent="0.3">
      <c r="A81" t="s">
        <v>73</v>
      </c>
      <c r="B8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2026-01-16T00:19:57Z</dcterms:modified>
</cp:coreProperties>
</file>