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E5D8093-86CC-FB47-9411-4C67F44873E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<sst xmlns="http://schemas.openxmlformats.org/spreadsheetml/2006/main" count="124" uniqueCount="118">
  <si>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</si>
  <si>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</si>
  <si>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</si>
  <si>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</si>
  <si>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</si>
  <si>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</si>
  <si>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</si>
  <si>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</si>
  <si>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</si>
  <si>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</si>
  <si>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</si>
  <si>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</si>
  <si>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</si>
  <si>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</si>
  <si>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</si>
  <si>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</si>
  <si>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</si>
  <si>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</si>
  <si>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</si>
  <si>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</si>
  <si>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</si>
  <si>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</si>
  <si>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</si>
  <si>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</si>
  <si>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</si>
  <si>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</si>
  <si>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</si>
  <si>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</si>
  <si>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</si>
  <si>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</si>
  <si>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</si>
  <si>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</si>
  <si>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</si>
  <si>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</si>
  <si>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</si>
  <si>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</si>
  <si>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</si>
  <si>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</si>
  <si>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</si>
  <si>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</si>
  <si>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</si>
  <si>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</si>
  <si>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</si>
  <si>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</si>
  <si>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</si>
  <si>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</si>
  <si>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</si>
  <si>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</si>
  <si>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</si>
  <si>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</si>
  <si>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</si>
  <si>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</si>
  <si>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</si>
  <si>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</si>
  <si>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</si>
  <si>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</si>
  <si>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</si>
  <si>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</si>
  <si>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</si>
  <si>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</si>
  <si>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</si>
  <si>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</si>
  <si>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</si>
  <si>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</si>
  <si>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</si>
  <si>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</si>
  <si>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</si>
  <si>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</si>
  <si>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</si>
  <si>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</si>
  <si>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</si>
  <si>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</si>
  <si>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</t>
  </si>
  <si>
    <t>M</t>
  </si>
  <si>
    <t>L</t>
  </si>
  <si>
    <t>XL</t>
  </si>
  <si>
    <t>trail</t>
  </si>
  <si>
    <t>aluminum</t>
  </si>
  <si>
    <t>DKK</t>
  </si>
  <si>
    <t>Metric</t>
  </si>
  <si>
    <t>XS</t>
  </si>
  <si>
    <t>Stack (mm)</t>
  </si>
  <si>
    <t>Reach (mm)</t>
  </si>
  <si>
    <t>Stack to Reach Ratio</t>
  </si>
  <si>
    <t>1.42:1</t>
  </si>
  <si>
    <t>1.44:1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</si>
  <si>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</si>
  <si>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</si>
  <si>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</si>
  <si>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</si>
  <si>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</si>
  <si>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</si>
  <si>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</si>
  <si>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</si>
  <si>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</si>
  <si>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</si>
  <si>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</si>
  <si>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</si>
  <si>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</si>
  <si>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</si>
  <si>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</si>
  <si>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</si>
  <si>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Koga</t>
  </si>
  <si>
    <t>stack_to_reach</t>
  </si>
  <si>
    <t>top_tube_slope_spec</t>
  </si>
  <si>
    <t>bb_height</t>
  </si>
  <si>
    <t>chainstay_horiz</t>
  </si>
  <si>
    <t>front_center_horiz</t>
  </si>
  <si>
    <t>internal</t>
  </si>
  <si>
    <t>rigid</t>
  </si>
  <si>
    <t>a8:g37</t>
  </si>
  <si>
    <t>https://www.koga.com/en/bikes/race-gravel-bikes/colmaro-allroad-silk-red.htm?frame=H</t>
  </si>
  <si>
    <t>https://bikeinsights.com/bikes/604f6e0bd0deb400177ce61f-koga-colmaro?version=2025&amp;build=allroad</t>
  </si>
  <si>
    <t>drop bar</t>
  </si>
  <si>
    <t>Colmaro All-Road</t>
  </si>
  <si>
    <t>https://www.koga.com/bike-images/KCDR0202.tif?width=1500&amp;format=jpg</t>
  </si>
  <si>
    <t>location</t>
  </si>
  <si>
    <t>Heerenveen, Netherlands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</si>
</sst>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topLeftCell="A64" workbookViewId="0">
      <selection activeCell="A78" sqref="A78:B78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102</v>
      </c>
    </row>
    <row r="2" spans="1:12" x14ac:dyDescent="0.3">
      <c r="A2" t="s">
        <v>1</v>
      </c>
      <c r="B2" s="2" t="s">
        <v>114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111</v>
      </c>
      <c r="H5" t="s">
        <v>112</v>
      </c>
    </row>
    <row r="6" spans="1:12" x14ac:dyDescent="0.3">
      <c r="B6" t="s">
        <v>115</v>
      </c>
    </row>
    <row r="7" spans="1:12" x14ac:dyDescent="0.3">
      <c r="A7" t="s">
        <v>5</v>
      </c>
      <c r="B7" s="2" t="s">
        <v>110</v>
      </c>
    </row>
    <row r="8" spans="1:12" x14ac:dyDescent="0.3">
      <c r="A8" t="s">
        <v>6</v>
      </c>
      <c r="B8" t="s">
        <v>79</v>
      </c>
      <c r="C8" t="s">
        <v>80</v>
      </c>
      <c r="D8" t="s">
        <v>72</v>
      </c>
      <c r="E8" t="s">
        <v>73</v>
      </c>
      <c r="F8" t="s">
        <v>74</v>
      </c>
      <c r="G8" s="2" t="s">
        <v>75</v>
      </c>
    </row>
    <row r="9" spans="1:12" x14ac:dyDescent="0.3">
      <c r="A9" t="s">
        <v>17</v>
      </c>
      <c r="B9" t="s">
        <v>81</v>
      </c>
      <c r="C9">
        <v>546</v>
      </c>
      <c r="D9">
        <v>559</v>
      </c>
      <c r="E9">
        <v>580</v>
      </c>
      <c r="F9">
        <v>599</v>
      </c>
      <c r="G9">
        <v>620</v>
      </c>
    </row>
    <row r="10" spans="1:12" x14ac:dyDescent="0.3">
      <c r="A10" t="s">
        <v>18</v>
      </c>
      <c r="B10" t="s">
        <v>82</v>
      </c>
      <c r="C10">
        <v>384</v>
      </c>
      <c r="D10">
        <v>388</v>
      </c>
      <c r="E10">
        <v>391</v>
      </c>
      <c r="F10">
        <v>400</v>
      </c>
      <c r="G10">
        <v>407</v>
      </c>
    </row>
    <row r="11" spans="1:12" x14ac:dyDescent="0.3">
      <c r="A11" s="2" t="s">
        <v>103</v>
      </c>
      <c r="B11" t="s">
        <v>83</v>
      </c>
      <c r="C11">
        <f>VALUE(LEFT(H11,4))</f>
        <v>1.42</v>
      </c>
      <c r="D11">
        <f t="shared" ref="D11:G11" si="0">VALUE(LEFT(I11,4))</f>
        <v>1.44</v>
      </c>
      <c r="E11">
        <f t="shared" si="0"/>
        <v>1.48</v>
      </c>
      <c r="F11">
        <f>VALUE(LEFT(K11,3))</f>
        <v>1.5</v>
      </c>
      <c r="G11">
        <f t="shared" si="0"/>
        <v>1.52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</row>
    <row r="12" spans="1:12" x14ac:dyDescent="0.3">
      <c r="A12" t="s">
        <v>7</v>
      </c>
      <c r="B12" t="s">
        <v>89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104</v>
      </c>
      <c r="B13" t="s">
        <v>90</v>
      </c>
      <c r="C13">
        <v>10.4</v>
      </c>
      <c r="D13">
        <v>9.6</v>
      </c>
      <c r="E13">
        <v>8.6</v>
      </c>
      <c r="F13">
        <v>7.3</v>
      </c>
      <c r="G13">
        <v>6.4</v>
      </c>
    </row>
    <row r="14" spans="1:12" x14ac:dyDescent="0.3">
      <c r="A14" t="s">
        <v>9</v>
      </c>
      <c r="B14" t="s">
        <v>91</v>
      </c>
      <c r="C14">
        <v>70</v>
      </c>
      <c r="D14">
        <v>71</v>
      </c>
      <c r="E14">
        <v>71.5</v>
      </c>
      <c r="F14">
        <v>71.5</v>
      </c>
      <c r="G14">
        <v>72</v>
      </c>
    </row>
    <row r="15" spans="1:12" x14ac:dyDescent="0.3">
      <c r="A15" t="s">
        <v>10</v>
      </c>
      <c r="B15" t="s">
        <v>92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93</v>
      </c>
      <c r="C16">
        <v>120</v>
      </c>
      <c r="D16">
        <v>130</v>
      </c>
      <c r="E16">
        <v>150</v>
      </c>
      <c r="F16">
        <v>170</v>
      </c>
      <c r="G16">
        <v>190</v>
      </c>
    </row>
    <row r="17" spans="1:7" x14ac:dyDescent="0.3">
      <c r="A17" t="s">
        <v>11</v>
      </c>
      <c r="B17" t="s">
        <v>94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105</v>
      </c>
      <c r="B18" t="s">
        <v>95</v>
      </c>
      <c r="C18">
        <v>276</v>
      </c>
      <c r="D18">
        <v>276</v>
      </c>
      <c r="E18">
        <v>276</v>
      </c>
      <c r="F18">
        <v>276</v>
      </c>
      <c r="G18">
        <v>276</v>
      </c>
    </row>
    <row r="19" spans="1:7" x14ac:dyDescent="0.3">
      <c r="A19" t="s">
        <v>14</v>
      </c>
      <c r="B19" t="s">
        <v>96</v>
      </c>
      <c r="C19">
        <v>435</v>
      </c>
      <c r="D19">
        <v>435</v>
      </c>
      <c r="E19">
        <v>435</v>
      </c>
      <c r="F19">
        <v>435</v>
      </c>
      <c r="G19">
        <v>435</v>
      </c>
    </row>
    <row r="20" spans="1:7" x14ac:dyDescent="0.3">
      <c r="A20" s="2" t="s">
        <v>106</v>
      </c>
      <c r="B20" t="s">
        <v>97</v>
      </c>
      <c r="C20">
        <v>428.5</v>
      </c>
      <c r="D20">
        <v>428.5</v>
      </c>
      <c r="E20">
        <v>428.5</v>
      </c>
      <c r="F20">
        <v>428.5</v>
      </c>
      <c r="G20">
        <v>428.5</v>
      </c>
    </row>
    <row r="21" spans="1:7" x14ac:dyDescent="0.3">
      <c r="A21" t="s">
        <v>15</v>
      </c>
      <c r="B21" t="s">
        <v>98</v>
      </c>
      <c r="C21">
        <v>615.1</v>
      </c>
      <c r="D21">
        <v>614.1</v>
      </c>
      <c r="E21">
        <v>619.1</v>
      </c>
      <c r="F21">
        <v>635</v>
      </c>
      <c r="G21">
        <v>642.9</v>
      </c>
    </row>
    <row r="22" spans="1:7" x14ac:dyDescent="0.3">
      <c r="A22" s="2" t="s">
        <v>107</v>
      </c>
      <c r="B22" t="s">
        <v>99</v>
      </c>
      <c r="C22">
        <v>610.5</v>
      </c>
      <c r="D22">
        <v>609.5</v>
      </c>
      <c r="E22">
        <v>614.5</v>
      </c>
      <c r="F22">
        <v>630.5</v>
      </c>
      <c r="G22">
        <v>638.5</v>
      </c>
    </row>
    <row r="23" spans="1:7" x14ac:dyDescent="0.3">
      <c r="A23" t="s">
        <v>12</v>
      </c>
      <c r="B23" t="s">
        <v>100</v>
      </c>
      <c r="C23">
        <v>1039</v>
      </c>
      <c r="D23">
        <v>1038</v>
      </c>
      <c r="E23">
        <v>1043</v>
      </c>
      <c r="F23">
        <v>1059</v>
      </c>
      <c r="G23">
        <v>1067</v>
      </c>
    </row>
    <row r="24" spans="1:7" x14ac:dyDescent="0.3">
      <c r="A24" t="s">
        <v>20</v>
      </c>
      <c r="B24" t="s">
        <v>101</v>
      </c>
      <c r="C24">
        <v>45</v>
      </c>
      <c r="D24">
        <v>45</v>
      </c>
      <c r="E24">
        <v>45</v>
      </c>
      <c r="F24">
        <v>45</v>
      </c>
      <c r="G24">
        <v>45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76</v>
      </c>
    </row>
    <row r="28" spans="1:7" x14ac:dyDescent="0.3">
      <c r="A28" t="s">
        <v>19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s="2" t="s">
        <v>113</v>
      </c>
    </row>
    <row r="42" spans="1:7" x14ac:dyDescent="0.3">
      <c r="A42" t="s">
        <v>70</v>
      </c>
      <c r="B42" s="2" t="s">
        <v>109</v>
      </c>
    </row>
    <row r="43" spans="1:7" x14ac:dyDescent="0.3">
      <c r="A43" t="s">
        <v>32</v>
      </c>
      <c r="B43" s="2" t="s">
        <v>77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43</v>
      </c>
      <c r="B54" s="2"/>
    </row>
    <row r="55" spans="1:2" x14ac:dyDescent="0.3">
      <c r="A55" t="s">
        <v>44</v>
      </c>
    </row>
    <row r="56" spans="1:2" x14ac:dyDescent="0.3">
      <c r="A56" t="s">
        <v>45</v>
      </c>
      <c r="B56">
        <v>27.2</v>
      </c>
    </row>
    <row r="57" spans="1:2" x14ac:dyDescent="0.3">
      <c r="A57" t="s">
        <v>46</v>
      </c>
      <c r="B57" s="2" t="s">
        <v>71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  <c r="B63" s="2" t="s">
        <v>108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  <c r="B68">
        <v>1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  <c r="B70">
        <v>3</v>
      </c>
    </row>
    <row r="71" spans="1:2" x14ac:dyDescent="0.3">
      <c r="A71" t="s">
        <v>60</v>
      </c>
      <c r="B71" s="2"/>
    </row>
    <row r="72" spans="1:2" x14ac:dyDescent="0.3">
      <c r="A72" t="s">
        <v>61</v>
      </c>
      <c r="B72" s="2"/>
    </row>
    <row r="73" spans="1:2" x14ac:dyDescent="0.3">
      <c r="A73" t="s">
        <v>62</v>
      </c>
      <c r="B73" s="2" t="s">
        <v>71</v>
      </c>
    </row>
    <row r="74" spans="1:2" x14ac:dyDescent="0.3">
      <c r="A74" t="s">
        <v>63</v>
      </c>
    </row>
    <row r="75" spans="1:2" x14ac:dyDescent="0.3">
      <c r="A75" t="s">
        <v>64</v>
      </c>
      <c r="B75">
        <v>19999</v>
      </c>
    </row>
    <row r="76" spans="1:2" x14ac:dyDescent="0.3">
      <c r="A76" t="s">
        <v>65</v>
      </c>
    </row>
    <row r="77" spans="1:2" x14ac:dyDescent="0.3">
      <c r="A77" t="s">
        <v>66</v>
      </c>
      <c r="B77" s="2" t="s">
        <v>78</v>
      </c>
    </row>
    <row r="78" spans="1:2" x14ac:dyDescent="0.3">
      <c r="A78" t="s">
        <v>116</v>
      </c>
      <c r="B78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2025-10-17T21:17:10Z</dcterms:modified>
</cp:coreProperties>
</file>