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BB644D4F-D994-5544-B87A-0C5D008D573D}" xr6:coauthVersionLast="47" xr6:coauthVersionMax="47" xr10:uidLastSave="{00000000-0000-0000-0000-000000000000}"/>
  <bookViews>
    <workbookView xWindow="27400" yWindow="-18560" windowWidth="29680" windowHeight="176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E9" i="1"/>
  <c r="F9" i="1"/>
  <c r="G9" i="1"/>
  <c r="D10" i="1"/>
  <c r="E10" i="1"/>
  <c r="F10" i="1"/>
  <c r="G10" i="1"/>
  <c r="D11" i="1"/>
  <c r="E11" i="1"/>
  <c r="F11" i="1"/>
  <c r="G11" i="1"/>
  <c r="D13" i="1"/>
  <c r="E13" i="1"/>
  <c r="F13" i="1"/>
  <c r="G13" i="1"/>
  <c r="D14" i="1"/>
  <c r="E14" i="1"/>
  <c r="F14" i="1"/>
  <c r="G14" i="1"/>
  <c r="D15" i="1"/>
  <c r="E15" i="1"/>
  <c r="F15" i="1"/>
  <c r="G15" i="1"/>
  <c r="D16" i="1"/>
  <c r="E16" i="1"/>
  <c r="F16" i="1"/>
  <c r="G16" i="1"/>
  <c r="D17" i="1"/>
  <c r="E17" i="1"/>
  <c r="F17" i="1"/>
  <c r="G17" i="1"/>
  <c r="D18" i="1"/>
  <c r="E18" i="1"/>
  <c r="F18" i="1"/>
  <c r="G18" i="1"/>
  <c r="D19" i="1"/>
  <c r="E19" i="1"/>
  <c r="F19" i="1"/>
  <c r="G19" i="1"/>
  <c r="D20" i="1"/>
  <c r="E20" i="1"/>
  <c r="F20" i="1"/>
  <c r="G20" i="1"/>
  <c r="D21" i="1"/>
  <c r="E21" i="1"/>
  <c r="F21" i="1"/>
  <c r="G21" i="1"/>
  <c r="D22" i="1"/>
  <c r="E22" i="1"/>
  <c r="F22" i="1"/>
  <c r="G22" i="1"/>
  <c r="D23" i="1"/>
  <c r="E23" i="1"/>
  <c r="F23" i="1"/>
  <c r="G23" i="1"/>
  <c r="D24" i="1"/>
  <c r="E24" i="1"/>
  <c r="F24" i="1"/>
  <c r="G24" i="1"/>
  <c r="D25" i="1"/>
  <c r="E25" i="1"/>
  <c r="F25" i="1"/>
  <c r="G25" i="1"/>
  <c r="C14" i="1"/>
  <c r="C13" i="1"/>
  <c r="C11" i="1"/>
  <c r="C15" i="1"/>
  <c r="C16" i="1"/>
  <c r="C17" i="1"/>
  <c r="C18" i="1"/>
  <c r="C19" i="1"/>
  <c r="C20" i="1"/>
  <c r="C21" i="1"/>
  <c r="C22" i="1"/>
  <c r="C23" i="1"/>
  <c r="C24" i="1"/>
  <c r="C25" i="1"/>
  <c r="C10" i="1"/>
  <c r="C9" i="1"/>
</calcChain>
</file>

<file path=xl/sharedStrings.xml><?xml version="1.0" encoding="utf-8"?>
<sst xmlns="http://schemas.openxmlformats.org/spreadsheetml/2006/main" count="140" uniqueCount="130">
  <si>
    <t>brand</t>
  </si>
  <si>
    <t>Cannondale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</si>
  <si>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</si>
  <si>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</si>
  <si>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</si>
  <si>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</si>
  <si>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</si>
  <si>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</si>
  <si>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</si>
  <si>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</si>
  <si>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top_tube_actual</t>
  </si>
  <si>
    <t>head_tube_angle</t>
  </si>
  <si>
    <t>seat_tube_angle</t>
  </si>
  <si>
    <t>standover</t>
  </si>
  <si>
    <t>head_tube_length</t>
  </si>
  <si>
    <t>wheelbase</t>
  </si>
  <si>
    <t>front_center</t>
  </si>
  <si>
    <t>chainstay_length</t>
  </si>
  <si>
    <t>bottom_bracket_drop</t>
  </si>
  <si>
    <t>bottom_bracket_height</t>
  </si>
  <si>
    <t>fork_offset_rake</t>
  </si>
  <si>
    <t>trail</t>
  </si>
  <si>
    <t>stack</t>
  </si>
  <si>
    <t>reach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</si>
  <si>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</si>
  <si>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</si>
  <si>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</si>
  <si>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</si>
  <si>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</si>
  <si>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</si>
  <si>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</si>
  <si>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</si>
  <si>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</si>
  <si>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</si>
  <si>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</si>
  <si>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</si>
  <si>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</si>
  <si>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</si>
  <si>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</si>
  <si>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</si>
  <si>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</si>
  <si>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</si>
  <si>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</si>
  <si>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</si>
  <si>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</si>
  <si>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</si>
  <si>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</si>
  <si>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</si>
  <si>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</si>
  <si>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</si>
  <si>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</si>
  <si>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</si>
  <si>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</si>
  <si>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</si>
  <si>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</si>
  <si>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</si>
  <si>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</si>
  <si>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</si>
  <si>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</si>
  <si>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</si>
  <si>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</si>
  <si>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</si>
  <si>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</si>
  <si>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</si>
  <si>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</si>
  <si>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</si>
  <si>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</si>
  <si>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</si>
  <si>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</si>
  <si>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</si>
  <si>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</si>
  <si>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</si>
  <si>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</si>
  <si>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</si>
  <si>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</si>
  <si>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</si>
  <si>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axle_crown</t>
  </si>
  <si>
    <t>yes</t>
  </si>
  <si>
    <t>USD</t>
  </si>
  <si>
    <t>Size</t>
  </si>
  <si>
    <t>Wheel Size</t>
  </si>
  <si>
    <t>A — Seat Tube Length (cm)</t>
  </si>
  <si>
    <t>B — Top Tube Horizontal (cm)</t>
  </si>
  <si>
    <t>C — Top Tube Actual (cm)</t>
  </si>
  <si>
    <t>D — Head Tube Angle</t>
  </si>
  <si>
    <t>E — Seat Tube Angle</t>
  </si>
  <si>
    <t>F — Standover (cm)</t>
  </si>
  <si>
    <t>G — Head Tube Length (cm)</t>
  </si>
  <si>
    <t>H — Wheelbase (cm)</t>
  </si>
  <si>
    <t>I — Front Center (cm)</t>
  </si>
  <si>
    <t>J — Chain Stay Length (cm)</t>
  </si>
  <si>
    <t>K — Bottom Bracket Drop (cm)</t>
  </si>
  <si>
    <t>L — Bottom Bracket Height (cm)</t>
  </si>
  <si>
    <t>M — Fork Rake (cm)</t>
  </si>
  <si>
    <t>N — Trail (cm)</t>
  </si>
  <si>
    <t>O — Stack (cm)</t>
  </si>
  <si>
    <t>P — Reach (cm)</t>
  </si>
  <si>
    <t>SuperSix Evo SE</t>
  </si>
  <si>
    <t>internal</t>
  </si>
  <si>
    <t>press fit</t>
  </si>
  <si>
    <t>700c</t>
  </si>
  <si>
    <t>Seat Tube Length (cm)</t>
  </si>
  <si>
    <t>Top Tube Horizontal (cm)</t>
  </si>
  <si>
    <t>Top Tube Actual (cm)</t>
  </si>
  <si>
    <t>Head Tube Angle</t>
  </si>
  <si>
    <t>Seat Tube Angle</t>
  </si>
  <si>
    <t>Standover (cm)</t>
  </si>
  <si>
    <t>Head Tube Length (cm)</t>
  </si>
  <si>
    <t>Wheelbase (cm)</t>
  </si>
  <si>
    <t>Front Center (cm)</t>
  </si>
  <si>
    <t>Chain Stay Length (cm)</t>
  </si>
  <si>
    <t>Bottom Bracket Drop (cm)</t>
  </si>
  <si>
    <t>Bottom Bracket Height (cm)</t>
  </si>
  <si>
    <t>Fork Rake (cm)</t>
  </si>
  <si>
    <t>Trail (cm)</t>
  </si>
  <si>
    <t>Stack (cm)</t>
  </si>
  <si>
    <t>Reach (cm)</t>
  </si>
  <si>
    <t>size</t>
  </si>
  <si>
    <t>rigid</t>
  </si>
  <si>
    <t>a8:g34</t>
  </si>
  <si>
    <t>https://www.cannondale.com/en-us/bikes/road/gravel/supersix-evo-se</t>
  </si>
  <si>
    <t>https://embed.widencdn.net/img/dorelrl/nup4udtkrk/1700px@1x/C21_C17102U_SuperSix_EVO_SE_MTG_PD.webp?color=f1edea&amp;q=99</t>
  </si>
  <si>
    <t>location</t>
  </si>
  <si>
    <t>Wilton, Connecticut, USA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</si>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</sst>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4"/>
      <color rgb="FF000000"/>
      <name val="Futura"/>
      <family val="2"/>
    </font>
    <font>
      <sz val="14"/>
      <color rgb="FF000000"/>
      <name val="Futura Medium"/>
    </font>
    <font>
      <sz val="14"/>
      <color theme="1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5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1"/>
  <sheetViews>
    <sheetView tabSelected="1" topLeftCell="A53" workbookViewId="0">
      <selection activeCell="A75" sqref="A75:B75"/>
    </sheetView>
  </sheetViews>
  <sheetFormatPr baseColWidth="10" defaultRowHeight="20" x14ac:dyDescent="0.3"/>
  <cols>
    <col min="1" max="2" width="19.6640625" customWidth="1"/>
  </cols>
  <sheetData>
    <row r="1" spans="1:15" x14ac:dyDescent="0.3">
      <c r="A1" t="s">
        <v>0</v>
      </c>
      <c r="B1" t="s">
        <v>1</v>
      </c>
    </row>
    <row r="2" spans="1:15" x14ac:dyDescent="0.3">
      <c r="A2" t="s">
        <v>2</v>
      </c>
      <c r="B2" s="2" t="s">
        <v>97</v>
      </c>
    </row>
    <row r="3" spans="1:15" x14ac:dyDescent="0.3">
      <c r="A3" t="s">
        <v>3</v>
      </c>
      <c r="B3">
        <v>2025</v>
      </c>
    </row>
    <row r="4" spans="1:15" x14ac:dyDescent="0.3">
      <c r="A4" t="s">
        <v>4</v>
      </c>
      <c r="B4" s="1">
        <v>45916</v>
      </c>
    </row>
    <row r="5" spans="1:15" x14ac:dyDescent="0.3">
      <c r="A5" t="s">
        <v>5</v>
      </c>
      <c r="B5" t="s">
        <v>120</v>
      </c>
    </row>
    <row r="6" spans="1:15" x14ac:dyDescent="0.3">
      <c r="B6" t="s">
        <v>121</v>
      </c>
    </row>
    <row r="7" spans="1:15" x14ac:dyDescent="0.3">
      <c r="A7" t="s">
        <v>6</v>
      </c>
      <c r="B7" s="2" t="s">
        <v>119</v>
      </c>
    </row>
    <row r="8" spans="1:15" x14ac:dyDescent="0.3">
      <c r="A8" t="s">
        <v>7</v>
      </c>
      <c r="B8" s="5" t="s">
        <v>117</v>
      </c>
      <c r="C8">
        <v>46</v>
      </c>
      <c r="D8">
        <v>51</v>
      </c>
      <c r="E8">
        <v>54</v>
      </c>
      <c r="F8">
        <v>56</v>
      </c>
      <c r="G8">
        <v>58</v>
      </c>
      <c r="I8" s="4" t="s">
        <v>79</v>
      </c>
      <c r="J8" s="4">
        <v>46</v>
      </c>
      <c r="K8" s="4">
        <v>51</v>
      </c>
      <c r="L8" s="4">
        <v>54</v>
      </c>
      <c r="M8" s="4">
        <v>56</v>
      </c>
      <c r="N8" s="4">
        <v>58</v>
      </c>
      <c r="O8" s="4"/>
    </row>
    <row r="9" spans="1:15" x14ac:dyDescent="0.3">
      <c r="A9" t="s">
        <v>28</v>
      </c>
      <c r="B9" t="s">
        <v>80</v>
      </c>
      <c r="C9">
        <f>VALUE(LEFT(J9,3))</f>
        <v>700</v>
      </c>
      <c r="D9">
        <f t="shared" ref="D9:G9" si="0">VALUE(LEFT(K9,3))</f>
        <v>700</v>
      </c>
      <c r="E9">
        <f t="shared" si="0"/>
        <v>700</v>
      </c>
      <c r="F9">
        <f t="shared" si="0"/>
        <v>700</v>
      </c>
      <c r="G9">
        <f t="shared" si="0"/>
        <v>700</v>
      </c>
      <c r="J9" s="4" t="s">
        <v>100</v>
      </c>
      <c r="K9" s="4" t="s">
        <v>100</v>
      </c>
      <c r="L9" s="4" t="s">
        <v>100</v>
      </c>
      <c r="M9" s="4" t="s">
        <v>100</v>
      </c>
      <c r="N9" s="4" t="s">
        <v>100</v>
      </c>
      <c r="O9" s="4"/>
    </row>
    <row r="10" spans="1:15" x14ac:dyDescent="0.3">
      <c r="A10" s="2" t="s">
        <v>8</v>
      </c>
      <c r="B10" t="s">
        <v>81</v>
      </c>
      <c r="C10">
        <f>J10*10</f>
        <v>449</v>
      </c>
      <c r="D10">
        <f t="shared" ref="D10:G11" si="1">K10*10</f>
        <v>488</v>
      </c>
      <c r="E10">
        <f t="shared" si="1"/>
        <v>524</v>
      </c>
      <c r="F10">
        <f t="shared" si="1"/>
        <v>546</v>
      </c>
      <c r="G10">
        <f t="shared" si="1"/>
        <v>566</v>
      </c>
      <c r="I10" s="4" t="s">
        <v>101</v>
      </c>
      <c r="J10" s="4">
        <v>44.9</v>
      </c>
      <c r="K10" s="4">
        <v>48.8</v>
      </c>
      <c r="L10" s="4">
        <v>52.4</v>
      </c>
      <c r="M10" s="4">
        <v>54.6</v>
      </c>
      <c r="N10" s="4">
        <v>56.6</v>
      </c>
    </row>
    <row r="11" spans="1:15" x14ac:dyDescent="0.3">
      <c r="A11" t="s">
        <v>9</v>
      </c>
      <c r="B11" t="s">
        <v>82</v>
      </c>
      <c r="C11">
        <f t="shared" ref="C11:C25" si="2">J11*10</f>
        <v>507</v>
      </c>
      <c r="D11">
        <f t="shared" si="1"/>
        <v>524</v>
      </c>
      <c r="E11">
        <f t="shared" si="1"/>
        <v>537</v>
      </c>
      <c r="F11">
        <f t="shared" si="1"/>
        <v>555</v>
      </c>
      <c r="G11">
        <f t="shared" si="1"/>
        <v>568</v>
      </c>
      <c r="I11" s="4" t="s">
        <v>102</v>
      </c>
      <c r="J11" s="4">
        <v>50.7</v>
      </c>
      <c r="K11" s="4">
        <v>52.4</v>
      </c>
      <c r="L11" s="4">
        <v>53.7</v>
      </c>
      <c r="M11" s="4">
        <v>55.5</v>
      </c>
      <c r="N11" s="4">
        <v>56.8</v>
      </c>
    </row>
    <row r="12" spans="1:15" x14ac:dyDescent="0.3">
      <c r="A12" t="s">
        <v>10</v>
      </c>
      <c r="B12" t="s">
        <v>83</v>
      </c>
      <c r="I12" s="4" t="s">
        <v>103</v>
      </c>
      <c r="J12" s="4"/>
      <c r="K12" s="4"/>
      <c r="L12" s="4"/>
      <c r="M12" s="4"/>
      <c r="N12" s="4"/>
    </row>
    <row r="13" spans="1:15" x14ac:dyDescent="0.3">
      <c r="A13" t="s">
        <v>11</v>
      </c>
      <c r="B13" t="s">
        <v>84</v>
      </c>
      <c r="C13">
        <f>J13</f>
        <v>70</v>
      </c>
      <c r="D13">
        <f t="shared" ref="D13:G14" si="3">K13</f>
        <v>71</v>
      </c>
      <c r="E13">
        <f t="shared" si="3"/>
        <v>71</v>
      </c>
      <c r="F13">
        <f t="shared" si="3"/>
        <v>71</v>
      </c>
      <c r="G13">
        <f t="shared" si="3"/>
        <v>71</v>
      </c>
      <c r="I13" s="4" t="s">
        <v>104</v>
      </c>
      <c r="J13" s="4">
        <v>70</v>
      </c>
      <c r="K13" s="4">
        <v>71</v>
      </c>
      <c r="L13" s="4">
        <v>71</v>
      </c>
      <c r="M13" s="4">
        <v>71</v>
      </c>
      <c r="N13" s="4">
        <v>71</v>
      </c>
    </row>
    <row r="14" spans="1:15" x14ac:dyDescent="0.3">
      <c r="A14" t="s">
        <v>12</v>
      </c>
      <c r="B14" t="s">
        <v>85</v>
      </c>
      <c r="C14">
        <f>J14</f>
        <v>73.900000000000006</v>
      </c>
      <c r="D14">
        <f t="shared" si="3"/>
        <v>73.099999999999994</v>
      </c>
      <c r="E14">
        <f t="shared" si="3"/>
        <v>73.099999999999994</v>
      </c>
      <c r="F14">
        <f t="shared" si="3"/>
        <v>72.7</v>
      </c>
      <c r="G14">
        <f t="shared" si="3"/>
        <v>72.7</v>
      </c>
      <c r="I14" s="4" t="s">
        <v>105</v>
      </c>
      <c r="J14" s="4">
        <v>73.900000000000006</v>
      </c>
      <c r="K14" s="4">
        <v>73.099999999999994</v>
      </c>
      <c r="L14" s="4">
        <v>73.099999999999994</v>
      </c>
      <c r="M14" s="4">
        <v>72.7</v>
      </c>
      <c r="N14" s="4">
        <v>72.7</v>
      </c>
    </row>
    <row r="15" spans="1:15" x14ac:dyDescent="0.3">
      <c r="A15" t="s">
        <v>13</v>
      </c>
      <c r="B15" t="s">
        <v>86</v>
      </c>
      <c r="C15">
        <f t="shared" si="2"/>
        <v>743</v>
      </c>
      <c r="D15">
        <f t="shared" ref="D15:D25" si="4">K15*10</f>
        <v>773</v>
      </c>
      <c r="E15">
        <f t="shared" ref="E15:E25" si="5">L15*10</f>
        <v>802</v>
      </c>
      <c r="F15">
        <f t="shared" ref="F15:F25" si="6">M15*10</f>
        <v>822</v>
      </c>
      <c r="G15">
        <f t="shared" ref="G15:G25" si="7">N15*10</f>
        <v>843</v>
      </c>
      <c r="I15" s="4" t="s">
        <v>106</v>
      </c>
      <c r="J15" s="4">
        <v>74.3</v>
      </c>
      <c r="K15" s="4">
        <v>77.3</v>
      </c>
      <c r="L15" s="4">
        <v>80.2</v>
      </c>
      <c r="M15" s="4">
        <v>82.2</v>
      </c>
      <c r="N15" s="4">
        <v>84.3</v>
      </c>
    </row>
    <row r="16" spans="1:15" x14ac:dyDescent="0.3">
      <c r="A16" t="s">
        <v>14</v>
      </c>
      <c r="B16" t="s">
        <v>87</v>
      </c>
      <c r="C16">
        <f t="shared" si="2"/>
        <v>93</v>
      </c>
      <c r="D16">
        <f t="shared" si="4"/>
        <v>110</v>
      </c>
      <c r="E16">
        <f t="shared" si="5"/>
        <v>132</v>
      </c>
      <c r="F16">
        <f t="shared" si="6"/>
        <v>153</v>
      </c>
      <c r="G16">
        <f t="shared" si="7"/>
        <v>175</v>
      </c>
      <c r="I16" s="4" t="s">
        <v>107</v>
      </c>
      <c r="J16" s="4">
        <v>9.3000000000000007</v>
      </c>
      <c r="K16" s="4">
        <v>11</v>
      </c>
      <c r="L16" s="4">
        <v>13.2</v>
      </c>
      <c r="M16" s="4">
        <v>15.3</v>
      </c>
      <c r="N16" s="4">
        <v>17.5</v>
      </c>
    </row>
    <row r="17" spans="1:15" x14ac:dyDescent="0.3">
      <c r="A17" t="s">
        <v>15</v>
      </c>
      <c r="B17" t="s">
        <v>88</v>
      </c>
      <c r="C17">
        <f t="shared" si="2"/>
        <v>1002</v>
      </c>
      <c r="D17">
        <f t="shared" si="4"/>
        <v>1005</v>
      </c>
      <c r="E17">
        <f t="shared" si="5"/>
        <v>1020</v>
      </c>
      <c r="F17">
        <f t="shared" si="6"/>
        <v>1034</v>
      </c>
      <c r="G17">
        <f t="shared" si="7"/>
        <v>1048</v>
      </c>
      <c r="I17" s="4" t="s">
        <v>108</v>
      </c>
      <c r="J17" s="4">
        <v>100.2</v>
      </c>
      <c r="K17" s="4">
        <v>100.5</v>
      </c>
      <c r="L17" s="4">
        <v>102</v>
      </c>
      <c r="M17" s="4">
        <v>103.4</v>
      </c>
      <c r="N17" s="4">
        <v>104.8</v>
      </c>
    </row>
    <row r="18" spans="1:15" x14ac:dyDescent="0.3">
      <c r="A18" t="s">
        <v>16</v>
      </c>
      <c r="B18" t="s">
        <v>89</v>
      </c>
      <c r="C18">
        <f t="shared" si="2"/>
        <v>590</v>
      </c>
      <c r="D18">
        <f t="shared" si="4"/>
        <v>593</v>
      </c>
      <c r="E18">
        <f t="shared" si="5"/>
        <v>607</v>
      </c>
      <c r="F18">
        <f t="shared" si="6"/>
        <v>621</v>
      </c>
      <c r="G18">
        <f t="shared" si="7"/>
        <v>635</v>
      </c>
      <c r="I18" s="4" t="s">
        <v>109</v>
      </c>
      <c r="J18" s="4">
        <v>59</v>
      </c>
      <c r="K18" s="4">
        <v>59.3</v>
      </c>
      <c r="L18" s="4">
        <v>60.7</v>
      </c>
      <c r="M18" s="4">
        <v>62.1</v>
      </c>
      <c r="N18" s="4">
        <v>63.5</v>
      </c>
    </row>
    <row r="19" spans="1:15" x14ac:dyDescent="0.3">
      <c r="A19" t="s">
        <v>17</v>
      </c>
      <c r="B19" t="s">
        <v>90</v>
      </c>
      <c r="C19">
        <f t="shared" si="2"/>
        <v>422</v>
      </c>
      <c r="D19">
        <f t="shared" si="4"/>
        <v>422</v>
      </c>
      <c r="E19">
        <f t="shared" si="5"/>
        <v>422</v>
      </c>
      <c r="F19">
        <f t="shared" si="6"/>
        <v>422</v>
      </c>
      <c r="G19">
        <f t="shared" si="7"/>
        <v>422</v>
      </c>
      <c r="I19" s="4" t="s">
        <v>110</v>
      </c>
      <c r="J19" s="4">
        <v>42.2</v>
      </c>
      <c r="K19" s="4">
        <v>42.2</v>
      </c>
      <c r="L19" s="4">
        <v>42.2</v>
      </c>
      <c r="M19" s="4">
        <v>42.2</v>
      </c>
      <c r="N19" s="4">
        <v>42.2</v>
      </c>
    </row>
    <row r="20" spans="1:15" x14ac:dyDescent="0.3">
      <c r="A20" t="s">
        <v>18</v>
      </c>
      <c r="B20" t="s">
        <v>91</v>
      </c>
      <c r="C20">
        <f t="shared" si="2"/>
        <v>70</v>
      </c>
      <c r="D20">
        <f t="shared" si="4"/>
        <v>70</v>
      </c>
      <c r="E20">
        <f t="shared" si="5"/>
        <v>69</v>
      </c>
      <c r="F20">
        <f t="shared" si="6"/>
        <v>69</v>
      </c>
      <c r="G20">
        <f t="shared" si="7"/>
        <v>68</v>
      </c>
      <c r="I20" s="4" t="s">
        <v>111</v>
      </c>
      <c r="J20" s="4">
        <v>7</v>
      </c>
      <c r="K20" s="4">
        <v>7</v>
      </c>
      <c r="L20" s="4">
        <v>6.9</v>
      </c>
      <c r="M20" s="4">
        <v>6.9</v>
      </c>
      <c r="N20" s="4">
        <v>6.8</v>
      </c>
    </row>
    <row r="21" spans="1:15" x14ac:dyDescent="0.3">
      <c r="A21" t="s">
        <v>19</v>
      </c>
      <c r="B21" t="s">
        <v>92</v>
      </c>
      <c r="C21">
        <f t="shared" si="2"/>
        <v>260</v>
      </c>
      <c r="D21">
        <f t="shared" si="4"/>
        <v>260</v>
      </c>
      <c r="E21">
        <f t="shared" si="5"/>
        <v>261</v>
      </c>
      <c r="F21">
        <f t="shared" si="6"/>
        <v>261</v>
      </c>
      <c r="G21">
        <f t="shared" si="7"/>
        <v>262</v>
      </c>
      <c r="I21" s="4" t="s">
        <v>112</v>
      </c>
      <c r="J21" s="4">
        <v>26</v>
      </c>
      <c r="K21" s="4">
        <v>26</v>
      </c>
      <c r="L21" s="4">
        <v>26.1</v>
      </c>
      <c r="M21" s="4">
        <v>26.1</v>
      </c>
      <c r="N21" s="4">
        <v>26.2</v>
      </c>
    </row>
    <row r="22" spans="1:15" x14ac:dyDescent="0.3">
      <c r="A22" t="s">
        <v>20</v>
      </c>
      <c r="B22" t="s">
        <v>93</v>
      </c>
      <c r="C22">
        <f t="shared" si="2"/>
        <v>55</v>
      </c>
      <c r="D22">
        <f t="shared" si="4"/>
        <v>55</v>
      </c>
      <c r="E22">
        <f t="shared" si="5"/>
        <v>55</v>
      </c>
      <c r="F22">
        <f t="shared" si="6"/>
        <v>55</v>
      </c>
      <c r="G22">
        <f t="shared" si="7"/>
        <v>55</v>
      </c>
      <c r="I22" s="4" t="s">
        <v>113</v>
      </c>
      <c r="J22" s="4">
        <v>5.5</v>
      </c>
      <c r="K22" s="4">
        <v>5.5</v>
      </c>
      <c r="L22" s="4">
        <v>5.5</v>
      </c>
      <c r="M22" s="4">
        <v>5.5</v>
      </c>
      <c r="N22" s="4">
        <v>5.5</v>
      </c>
    </row>
    <row r="23" spans="1:15" x14ac:dyDescent="0.3">
      <c r="A23" t="s">
        <v>21</v>
      </c>
      <c r="B23" t="s">
        <v>94</v>
      </c>
      <c r="C23">
        <f t="shared" si="2"/>
        <v>69</v>
      </c>
      <c r="D23">
        <f t="shared" si="4"/>
        <v>62</v>
      </c>
      <c r="E23">
        <f t="shared" si="5"/>
        <v>62</v>
      </c>
      <c r="F23">
        <f t="shared" si="6"/>
        <v>62</v>
      </c>
      <c r="G23">
        <f t="shared" si="7"/>
        <v>62</v>
      </c>
      <c r="I23" s="4" t="s">
        <v>114</v>
      </c>
      <c r="J23" s="4">
        <v>6.9</v>
      </c>
      <c r="K23" s="4">
        <v>6.2</v>
      </c>
      <c r="L23" s="4">
        <v>6.2</v>
      </c>
      <c r="M23" s="4">
        <v>6.2</v>
      </c>
      <c r="N23" s="4">
        <v>6.2</v>
      </c>
    </row>
    <row r="24" spans="1:15" x14ac:dyDescent="0.3">
      <c r="A24" t="s">
        <v>22</v>
      </c>
      <c r="B24" t="s">
        <v>95</v>
      </c>
      <c r="C24">
        <f t="shared" si="2"/>
        <v>515</v>
      </c>
      <c r="D24">
        <f t="shared" si="4"/>
        <v>535</v>
      </c>
      <c r="E24">
        <f t="shared" si="5"/>
        <v>555</v>
      </c>
      <c r="F24">
        <f t="shared" si="6"/>
        <v>575</v>
      </c>
      <c r="G24">
        <f t="shared" si="7"/>
        <v>595</v>
      </c>
      <c r="I24" s="4" t="s">
        <v>115</v>
      </c>
      <c r="J24" s="4">
        <v>51.5</v>
      </c>
      <c r="K24" s="4">
        <v>53.5</v>
      </c>
      <c r="L24" s="4">
        <v>55.5</v>
      </c>
      <c r="M24" s="4">
        <v>57.5</v>
      </c>
      <c r="N24" s="4">
        <v>59.5</v>
      </c>
    </row>
    <row r="25" spans="1:15" x14ac:dyDescent="0.3">
      <c r="A25" t="s">
        <v>23</v>
      </c>
      <c r="B25" t="s">
        <v>96</v>
      </c>
      <c r="C25">
        <f t="shared" si="2"/>
        <v>365</v>
      </c>
      <c r="D25">
        <f t="shared" si="4"/>
        <v>371</v>
      </c>
      <c r="E25">
        <f t="shared" si="5"/>
        <v>378</v>
      </c>
      <c r="F25">
        <f t="shared" si="6"/>
        <v>385</v>
      </c>
      <c r="G25">
        <f t="shared" si="7"/>
        <v>392</v>
      </c>
      <c r="I25" s="4" t="s">
        <v>116</v>
      </c>
      <c r="J25" s="4">
        <v>36.5</v>
      </c>
      <c r="K25" s="4">
        <v>37.1</v>
      </c>
      <c r="L25" s="4">
        <v>37.799999999999997</v>
      </c>
      <c r="M25" s="4">
        <v>38.5</v>
      </c>
      <c r="N25" s="4">
        <v>39.200000000000003</v>
      </c>
    </row>
    <row r="26" spans="1:15" x14ac:dyDescent="0.3">
      <c r="A26" s="2" t="s">
        <v>76</v>
      </c>
      <c r="I26" s="4"/>
      <c r="J26" s="4"/>
      <c r="K26" s="4"/>
      <c r="L26" s="4"/>
      <c r="M26" s="4"/>
      <c r="N26" s="4"/>
      <c r="O26" s="4"/>
    </row>
    <row r="27" spans="1:15" x14ac:dyDescent="0.3">
      <c r="A27" t="s">
        <v>24</v>
      </c>
    </row>
    <row r="28" spans="1:15" x14ac:dyDescent="0.3">
      <c r="A28" t="s">
        <v>25</v>
      </c>
      <c r="B28" t="s">
        <v>25</v>
      </c>
    </row>
    <row r="29" spans="1:15" x14ac:dyDescent="0.3">
      <c r="A29" t="s">
        <v>26</v>
      </c>
      <c r="B29" t="s">
        <v>26</v>
      </c>
    </row>
    <row r="30" spans="1:15" x14ac:dyDescent="0.3">
      <c r="A30" t="s">
        <v>27</v>
      </c>
    </row>
    <row r="31" spans="1:15" x14ac:dyDescent="0.3">
      <c r="A31" t="s">
        <v>29</v>
      </c>
      <c r="B31" t="s">
        <v>29</v>
      </c>
      <c r="C31">
        <v>40</v>
      </c>
      <c r="D31">
        <v>40</v>
      </c>
      <c r="E31">
        <v>40</v>
      </c>
      <c r="F31">
        <v>40</v>
      </c>
      <c r="G31">
        <v>40</v>
      </c>
    </row>
    <row r="32" spans="1:15" x14ac:dyDescent="0.3">
      <c r="A32" t="s">
        <v>30</v>
      </c>
      <c r="B32" t="s">
        <v>30</v>
      </c>
      <c r="C32">
        <v>45</v>
      </c>
      <c r="D32">
        <v>45</v>
      </c>
      <c r="E32">
        <v>45</v>
      </c>
      <c r="F32">
        <v>45</v>
      </c>
      <c r="G32">
        <v>45</v>
      </c>
    </row>
    <row r="33" spans="1:7" x14ac:dyDescent="0.3">
      <c r="A33" t="s">
        <v>31</v>
      </c>
      <c r="B33" t="s">
        <v>31</v>
      </c>
      <c r="C33">
        <v>152</v>
      </c>
      <c r="D33">
        <v>165</v>
      </c>
      <c r="E33">
        <v>170</v>
      </c>
      <c r="F33">
        <v>177</v>
      </c>
      <c r="G33" s="2">
        <v>182</v>
      </c>
    </row>
    <row r="34" spans="1:7" x14ac:dyDescent="0.3">
      <c r="A34" t="s">
        <v>32</v>
      </c>
      <c r="B34" t="s">
        <v>32</v>
      </c>
      <c r="C34">
        <v>162</v>
      </c>
      <c r="D34">
        <v>175</v>
      </c>
      <c r="E34">
        <v>180</v>
      </c>
      <c r="F34">
        <v>186</v>
      </c>
      <c r="G34" s="2">
        <v>193</v>
      </c>
    </row>
    <row r="36" spans="1:7" x14ac:dyDescent="0.3">
      <c r="A36" t="s">
        <v>33</v>
      </c>
      <c r="B36" t="s">
        <v>34</v>
      </c>
    </row>
    <row r="37" spans="1:7" x14ac:dyDescent="0.3">
      <c r="A37" t="s">
        <v>71</v>
      </c>
      <c r="B37" t="s">
        <v>72</v>
      </c>
    </row>
    <row r="38" spans="1:7" x14ac:dyDescent="0.3">
      <c r="A38" t="s">
        <v>73</v>
      </c>
      <c r="B38" t="s">
        <v>74</v>
      </c>
    </row>
    <row r="39" spans="1:7" x14ac:dyDescent="0.3">
      <c r="A39" t="s">
        <v>75</v>
      </c>
      <c r="B39" s="2" t="s">
        <v>118</v>
      </c>
    </row>
    <row r="40" spans="1:7" x14ac:dyDescent="0.3">
      <c r="A40" t="s">
        <v>35</v>
      </c>
      <c r="B40" t="s">
        <v>36</v>
      </c>
    </row>
    <row r="41" spans="1:7" x14ac:dyDescent="0.3">
      <c r="A41" t="s">
        <v>37</v>
      </c>
      <c r="B41" s="2"/>
    </row>
    <row r="42" spans="1:7" x14ac:dyDescent="0.3">
      <c r="A42" t="s">
        <v>38</v>
      </c>
    </row>
    <row r="43" spans="1:7" x14ac:dyDescent="0.3">
      <c r="A43" t="s">
        <v>39</v>
      </c>
      <c r="B43">
        <v>45</v>
      </c>
      <c r="C43" s="2"/>
    </row>
    <row r="44" spans="1:7" x14ac:dyDescent="0.3">
      <c r="A44" t="s">
        <v>40</v>
      </c>
    </row>
    <row r="45" spans="1:7" x14ac:dyDescent="0.3">
      <c r="A45" t="s">
        <v>41</v>
      </c>
    </row>
    <row r="46" spans="1:7" x14ac:dyDescent="0.3">
      <c r="A46" t="s">
        <v>42</v>
      </c>
    </row>
    <row r="47" spans="1:7" x14ac:dyDescent="0.3">
      <c r="A47" t="s">
        <v>43</v>
      </c>
      <c r="B47" s="3"/>
    </row>
    <row r="48" spans="1:7" x14ac:dyDescent="0.3">
      <c r="A48" t="s">
        <v>44</v>
      </c>
    </row>
    <row r="49" spans="1:2" x14ac:dyDescent="0.3">
      <c r="A49" t="s">
        <v>45</v>
      </c>
      <c r="B49">
        <v>142</v>
      </c>
    </row>
    <row r="50" spans="1:2" x14ac:dyDescent="0.3">
      <c r="A50" t="s">
        <v>46</v>
      </c>
      <c r="B50">
        <v>100</v>
      </c>
    </row>
    <row r="51" spans="1:2" x14ac:dyDescent="0.3">
      <c r="A51" t="s">
        <v>124</v>
      </c>
    </row>
    <row r="52" spans="1:2" x14ac:dyDescent="0.3">
      <c r="A52" t="s">
        <v>125</v>
      </c>
    </row>
    <row r="53" spans="1:2" x14ac:dyDescent="0.3">
      <c r="A53" t="s">
        <v>126</v>
      </c>
    </row>
    <row r="54" spans="1:2" x14ac:dyDescent="0.3">
      <c r="A54" t="s">
        <v>127</v>
      </c>
    </row>
    <row r="55" spans="1:2" x14ac:dyDescent="0.3">
      <c r="A55" t="s">
        <v>128</v>
      </c>
    </row>
    <row r="56" spans="1:2" x14ac:dyDescent="0.3">
      <c r="A56" t="s">
        <v>129</v>
      </c>
    </row>
    <row r="57" spans="1:2" x14ac:dyDescent="0.3">
      <c r="A57" t="s">
        <v>47</v>
      </c>
      <c r="B57" s="2" t="s">
        <v>99</v>
      </c>
    </row>
    <row r="58" spans="1:2" x14ac:dyDescent="0.3">
      <c r="A58" t="s">
        <v>48</v>
      </c>
    </row>
    <row r="59" spans="1:2" x14ac:dyDescent="0.3">
      <c r="A59" t="s">
        <v>49</v>
      </c>
      <c r="B59">
        <v>27.2</v>
      </c>
    </row>
    <row r="60" spans="1:2" x14ac:dyDescent="0.3">
      <c r="A60" t="s">
        <v>50</v>
      </c>
      <c r="B60" s="2" t="s">
        <v>77</v>
      </c>
    </row>
    <row r="61" spans="1:2" x14ac:dyDescent="0.3">
      <c r="A61" t="s">
        <v>51</v>
      </c>
    </row>
    <row r="62" spans="1:2" x14ac:dyDescent="0.3">
      <c r="A62" t="s">
        <v>52</v>
      </c>
    </row>
    <row r="63" spans="1:2" x14ac:dyDescent="0.3">
      <c r="A63" t="s">
        <v>53</v>
      </c>
    </row>
    <row r="64" spans="1:2" x14ac:dyDescent="0.3">
      <c r="A64" t="s">
        <v>54</v>
      </c>
    </row>
    <row r="65" spans="1:2" x14ac:dyDescent="0.3">
      <c r="A65" t="s">
        <v>55</v>
      </c>
    </row>
    <row r="66" spans="1:2" x14ac:dyDescent="0.3">
      <c r="A66" t="s">
        <v>56</v>
      </c>
      <c r="B66" s="2" t="s">
        <v>98</v>
      </c>
    </row>
    <row r="67" spans="1:2" x14ac:dyDescent="0.3">
      <c r="A67" t="s">
        <v>57</v>
      </c>
      <c r="B67" s="2"/>
    </row>
    <row r="68" spans="1:2" x14ac:dyDescent="0.3">
      <c r="A68" t="s">
        <v>58</v>
      </c>
    </row>
    <row r="69" spans="1:2" x14ac:dyDescent="0.3">
      <c r="A69" t="s">
        <v>59</v>
      </c>
      <c r="B69" s="2"/>
    </row>
    <row r="70" spans="1:2" x14ac:dyDescent="0.3">
      <c r="A70" t="s">
        <v>60</v>
      </c>
      <c r="B70">
        <v>2</v>
      </c>
    </row>
    <row r="71" spans="1:2" x14ac:dyDescent="0.3">
      <c r="A71" t="s">
        <v>61</v>
      </c>
    </row>
    <row r="72" spans="1:2" x14ac:dyDescent="0.3">
      <c r="A72" t="s">
        <v>62</v>
      </c>
    </row>
    <row r="73" spans="1:2" x14ac:dyDescent="0.3">
      <c r="A73" t="s">
        <v>63</v>
      </c>
    </row>
    <row r="74" spans="1:2" x14ac:dyDescent="0.3">
      <c r="A74" t="s">
        <v>64</v>
      </c>
    </row>
    <row r="75" spans="1:2" x14ac:dyDescent="0.3">
      <c r="A75" t="s">
        <v>65</v>
      </c>
    </row>
    <row r="76" spans="1:2" x14ac:dyDescent="0.3">
      <c r="A76" t="s">
        <v>66</v>
      </c>
    </row>
    <row r="77" spans="1:2" x14ac:dyDescent="0.3">
      <c r="A77" t="s">
        <v>67</v>
      </c>
      <c r="B77">
        <v>2725</v>
      </c>
    </row>
    <row r="78" spans="1:2" x14ac:dyDescent="0.3">
      <c r="A78" t="s">
        <v>68</v>
      </c>
      <c r="B78">
        <v>4050</v>
      </c>
    </row>
    <row r="79" spans="1:2" x14ac:dyDescent="0.3">
      <c r="A79" t="s">
        <v>69</v>
      </c>
    </row>
    <row r="80" spans="1:2" x14ac:dyDescent="0.3">
      <c r="A80" t="s">
        <v>70</v>
      </c>
      <c r="B80" s="2" t="s">
        <v>78</v>
      </c>
    </row>
    <row r="81" spans="1:2" x14ac:dyDescent="0.3">
      <c r="A81" t="s">
        <v>122</v>
      </c>
      <c r="B81" t="s">
        <v>123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2025-07-26T17:59:03Z</dcterms:created>
  <dcterms:modified xsi:type="dcterms:W3CDTF">2025-11-07T14:41:32Z</dcterms:modified>
</cp:coreProperties>
</file>