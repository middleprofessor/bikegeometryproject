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60DCF90-6275-1740-B4A5-29B97869A4C2}" xr6:coauthVersionLast="47" xr6:coauthVersionMax="47" xr10:uidLastSave="{00000000-0000-0000-0000-000000000000}"/>
  <bookViews>
    <workbookView xWindow="10600" yWindow="132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C13" i="1"/>
  <c r="C9" i="1"/>
  <c r="D9" i="1"/>
  <c r="E9" i="1"/>
  <c r="F9" i="1"/>
  <c r="D10" i="1"/>
  <c r="E10" i="1"/>
  <c r="F10" i="1"/>
  <c r="D11" i="1"/>
  <c r="E11" i="1"/>
  <c r="F11" i="1"/>
  <c r="D12" i="1"/>
  <c r="E12" i="1"/>
  <c r="F12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C12" i="1"/>
  <c r="C11" i="1"/>
  <c r="C10" i="1"/>
  <c r="C14" i="1"/>
  <c r="C15" i="1"/>
  <c r="C16" i="1"/>
  <c r="C17" i="1"/>
  <c r="C18" i="1"/>
  <c r="C19" i="1"/>
  <c r="C20" i="1"/>
  <c r="C21" i="1"/>
  <c r="C22" i="1"/>
  <c r="C23" i="1"/>
  <c r="C24" i="1"/>
</calcChain>
</file>

<file path=xl/sharedStrings.xml><?xml version="1.0" encoding="utf-8"?>
<sst xmlns="http://schemas.openxmlformats.org/spreadsheetml/2006/main" count="120" uniqueCount="115">
  <si>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</si>
  <si>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</si>
  <si>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</si>
  <si>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</si>
  <si>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</si>
  <si>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</si>
  <si>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</si>
  <si>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</si>
  <si>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</si>
  <si>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</si>
  <si>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</si>
  <si>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</si>
  <si>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</si>
  <si>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</si>
  <si>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</si>
  <si>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</si>
  <si>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</si>
  <si>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</si>
  <si>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</si>
  <si>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</si>
  <si>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</si>
  <si>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</si>
  <si>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</si>
  <si>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</si>
  <si>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</si>
  <si>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</si>
  <si>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</si>
  <si>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</si>
  <si>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</si>
  <si>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</si>
  <si>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</si>
  <si>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</si>
  <si>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</si>
  <si>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</si>
  <si>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</si>
  <si>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</si>
  <si>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</si>
  <si>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</si>
  <si>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</si>
  <si>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</si>
  <si>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</si>
  <si>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</si>
  <si>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</si>
  <si>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</si>
  <si>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</si>
  <si>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</si>
  <si>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</si>
  <si>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</si>
  <si>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</si>
  <si>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</si>
  <si>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</si>
  <si>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</si>
  <si>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</si>
  <si>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</si>
  <si>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</si>
  <si>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</si>
  <si>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</si>
  <si>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</si>
  <si>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</si>
  <si>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</si>
  <si>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</si>
  <si>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</si>
  <si>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</si>
  <si>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</si>
  <si>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</si>
  <si>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</si>
  <si>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</si>
  <si>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</si>
  <si>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</si>
  <si>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</si>
  <si>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</si>
  <si>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</si>
  <si>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A Seat Tube Length (cm)</t>
  </si>
  <si>
    <t>B Top Tube Horizontal (cm)</t>
  </si>
  <si>
    <t>axle_crown</t>
  </si>
  <si>
    <t>yes</t>
  </si>
  <si>
    <t>USD</t>
  </si>
  <si>
    <t>SM</t>
  </si>
  <si>
    <t>MD</t>
  </si>
  <si>
    <t>LG</t>
  </si>
  <si>
    <t>XL</t>
  </si>
  <si>
    <t>seat_tube_angle_actual</t>
  </si>
  <si>
    <t>location</t>
  </si>
  <si>
    <t>Wilton, Connecticut, USA</t>
  </si>
  <si>
    <t>head_tube_d</t>
  </si>
  <si>
    <t>headset_upper</t>
  </si>
  <si>
    <t>headset_lower</t>
  </si>
  <si>
    <t>fork_steerer</t>
  </si>
  <si>
    <t>fork_steerer_d</t>
  </si>
  <si>
    <t>fork_material</t>
  </si>
  <si>
    <t>Scalpel HT</t>
  </si>
  <si>
    <t>https://www.cannondale.com/en-us/bikes/mountain/cross-country/scalpel-ht</t>
  </si>
  <si>
    <t>https://embed.widencdn.net/img/dorelrl/fn67v2gljx/1100px@1x/C22_C25101U_SCALPEL_HM_ULT_TRD_PD.webp?color=FEF3F3&amp;q=99</t>
  </si>
  <si>
    <t>C Head Tube Angle</t>
  </si>
  <si>
    <t>D Seat Tube Angle</t>
  </si>
  <si>
    <t>D¹ Seat Tube Angle Effective</t>
  </si>
  <si>
    <t>E Standover (cm)</t>
  </si>
  <si>
    <t>F Head Tube Length (cm)</t>
  </si>
  <si>
    <t>G Wheelbase (cm)</t>
  </si>
  <si>
    <t>H Front Center (cm)</t>
  </si>
  <si>
    <t>I Chain Stay Length (cm)</t>
  </si>
  <si>
    <t>J Bottom Bracket Drop (cm)</t>
  </si>
  <si>
    <t>K Bottom Bracket Height (cm)</t>
  </si>
  <si>
    <t>L Fork Rake (cm)</t>
  </si>
  <si>
    <t>M Trail (cm)</t>
  </si>
  <si>
    <t>N Stack (cm)</t>
  </si>
  <si>
    <t>O Reach (cm)</t>
  </si>
  <si>
    <t>frame size</t>
  </si>
  <si>
    <t>fork_travel</t>
  </si>
  <si>
    <t>fork_sag</t>
  </si>
  <si>
    <t>a8:f36</t>
  </si>
  <si>
    <t>hardtail</t>
  </si>
  <si>
    <t>flat bar</t>
  </si>
  <si>
    <t>suspension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</si>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</sst>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A25" workbookViewId="0">
      <selection activeCell="F37" sqref="F3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90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46002</v>
      </c>
    </row>
    <row r="5" spans="1:16" x14ac:dyDescent="0.3">
      <c r="A5" t="s">
        <v>5</v>
      </c>
      <c r="B5" t="s">
        <v>91</v>
      </c>
    </row>
    <row r="6" spans="1:16" x14ac:dyDescent="0.3">
      <c r="B6" t="s">
        <v>92</v>
      </c>
    </row>
    <row r="7" spans="1:16" x14ac:dyDescent="0.3">
      <c r="A7" t="s">
        <v>6</v>
      </c>
      <c r="B7" s="3" t="s">
        <v>110</v>
      </c>
    </row>
    <row r="8" spans="1:16" x14ac:dyDescent="0.3">
      <c r="A8" t="s">
        <v>7</v>
      </c>
      <c r="B8" s="3" t="s">
        <v>107</v>
      </c>
      <c r="C8" s="3" t="s">
        <v>77</v>
      </c>
      <c r="D8" s="3" t="s">
        <v>78</v>
      </c>
      <c r="E8" s="3" t="s">
        <v>79</v>
      </c>
      <c r="F8" s="3" t="s">
        <v>80</v>
      </c>
      <c r="G8" s="3"/>
      <c r="J8" s="2"/>
      <c r="K8" s="2"/>
      <c r="L8" s="2"/>
      <c r="M8" s="2"/>
      <c r="N8" s="2"/>
      <c r="O8" s="2"/>
      <c r="P8" s="2"/>
    </row>
    <row r="9" spans="1:16" x14ac:dyDescent="0.3">
      <c r="A9" t="s">
        <v>8</v>
      </c>
      <c r="B9" s="3" t="s">
        <v>72</v>
      </c>
      <c r="C9">
        <f>H9*10</f>
        <v>390</v>
      </c>
      <c r="D9">
        <f t="shared" ref="D9:F10" si="0">I9*10</f>
        <v>440</v>
      </c>
      <c r="E9">
        <f t="shared" si="0"/>
        <v>480</v>
      </c>
      <c r="F9">
        <f t="shared" si="0"/>
        <v>530</v>
      </c>
      <c r="G9" s="3"/>
      <c r="H9">
        <v>39</v>
      </c>
      <c r="I9">
        <v>44</v>
      </c>
      <c r="J9">
        <v>48</v>
      </c>
      <c r="K9">
        <v>53</v>
      </c>
      <c r="L9" s="2"/>
      <c r="M9" s="2"/>
      <c r="N9" s="2"/>
      <c r="O9" s="2"/>
      <c r="P9" s="2"/>
    </row>
    <row r="10" spans="1:16" x14ac:dyDescent="0.3">
      <c r="A10" t="s">
        <v>9</v>
      </c>
      <c r="B10" s="3" t="s">
        <v>73</v>
      </c>
      <c r="C10">
        <f t="shared" ref="C10:C24" si="1">H10*10</f>
        <v>572</v>
      </c>
      <c r="D10">
        <f t="shared" si="0"/>
        <v>594</v>
      </c>
      <c r="E10">
        <f t="shared" si="0"/>
        <v>617</v>
      </c>
      <c r="F10">
        <f t="shared" si="0"/>
        <v>642</v>
      </c>
      <c r="H10">
        <v>57.2</v>
      </c>
      <c r="I10">
        <v>59.4</v>
      </c>
      <c r="J10">
        <v>61.7</v>
      </c>
      <c r="K10">
        <v>64.2</v>
      </c>
      <c r="L10" s="2"/>
      <c r="M10" s="2"/>
      <c r="N10" s="2"/>
      <c r="O10" s="2"/>
      <c r="P10" s="2"/>
    </row>
    <row r="11" spans="1:16" x14ac:dyDescent="0.3">
      <c r="A11" t="s">
        <v>10</v>
      </c>
      <c r="B11" s="3" t="s">
        <v>93</v>
      </c>
      <c r="C11">
        <f>H11</f>
        <v>66.5</v>
      </c>
      <c r="D11">
        <f t="shared" ref="D11:F13" si="2">I11</f>
        <v>66.5</v>
      </c>
      <c r="E11">
        <f t="shared" si="2"/>
        <v>66.5</v>
      </c>
      <c r="F11">
        <f t="shared" si="2"/>
        <v>66.5</v>
      </c>
      <c r="H11">
        <v>66.5</v>
      </c>
      <c r="I11">
        <v>66.5</v>
      </c>
      <c r="J11">
        <v>66.5</v>
      </c>
      <c r="K11">
        <v>66.5</v>
      </c>
      <c r="L11" s="2"/>
      <c r="M11" s="2"/>
      <c r="N11" s="2"/>
      <c r="O11" s="2"/>
      <c r="P11" s="2"/>
    </row>
    <row r="12" spans="1:16" x14ac:dyDescent="0.3">
      <c r="A12" s="3" t="s">
        <v>81</v>
      </c>
      <c r="B12" s="3" t="s">
        <v>94</v>
      </c>
      <c r="C12">
        <f>H12</f>
        <v>72.7</v>
      </c>
      <c r="D12">
        <f t="shared" si="2"/>
        <v>73.5</v>
      </c>
      <c r="E12">
        <f t="shared" si="2"/>
        <v>74.099999999999994</v>
      </c>
      <c r="F12">
        <f t="shared" si="2"/>
        <v>74.599999999999994</v>
      </c>
      <c r="H12">
        <v>72.7</v>
      </c>
      <c r="I12">
        <v>73.5</v>
      </c>
      <c r="J12">
        <v>74.099999999999994</v>
      </c>
      <c r="K12">
        <v>74.599999999999994</v>
      </c>
      <c r="L12" s="2"/>
      <c r="M12" s="2"/>
      <c r="N12" s="2"/>
      <c r="O12" s="2"/>
      <c r="P12" s="2"/>
    </row>
    <row r="13" spans="1:16" x14ac:dyDescent="0.3">
      <c r="A13" t="s">
        <v>11</v>
      </c>
      <c r="B13" s="3" t="s">
        <v>95</v>
      </c>
      <c r="C13">
        <f>H13</f>
        <v>74.5</v>
      </c>
      <c r="D13">
        <f t="shared" si="2"/>
        <v>74.5</v>
      </c>
      <c r="E13">
        <f t="shared" si="2"/>
        <v>74.599999999999994</v>
      </c>
      <c r="F13">
        <f t="shared" si="2"/>
        <v>74.599999999999994</v>
      </c>
      <c r="H13">
        <v>74.5</v>
      </c>
      <c r="I13">
        <v>74.5</v>
      </c>
      <c r="J13">
        <v>74.599999999999994</v>
      </c>
      <c r="K13">
        <v>74.599999999999994</v>
      </c>
      <c r="L13" s="2"/>
      <c r="M13" s="2"/>
      <c r="N13" s="2"/>
      <c r="O13" s="2"/>
      <c r="P13" s="2"/>
    </row>
    <row r="14" spans="1:16" x14ac:dyDescent="0.3">
      <c r="A14" t="s">
        <v>12</v>
      </c>
      <c r="B14" s="3" t="s">
        <v>96</v>
      </c>
      <c r="C14">
        <f t="shared" si="1"/>
        <v>754</v>
      </c>
      <c r="D14">
        <f t="shared" ref="D14:D24" si="3">I14*10</f>
        <v>790</v>
      </c>
      <c r="E14">
        <f t="shared" ref="E14:E24" si="4">J14*10</f>
        <v>819</v>
      </c>
      <c r="F14">
        <f t="shared" ref="F14:F24" si="5">K14*10</f>
        <v>855</v>
      </c>
      <c r="H14">
        <v>75.400000000000006</v>
      </c>
      <c r="I14">
        <v>79</v>
      </c>
      <c r="J14">
        <v>81.900000000000006</v>
      </c>
      <c r="K14">
        <v>85.5</v>
      </c>
      <c r="L14" s="2"/>
      <c r="M14" s="2"/>
      <c r="N14" s="2"/>
      <c r="O14" s="2"/>
      <c r="P14" s="2"/>
    </row>
    <row r="15" spans="1:16" x14ac:dyDescent="0.3">
      <c r="A15" t="s">
        <v>13</v>
      </c>
      <c r="B15" s="3" t="s">
        <v>97</v>
      </c>
      <c r="C15">
        <f t="shared" si="1"/>
        <v>99</v>
      </c>
      <c r="D15">
        <f t="shared" si="3"/>
        <v>110</v>
      </c>
      <c r="E15">
        <f t="shared" si="4"/>
        <v>122</v>
      </c>
      <c r="F15">
        <f t="shared" si="5"/>
        <v>135</v>
      </c>
      <c r="H15">
        <v>9.9</v>
      </c>
      <c r="I15">
        <v>11</v>
      </c>
      <c r="J15">
        <v>12.2</v>
      </c>
      <c r="K15">
        <v>13.5</v>
      </c>
      <c r="L15" s="2"/>
      <c r="M15" s="2"/>
      <c r="N15" s="2"/>
      <c r="O15" s="2"/>
      <c r="P15" s="2"/>
    </row>
    <row r="16" spans="1:16" x14ac:dyDescent="0.3">
      <c r="A16" t="s">
        <v>14</v>
      </c>
      <c r="B16" s="3" t="s">
        <v>98</v>
      </c>
      <c r="C16">
        <f t="shared" si="1"/>
        <v>1123</v>
      </c>
      <c r="D16">
        <f t="shared" si="3"/>
        <v>1151</v>
      </c>
      <c r="E16">
        <f t="shared" si="4"/>
        <v>1181</v>
      </c>
      <c r="F16">
        <f t="shared" si="5"/>
        <v>1212</v>
      </c>
      <c r="H16">
        <v>112.3</v>
      </c>
      <c r="I16">
        <v>115.1</v>
      </c>
      <c r="J16">
        <v>118.1</v>
      </c>
      <c r="K16">
        <v>121.2</v>
      </c>
      <c r="L16" s="2"/>
      <c r="M16" s="2"/>
      <c r="N16" s="2"/>
      <c r="O16" s="2"/>
      <c r="P16" s="2"/>
    </row>
    <row r="17" spans="1:16" x14ac:dyDescent="0.3">
      <c r="A17" t="s">
        <v>15</v>
      </c>
      <c r="B17" s="3" t="s">
        <v>99</v>
      </c>
      <c r="C17">
        <f t="shared" si="1"/>
        <v>699</v>
      </c>
      <c r="D17">
        <f t="shared" si="3"/>
        <v>723</v>
      </c>
      <c r="E17">
        <f t="shared" si="4"/>
        <v>748</v>
      </c>
      <c r="F17">
        <f t="shared" si="5"/>
        <v>774</v>
      </c>
      <c r="H17">
        <v>69.900000000000006</v>
      </c>
      <c r="I17">
        <v>72.3</v>
      </c>
      <c r="J17">
        <v>74.8</v>
      </c>
      <c r="K17">
        <v>77.400000000000006</v>
      </c>
      <c r="L17" s="2"/>
      <c r="M17" s="2"/>
      <c r="N17" s="2"/>
      <c r="O17" s="2"/>
      <c r="P17" s="2"/>
    </row>
    <row r="18" spans="1:16" x14ac:dyDescent="0.3">
      <c r="A18" t="s">
        <v>16</v>
      </c>
      <c r="B18" s="3" t="s">
        <v>100</v>
      </c>
      <c r="C18">
        <f t="shared" si="1"/>
        <v>430</v>
      </c>
      <c r="D18">
        <f t="shared" si="3"/>
        <v>435</v>
      </c>
      <c r="E18">
        <f t="shared" si="4"/>
        <v>440</v>
      </c>
      <c r="F18">
        <f t="shared" si="5"/>
        <v>445</v>
      </c>
      <c r="H18">
        <v>43</v>
      </c>
      <c r="I18">
        <v>43.5</v>
      </c>
      <c r="J18">
        <v>44</v>
      </c>
      <c r="K18">
        <v>44.5</v>
      </c>
      <c r="L18" s="2"/>
      <c r="M18" s="2"/>
      <c r="N18" s="2"/>
      <c r="O18" s="2"/>
      <c r="P18" s="2"/>
    </row>
    <row r="19" spans="1:16" x14ac:dyDescent="0.3">
      <c r="A19" t="s">
        <v>17</v>
      </c>
      <c r="B19" s="3" t="s">
        <v>101</v>
      </c>
      <c r="C19">
        <f t="shared" si="1"/>
        <v>59</v>
      </c>
      <c r="D19">
        <f t="shared" si="3"/>
        <v>59</v>
      </c>
      <c r="E19">
        <f t="shared" si="4"/>
        <v>59</v>
      </c>
      <c r="F19">
        <f t="shared" si="5"/>
        <v>59</v>
      </c>
      <c r="H19">
        <v>5.9</v>
      </c>
      <c r="I19">
        <v>5.9</v>
      </c>
      <c r="J19">
        <v>5.9</v>
      </c>
      <c r="K19">
        <v>5.9</v>
      </c>
      <c r="L19" s="2"/>
      <c r="M19" s="2"/>
      <c r="N19" s="2"/>
      <c r="O19" s="2"/>
      <c r="P19" s="2"/>
    </row>
    <row r="20" spans="1:16" x14ac:dyDescent="0.3">
      <c r="A20" t="s">
        <v>18</v>
      </c>
      <c r="B20" s="3" t="s">
        <v>102</v>
      </c>
      <c r="C20">
        <f t="shared" si="1"/>
        <v>318</v>
      </c>
      <c r="D20">
        <f t="shared" si="3"/>
        <v>318</v>
      </c>
      <c r="E20">
        <f t="shared" si="4"/>
        <v>318</v>
      </c>
      <c r="F20">
        <f t="shared" si="5"/>
        <v>318</v>
      </c>
      <c r="H20">
        <v>31.8</v>
      </c>
      <c r="I20">
        <v>31.8</v>
      </c>
      <c r="J20">
        <v>31.8</v>
      </c>
      <c r="K20">
        <v>31.8</v>
      </c>
      <c r="L20" s="2"/>
      <c r="M20" s="2"/>
      <c r="N20" s="2"/>
      <c r="O20" s="2"/>
      <c r="P20" s="2"/>
    </row>
    <row r="21" spans="1:16" x14ac:dyDescent="0.3">
      <c r="A21" t="s">
        <v>19</v>
      </c>
      <c r="B21" s="3" t="s">
        <v>103</v>
      </c>
      <c r="C21">
        <f t="shared" si="1"/>
        <v>50</v>
      </c>
      <c r="D21">
        <f t="shared" si="3"/>
        <v>50</v>
      </c>
      <c r="E21">
        <f t="shared" si="4"/>
        <v>50</v>
      </c>
      <c r="F21">
        <f t="shared" si="5"/>
        <v>50</v>
      </c>
      <c r="H21">
        <v>5</v>
      </c>
      <c r="I21">
        <v>5</v>
      </c>
      <c r="J21">
        <v>5</v>
      </c>
      <c r="K21">
        <v>5</v>
      </c>
      <c r="L21" s="2"/>
      <c r="M21" s="2"/>
      <c r="N21" s="2"/>
      <c r="O21" s="2"/>
      <c r="P21" s="2"/>
    </row>
    <row r="22" spans="1:16" x14ac:dyDescent="0.3">
      <c r="A22" t="s">
        <v>20</v>
      </c>
      <c r="B22" s="3" t="s">
        <v>104</v>
      </c>
      <c r="C22">
        <f t="shared" si="1"/>
        <v>109</v>
      </c>
      <c r="D22">
        <f t="shared" si="3"/>
        <v>109</v>
      </c>
      <c r="E22">
        <f t="shared" si="4"/>
        <v>109</v>
      </c>
      <c r="F22">
        <f t="shared" si="5"/>
        <v>109</v>
      </c>
      <c r="H22">
        <v>10.9</v>
      </c>
      <c r="I22">
        <v>10.9</v>
      </c>
      <c r="J22">
        <v>10.9</v>
      </c>
      <c r="K22">
        <v>10.9</v>
      </c>
      <c r="L22" s="2"/>
      <c r="M22" s="2"/>
      <c r="N22" s="2"/>
      <c r="O22" s="2"/>
      <c r="P22" s="2"/>
    </row>
    <row r="23" spans="1:16" x14ac:dyDescent="0.3">
      <c r="A23" t="s">
        <v>21</v>
      </c>
      <c r="B23" s="3" t="s">
        <v>105</v>
      </c>
      <c r="C23">
        <f t="shared" si="1"/>
        <v>607</v>
      </c>
      <c r="D23">
        <f t="shared" si="3"/>
        <v>617</v>
      </c>
      <c r="E23">
        <f t="shared" si="4"/>
        <v>629</v>
      </c>
      <c r="F23">
        <f t="shared" si="5"/>
        <v>641</v>
      </c>
      <c r="H23">
        <v>60.7</v>
      </c>
      <c r="I23">
        <v>61.7</v>
      </c>
      <c r="J23">
        <v>62.9</v>
      </c>
      <c r="K23">
        <v>64.099999999999994</v>
      </c>
      <c r="L23" s="2"/>
      <c r="M23" s="2"/>
      <c r="N23" s="2"/>
      <c r="O23" s="2"/>
      <c r="P23" s="2"/>
    </row>
    <row r="24" spans="1:16" x14ac:dyDescent="0.3">
      <c r="A24" t="s">
        <v>22</v>
      </c>
      <c r="B24" s="3" t="s">
        <v>106</v>
      </c>
      <c r="C24">
        <f t="shared" si="1"/>
        <v>404</v>
      </c>
      <c r="D24">
        <f t="shared" si="3"/>
        <v>423</v>
      </c>
      <c r="E24">
        <f t="shared" si="4"/>
        <v>444</v>
      </c>
      <c r="F24">
        <f t="shared" si="5"/>
        <v>465</v>
      </c>
      <c r="H24">
        <v>40.4</v>
      </c>
      <c r="I24">
        <v>42.3</v>
      </c>
      <c r="J24">
        <v>44.4</v>
      </c>
      <c r="K24">
        <v>46.5</v>
      </c>
      <c r="L24" s="2"/>
      <c r="M24" s="2"/>
      <c r="N24" s="2"/>
      <c r="O24" s="2"/>
      <c r="P24" s="2"/>
    </row>
    <row r="25" spans="1:16" x14ac:dyDescent="0.3">
      <c r="A25" s="3" t="s">
        <v>74</v>
      </c>
      <c r="J25" s="2"/>
      <c r="K25" s="2"/>
      <c r="L25" s="2"/>
      <c r="M25" s="2"/>
      <c r="N25" s="2"/>
      <c r="O25" s="2"/>
      <c r="P25" s="2"/>
    </row>
    <row r="26" spans="1:16" x14ac:dyDescent="0.3">
      <c r="A26" s="3" t="s">
        <v>108</v>
      </c>
      <c r="B26" s="3"/>
      <c r="C26">
        <v>110</v>
      </c>
      <c r="D26">
        <v>110</v>
      </c>
      <c r="E26">
        <v>110</v>
      </c>
      <c r="F26">
        <v>110</v>
      </c>
    </row>
    <row r="27" spans="1:16" x14ac:dyDescent="0.3">
      <c r="A27" s="3" t="s">
        <v>109</v>
      </c>
    </row>
    <row r="28" spans="1:16" x14ac:dyDescent="0.3">
      <c r="A28" t="s">
        <v>23</v>
      </c>
    </row>
    <row r="29" spans="1:16" x14ac:dyDescent="0.3">
      <c r="A29" t="s">
        <v>24</v>
      </c>
    </row>
    <row r="30" spans="1:16" x14ac:dyDescent="0.3">
      <c r="A30" t="s">
        <v>25</v>
      </c>
    </row>
    <row r="31" spans="1:16" x14ac:dyDescent="0.3">
      <c r="A31" t="s">
        <v>26</v>
      </c>
    </row>
    <row r="32" spans="1:16" x14ac:dyDescent="0.3">
      <c r="A32" t="s">
        <v>27</v>
      </c>
      <c r="B32" t="s">
        <v>27</v>
      </c>
      <c r="C32">
        <v>29</v>
      </c>
      <c r="D32">
        <v>29</v>
      </c>
      <c r="E32">
        <v>29</v>
      </c>
      <c r="F32">
        <v>29</v>
      </c>
    </row>
    <row r="33" spans="1:6" x14ac:dyDescent="0.3">
      <c r="A33" t="s">
        <v>28</v>
      </c>
      <c r="B33" t="s">
        <v>28</v>
      </c>
      <c r="C33">
        <v>2.25</v>
      </c>
      <c r="D33">
        <v>2.25</v>
      </c>
      <c r="E33">
        <v>2.25</v>
      </c>
      <c r="F33">
        <v>2.25</v>
      </c>
    </row>
    <row r="34" spans="1:6" x14ac:dyDescent="0.3">
      <c r="A34" t="s">
        <v>29</v>
      </c>
      <c r="B34" t="s">
        <v>29</v>
      </c>
      <c r="C34">
        <v>2.4</v>
      </c>
      <c r="D34">
        <v>2.4</v>
      </c>
      <c r="E34">
        <v>2.4</v>
      </c>
      <c r="F34">
        <v>2.4</v>
      </c>
    </row>
    <row r="35" spans="1:6" x14ac:dyDescent="0.3">
      <c r="A35" t="s">
        <v>30</v>
      </c>
      <c r="B35" t="s">
        <v>30</v>
      </c>
      <c r="C35">
        <v>154</v>
      </c>
      <c r="D35">
        <v>167</v>
      </c>
      <c r="E35">
        <v>172</v>
      </c>
      <c r="F35">
        <v>180</v>
      </c>
    </row>
    <row r="36" spans="1:6" x14ac:dyDescent="0.3">
      <c r="A36" t="s">
        <v>31</v>
      </c>
      <c r="B36" t="s">
        <v>31</v>
      </c>
      <c r="C36">
        <v>165</v>
      </c>
      <c r="D36">
        <v>175</v>
      </c>
      <c r="E36">
        <v>182</v>
      </c>
      <c r="F36">
        <v>195</v>
      </c>
    </row>
    <row r="38" spans="1:6" x14ac:dyDescent="0.3">
      <c r="A38" t="s">
        <v>32</v>
      </c>
      <c r="B38" t="s">
        <v>33</v>
      </c>
    </row>
    <row r="39" spans="1:6" x14ac:dyDescent="0.3">
      <c r="A39" t="s">
        <v>69</v>
      </c>
      <c r="B39" s="3" t="s">
        <v>111</v>
      </c>
    </row>
    <row r="40" spans="1:6" x14ac:dyDescent="0.3">
      <c r="A40" t="s">
        <v>70</v>
      </c>
      <c r="B40" s="3" t="s">
        <v>112</v>
      </c>
    </row>
    <row r="41" spans="1:6" x14ac:dyDescent="0.3">
      <c r="A41" t="s">
        <v>71</v>
      </c>
      <c r="B41" s="3" t="s">
        <v>113</v>
      </c>
    </row>
    <row r="42" spans="1:6" x14ac:dyDescent="0.3">
      <c r="A42" t="s">
        <v>34</v>
      </c>
      <c r="B42" s="3" t="s">
        <v>114</v>
      </c>
    </row>
    <row r="43" spans="1:6" x14ac:dyDescent="0.3">
      <c r="A43" t="s">
        <v>35</v>
      </c>
      <c r="B43" s="3" t="s">
        <v>75</v>
      </c>
    </row>
    <row r="44" spans="1:6" x14ac:dyDescent="0.3">
      <c r="A44" t="s">
        <v>36</v>
      </c>
    </row>
    <row r="45" spans="1:6" x14ac:dyDescent="0.3">
      <c r="A45" t="s">
        <v>37</v>
      </c>
      <c r="B45">
        <v>2.4</v>
      </c>
      <c r="C45" s="3"/>
    </row>
    <row r="46" spans="1:6" x14ac:dyDescent="0.3">
      <c r="A46" t="s">
        <v>38</v>
      </c>
    </row>
    <row r="47" spans="1:6" x14ac:dyDescent="0.3">
      <c r="A47" t="s">
        <v>39</v>
      </c>
      <c r="B47">
        <v>110</v>
      </c>
    </row>
    <row r="48" spans="1:6" x14ac:dyDescent="0.3">
      <c r="A48" t="s">
        <v>40</v>
      </c>
      <c r="B48">
        <v>110</v>
      </c>
    </row>
    <row r="49" spans="1:2" x14ac:dyDescent="0.3">
      <c r="A49" t="s">
        <v>41</v>
      </c>
      <c r="B49" s="4"/>
    </row>
    <row r="50" spans="1:2" x14ac:dyDescent="0.3">
      <c r="A50" t="s">
        <v>42</v>
      </c>
    </row>
    <row r="51" spans="1:2" x14ac:dyDescent="0.3">
      <c r="A51" t="s">
        <v>43</v>
      </c>
    </row>
    <row r="52" spans="1:2" x14ac:dyDescent="0.3">
      <c r="A52" t="s">
        <v>44</v>
      </c>
    </row>
    <row r="53" spans="1:2" x14ac:dyDescent="0.3">
      <c r="A53" t="s">
        <v>84</v>
      </c>
    </row>
    <row r="54" spans="1:2" x14ac:dyDescent="0.3">
      <c r="A54" t="s">
        <v>85</v>
      </c>
    </row>
    <row r="55" spans="1:2" x14ac:dyDescent="0.3">
      <c r="A55" t="s">
        <v>86</v>
      </c>
    </row>
    <row r="56" spans="1:2" x14ac:dyDescent="0.3">
      <c r="A56" t="s">
        <v>87</v>
      </c>
    </row>
    <row r="57" spans="1:2" x14ac:dyDescent="0.3">
      <c r="A57" t="s">
        <v>88</v>
      </c>
    </row>
    <row r="58" spans="1:2" x14ac:dyDescent="0.3">
      <c r="A58" t="s">
        <v>89</v>
      </c>
    </row>
    <row r="59" spans="1:2" x14ac:dyDescent="0.3">
      <c r="A59" t="s">
        <v>45</v>
      </c>
      <c r="B59" s="3"/>
    </row>
    <row r="60" spans="1:2" x14ac:dyDescent="0.3">
      <c r="A60" t="s">
        <v>46</v>
      </c>
    </row>
    <row r="61" spans="1:2" x14ac:dyDescent="0.3">
      <c r="A61" t="s">
        <v>47</v>
      </c>
      <c r="B61">
        <v>27.2</v>
      </c>
    </row>
    <row r="62" spans="1:2" x14ac:dyDescent="0.3">
      <c r="A62" t="s">
        <v>48</v>
      </c>
      <c r="B62" s="3"/>
    </row>
    <row r="63" spans="1:2" x14ac:dyDescent="0.3">
      <c r="A63" t="s">
        <v>49</v>
      </c>
    </row>
    <row r="64" spans="1:2" x14ac:dyDescent="0.3">
      <c r="A64" t="s">
        <v>50</v>
      </c>
    </row>
    <row r="65" spans="1:2" x14ac:dyDescent="0.3">
      <c r="A65" t="s">
        <v>51</v>
      </c>
    </row>
    <row r="66" spans="1:2" x14ac:dyDescent="0.3">
      <c r="A66" t="s">
        <v>52</v>
      </c>
    </row>
    <row r="67" spans="1:2" x14ac:dyDescent="0.3">
      <c r="A67" t="s">
        <v>53</v>
      </c>
    </row>
    <row r="68" spans="1:2" x14ac:dyDescent="0.3">
      <c r="A68" t="s">
        <v>54</v>
      </c>
      <c r="B68" s="3"/>
    </row>
    <row r="69" spans="1:2" x14ac:dyDescent="0.3">
      <c r="A69" t="s">
        <v>55</v>
      </c>
      <c r="B69" s="3"/>
    </row>
    <row r="70" spans="1:2" x14ac:dyDescent="0.3">
      <c r="A70" t="s">
        <v>56</v>
      </c>
    </row>
    <row r="71" spans="1:2" x14ac:dyDescent="0.3">
      <c r="A71" t="s">
        <v>57</v>
      </c>
      <c r="B71" s="3"/>
    </row>
    <row r="72" spans="1:2" x14ac:dyDescent="0.3">
      <c r="A72" t="s">
        <v>58</v>
      </c>
    </row>
    <row r="73" spans="1:2" x14ac:dyDescent="0.3">
      <c r="A73" t="s">
        <v>59</v>
      </c>
    </row>
    <row r="74" spans="1:2" x14ac:dyDescent="0.3">
      <c r="A74" t="s">
        <v>60</v>
      </c>
    </row>
    <row r="75" spans="1:2" x14ac:dyDescent="0.3">
      <c r="A75" t="s">
        <v>61</v>
      </c>
    </row>
    <row r="76" spans="1:2" x14ac:dyDescent="0.3">
      <c r="A76" t="s">
        <v>62</v>
      </c>
      <c r="B76" s="3"/>
    </row>
    <row r="77" spans="1:2" x14ac:dyDescent="0.3">
      <c r="A77" t="s">
        <v>63</v>
      </c>
    </row>
    <row r="78" spans="1:2" x14ac:dyDescent="0.3">
      <c r="A78" t="s">
        <v>64</v>
      </c>
    </row>
    <row r="79" spans="1:2" x14ac:dyDescent="0.3">
      <c r="A79" t="s">
        <v>65</v>
      </c>
    </row>
    <row r="80" spans="1:2" x14ac:dyDescent="0.3">
      <c r="A80" t="s">
        <v>66</v>
      </c>
      <c r="B80">
        <v>2399</v>
      </c>
    </row>
    <row r="81" spans="1:2" x14ac:dyDescent="0.3">
      <c r="A81" t="s">
        <v>67</v>
      </c>
    </row>
    <row r="82" spans="1:2" x14ac:dyDescent="0.3">
      <c r="A82" t="s">
        <v>68</v>
      </c>
      <c r="B82" s="3" t="s">
        <v>76</v>
      </c>
    </row>
    <row r="83" spans="1:2" x14ac:dyDescent="0.3">
      <c r="A83" t="s">
        <v>82</v>
      </c>
      <c r="B83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2025-12-11T15:08:48Z</dcterms:modified>
</cp:coreProperties>
</file>