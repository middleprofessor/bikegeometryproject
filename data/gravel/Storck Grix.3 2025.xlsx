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08BBA94-1F3B-3747-A358-9CE1CAADAC4E}" xr6:coauthVersionLast="47" xr6:coauthVersionMax="47" xr10:uidLastSave="{00000000-0000-0000-0000-000000000000}"/>
  <bookViews>
    <workbookView xWindow="2920" yWindow="1100" windowWidth="25640" windowHeight="14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D33" i="1"/>
  <c r="E33" i="1"/>
  <c r="F33" i="1"/>
  <c r="C33" i="1"/>
  <c r="C32" i="1"/>
</calcChain>
</file>

<file path=xl/sharedStrings.xml><?xml version="1.0" encoding="utf-8"?>
<sst xmlns="http://schemas.openxmlformats.org/spreadsheetml/2006/main" count="165" uniqueCount="123">
  <si>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</si>
  <si>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</si>
  <si>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</si>
  <si>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</si>
  <si>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</si>
  <si>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</si>
  <si>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</si>
  <si>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</si>
  <si>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S</t>
  </si>
  <si>
    <t>M</t>
  </si>
  <si>
    <t>L</t>
  </si>
  <si>
    <t>XL</t>
  </si>
  <si>
    <t>XXL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</si>
  <si>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</si>
  <si>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</si>
  <si>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</si>
  <si>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</si>
  <si>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</si>
  <si>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</si>
  <si>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</si>
  <si>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Reach (mm)</t>
  </si>
  <si>
    <t>stack</t>
  </si>
  <si>
    <t>Stack (mm)</t>
  </si>
  <si>
    <t>wheelbase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</si>
  <si>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</si>
  <si>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</si>
  <si>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</si>
  <si>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</si>
  <si>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</si>
  <si>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</si>
  <si>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</si>
  <si>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</si>
  <si>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</si>
  <si>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</si>
  <si>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</si>
  <si>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</si>
  <si>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</si>
  <si>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</si>
  <si>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</si>
  <si>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</si>
  <si>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</si>
  <si>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</si>
  <si>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</si>
  <si>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</si>
  <si>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</si>
  <si>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</si>
  <si>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</si>
  <si>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</si>
  <si>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</si>
  <si>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</si>
  <si>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</si>
  <si>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</si>
  <si>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</si>
  <si>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</si>
  <si>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</si>
  <si>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</si>
  <si>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</si>
  <si>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</si>
  <si>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</si>
  <si>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</si>
  <si>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</si>
  <si>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</si>
  <si>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</si>
  <si>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</si>
  <si>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</si>
  <si>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</si>
  <si>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</si>
  <si>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</si>
  <si>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</si>
  <si>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</si>
  <si>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</si>
  <si>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</si>
  <si>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</si>
  <si>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</si>
  <si>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</si>
  <si>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</si>
  <si>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</si>
  <si>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</si>
  <si>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</si>
  <si>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</si>
  <si>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</si>
  <si>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</si>
  <si>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</si>
  <si>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</si>
  <si>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press fit</t>
  </si>
  <si>
    <t>location</t>
  </si>
  <si>
    <t>EUR</t>
  </si>
  <si>
    <t>head_tube_d</t>
  </si>
  <si>
    <t>headset_upper</t>
  </si>
  <si>
    <t>headset_lower</t>
  </si>
  <si>
    <t>fork_steerer</t>
  </si>
  <si>
    <t>fork_steerer_d</t>
  </si>
  <si>
    <t>fork_material</t>
  </si>
  <si>
    <t>Storck</t>
  </si>
  <si>
    <t xml:space="preserve">Grix.3 </t>
  </si>
  <si>
    <t>https://storck-bikes.com/Grix.3/R172762446</t>
  </si>
  <si>
    <t>https://storck-bikes.com/media/43/37/d3/1762345474/Artikelbild_Seite_Grix3_30th.jpg?ts=1762345474</t>
  </si>
  <si>
    <t>Frame Size</t>
  </si>
  <si>
    <t>ST (mm)</t>
  </si>
  <si>
    <t>TT (mm)</t>
  </si>
  <si>
    <t>TT EFF (mm)</t>
  </si>
  <si>
    <t>HT (mm)</t>
  </si>
  <si>
    <t>CS (mm)</t>
  </si>
  <si>
    <t>ST° (degree)</t>
  </si>
  <si>
    <t>HT° (degree)</t>
  </si>
  <si>
    <t>Recommended body height (cm)</t>
  </si>
  <si>
    <t>Crank length (cm)</t>
  </si>
  <si>
    <t>Handlebar width/stem length (mm)</t>
  </si>
  <si>
    <t>-</t>
  </si>
  <si>
    <t>161 - 173</t>
  </si>
  <si>
    <t>400/90</t>
  </si>
  <si>
    <t>170 - 182</t>
  </si>
  <si>
    <t>420/100</t>
  </si>
  <si>
    <t>178 - 189</t>
  </si>
  <si>
    <t>185 - 195</t>
  </si>
  <si>
    <t>440/110</t>
  </si>
  <si>
    <t>191 - ...</t>
  </si>
  <si>
    <t>top_tube_actual</t>
  </si>
  <si>
    <t>a8:g33</t>
  </si>
  <si>
    <t>https://bikeinsights.com/bikes/6915dde660b17f001b3c3289-storck-bicycle-grix</t>
  </si>
  <si>
    <t>Idstein, Germany</t>
  </si>
  <si>
    <t>internal</t>
  </si>
  <si>
    <t>estimate 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</si>
</sst>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tabSelected="1" workbookViewId="0">
      <selection activeCell="B4" sqref="B4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93</v>
      </c>
    </row>
    <row r="2" spans="1:21" x14ac:dyDescent="0.3">
      <c r="A2" t="s">
        <v>1</v>
      </c>
      <c r="B2" s="1" t="s">
        <v>94</v>
      </c>
    </row>
    <row r="3" spans="1:21" x14ac:dyDescent="0.3">
      <c r="A3" t="s">
        <v>2</v>
      </c>
      <c r="B3" t="s">
        <v>3</v>
      </c>
    </row>
    <row r="4" spans="1:21" x14ac:dyDescent="0.3">
      <c r="A4" t="s">
        <v>4</v>
      </c>
      <c r="B4" s="2">
        <v>46020</v>
      </c>
    </row>
    <row r="5" spans="1:21" x14ac:dyDescent="0.3">
      <c r="A5" t="s">
        <v>5</v>
      </c>
      <c r="B5" t="s">
        <v>95</v>
      </c>
    </row>
    <row r="6" spans="1:21" x14ac:dyDescent="0.3">
      <c r="B6" t="s">
        <v>96</v>
      </c>
    </row>
    <row r="7" spans="1:21" x14ac:dyDescent="0.3">
      <c r="A7" t="s">
        <v>6</v>
      </c>
      <c r="B7" s="1" t="s">
        <v>118</v>
      </c>
    </row>
    <row r="8" spans="1:21" x14ac:dyDescent="0.3">
      <c r="A8" t="s">
        <v>7</v>
      </c>
      <c r="B8" t="s">
        <v>97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  <c r="O8" t="s">
        <v>22</v>
      </c>
      <c r="P8" t="s">
        <v>20</v>
      </c>
      <c r="Q8" t="s">
        <v>103</v>
      </c>
      <c r="R8" t="s">
        <v>104</v>
      </c>
      <c r="S8" t="s">
        <v>105</v>
      </c>
      <c r="T8" t="s">
        <v>106</v>
      </c>
      <c r="U8" t="s">
        <v>107</v>
      </c>
    </row>
    <row r="9" spans="1:21" x14ac:dyDescent="0.3">
      <c r="A9" t="s">
        <v>14</v>
      </c>
      <c r="B9" t="s">
        <v>98</v>
      </c>
      <c r="C9">
        <v>462</v>
      </c>
      <c r="D9">
        <v>493</v>
      </c>
      <c r="E9">
        <v>522</v>
      </c>
      <c r="F9">
        <v>552</v>
      </c>
      <c r="G9">
        <v>582</v>
      </c>
      <c r="I9" t="s">
        <v>8</v>
      </c>
      <c r="J9">
        <v>462</v>
      </c>
      <c r="K9" t="s">
        <v>108</v>
      </c>
      <c r="L9">
        <v>529.29999999999995</v>
      </c>
      <c r="M9">
        <v>101</v>
      </c>
      <c r="N9">
        <v>425</v>
      </c>
      <c r="O9">
        <v>518</v>
      </c>
      <c r="P9">
        <v>366</v>
      </c>
      <c r="Q9">
        <v>72.5</v>
      </c>
      <c r="R9">
        <v>69.5</v>
      </c>
      <c r="S9" t="s">
        <v>109</v>
      </c>
      <c r="T9">
        <v>170</v>
      </c>
      <c r="U9" t="s">
        <v>110</v>
      </c>
    </row>
    <row r="10" spans="1:21" x14ac:dyDescent="0.3">
      <c r="A10" s="1" t="s">
        <v>117</v>
      </c>
      <c r="B10" t="s">
        <v>99</v>
      </c>
      <c r="I10" t="s">
        <v>9</v>
      </c>
      <c r="J10">
        <v>493</v>
      </c>
      <c r="K10" t="s">
        <v>108</v>
      </c>
      <c r="L10">
        <v>550.4</v>
      </c>
      <c r="M10">
        <v>125</v>
      </c>
      <c r="N10">
        <v>425</v>
      </c>
      <c r="O10">
        <v>546.70000000000005</v>
      </c>
      <c r="P10">
        <v>378</v>
      </c>
      <c r="Q10">
        <v>72.5</v>
      </c>
      <c r="R10">
        <v>71.5</v>
      </c>
      <c r="S10" t="s">
        <v>111</v>
      </c>
      <c r="T10">
        <v>172.5</v>
      </c>
      <c r="U10" t="s">
        <v>112</v>
      </c>
    </row>
    <row r="11" spans="1:21" x14ac:dyDescent="0.3">
      <c r="A11" t="s">
        <v>13</v>
      </c>
      <c r="B11" t="s">
        <v>100</v>
      </c>
      <c r="C11">
        <v>529.29999999999995</v>
      </c>
      <c r="D11">
        <v>550.4</v>
      </c>
      <c r="E11">
        <v>571.5</v>
      </c>
      <c r="F11">
        <v>592.5</v>
      </c>
      <c r="G11">
        <v>612.5</v>
      </c>
      <c r="I11" t="s">
        <v>10</v>
      </c>
      <c r="J11">
        <v>522</v>
      </c>
      <c r="K11" t="s">
        <v>108</v>
      </c>
      <c r="L11">
        <v>571.5</v>
      </c>
      <c r="M11">
        <v>150</v>
      </c>
      <c r="N11">
        <v>425</v>
      </c>
      <c r="O11">
        <v>575.70000000000005</v>
      </c>
      <c r="P11">
        <v>390</v>
      </c>
      <c r="Q11">
        <v>72.5</v>
      </c>
      <c r="R11">
        <v>72.5</v>
      </c>
      <c r="S11" t="s">
        <v>113</v>
      </c>
      <c r="T11">
        <v>172.5</v>
      </c>
      <c r="U11" t="s">
        <v>112</v>
      </c>
    </row>
    <row r="12" spans="1:21" x14ac:dyDescent="0.3">
      <c r="A12" t="s">
        <v>17</v>
      </c>
      <c r="B12" t="s">
        <v>101</v>
      </c>
      <c r="C12">
        <v>101</v>
      </c>
      <c r="D12">
        <v>125</v>
      </c>
      <c r="E12">
        <v>150</v>
      </c>
      <c r="F12">
        <v>180</v>
      </c>
      <c r="G12">
        <v>210</v>
      </c>
      <c r="I12" t="s">
        <v>11</v>
      </c>
      <c r="J12">
        <v>552</v>
      </c>
      <c r="K12" t="s">
        <v>108</v>
      </c>
      <c r="L12">
        <v>592.5</v>
      </c>
      <c r="M12">
        <v>180</v>
      </c>
      <c r="N12">
        <v>425</v>
      </c>
      <c r="O12">
        <v>604.29999999999995</v>
      </c>
      <c r="P12">
        <v>402</v>
      </c>
      <c r="Q12">
        <v>72.5</v>
      </c>
      <c r="R12">
        <v>72.5</v>
      </c>
      <c r="S12" t="s">
        <v>114</v>
      </c>
      <c r="T12">
        <v>175</v>
      </c>
      <c r="U12" t="s">
        <v>115</v>
      </c>
    </row>
    <row r="13" spans="1:21" x14ac:dyDescent="0.3">
      <c r="A13" t="s">
        <v>16</v>
      </c>
      <c r="B13" t="s">
        <v>102</v>
      </c>
      <c r="C13">
        <v>425</v>
      </c>
      <c r="D13">
        <v>425</v>
      </c>
      <c r="E13">
        <v>425</v>
      </c>
      <c r="F13">
        <v>425</v>
      </c>
      <c r="G13">
        <v>425</v>
      </c>
      <c r="I13" t="s">
        <v>12</v>
      </c>
      <c r="J13">
        <v>582</v>
      </c>
      <c r="K13" t="s">
        <v>108</v>
      </c>
      <c r="L13">
        <v>612.5</v>
      </c>
      <c r="M13">
        <v>210</v>
      </c>
      <c r="N13">
        <v>425</v>
      </c>
      <c r="O13">
        <v>632.9</v>
      </c>
      <c r="P13">
        <v>413</v>
      </c>
      <c r="Q13">
        <v>72.5</v>
      </c>
      <c r="R13">
        <v>72.5</v>
      </c>
      <c r="S13" t="s">
        <v>116</v>
      </c>
      <c r="T13">
        <v>175</v>
      </c>
      <c r="U13" t="s">
        <v>115</v>
      </c>
    </row>
    <row r="14" spans="1:21" x14ac:dyDescent="0.3">
      <c r="A14" t="s">
        <v>21</v>
      </c>
      <c r="B14" t="s">
        <v>22</v>
      </c>
      <c r="C14">
        <v>518</v>
      </c>
      <c r="D14">
        <v>546.70000000000005</v>
      </c>
      <c r="E14">
        <v>575.70000000000005</v>
      </c>
      <c r="F14">
        <v>604.29999999999995</v>
      </c>
      <c r="G14">
        <v>632.9</v>
      </c>
    </row>
    <row r="15" spans="1:21" x14ac:dyDescent="0.3">
      <c r="A15" t="s">
        <v>19</v>
      </c>
      <c r="B15" t="s">
        <v>20</v>
      </c>
      <c r="C15">
        <v>366</v>
      </c>
      <c r="D15">
        <v>378</v>
      </c>
      <c r="E15">
        <v>390</v>
      </c>
      <c r="F15">
        <v>402</v>
      </c>
      <c r="G15">
        <v>413</v>
      </c>
    </row>
    <row r="16" spans="1:21" x14ac:dyDescent="0.3">
      <c r="A16" t="s">
        <v>15</v>
      </c>
      <c r="B16" t="s">
        <v>103</v>
      </c>
      <c r="C16">
        <v>72.5</v>
      </c>
      <c r="D16">
        <v>72.5</v>
      </c>
      <c r="E16">
        <v>72.5</v>
      </c>
      <c r="F16">
        <v>72.5</v>
      </c>
      <c r="G16">
        <v>72.5</v>
      </c>
    </row>
    <row r="17" spans="1:8" x14ac:dyDescent="0.3">
      <c r="A17" t="s">
        <v>18</v>
      </c>
      <c r="B17" t="s">
        <v>104</v>
      </c>
      <c r="C17">
        <v>69.5</v>
      </c>
      <c r="D17">
        <v>71.5</v>
      </c>
      <c r="E17">
        <v>72.5</v>
      </c>
      <c r="F17">
        <v>72.5</v>
      </c>
      <c r="G17">
        <v>72.5</v>
      </c>
    </row>
    <row r="18" spans="1:8" x14ac:dyDescent="0.3">
      <c r="A18" t="s">
        <v>23</v>
      </c>
      <c r="C18">
        <v>1006.1</v>
      </c>
      <c r="D18">
        <v>1009.5</v>
      </c>
      <c r="E18">
        <v>1021.2</v>
      </c>
      <c r="F18">
        <v>1042</v>
      </c>
      <c r="G18">
        <v>1062.0999999999999</v>
      </c>
      <c r="H18" t="s">
        <v>119</v>
      </c>
    </row>
    <row r="19" spans="1:8" x14ac:dyDescent="0.3">
      <c r="A19" t="s">
        <v>24</v>
      </c>
      <c r="C19">
        <v>70</v>
      </c>
      <c r="D19">
        <v>70</v>
      </c>
      <c r="E19">
        <v>70</v>
      </c>
      <c r="F19">
        <v>70</v>
      </c>
      <c r="G19">
        <v>70</v>
      </c>
      <c r="H19" t="s">
        <v>119</v>
      </c>
    </row>
    <row r="20" spans="1:8" x14ac:dyDescent="0.3">
      <c r="A20" t="s">
        <v>25</v>
      </c>
      <c r="C20">
        <v>50</v>
      </c>
      <c r="D20">
        <v>50</v>
      </c>
      <c r="E20">
        <v>50</v>
      </c>
      <c r="F20">
        <v>50</v>
      </c>
      <c r="G20">
        <v>50</v>
      </c>
      <c r="H20" t="s">
        <v>119</v>
      </c>
    </row>
    <row r="21" spans="1:8" x14ac:dyDescent="0.3">
      <c r="A21" t="s">
        <v>26</v>
      </c>
    </row>
    <row r="22" spans="1:8" x14ac:dyDescent="0.3">
      <c r="A22" t="s">
        <v>27</v>
      </c>
      <c r="H22" s="1" t="s">
        <v>122</v>
      </c>
    </row>
    <row r="23" spans="1:8" x14ac:dyDescent="0.3">
      <c r="A23" t="s">
        <v>28</v>
      </c>
    </row>
    <row r="24" spans="1:8" x14ac:dyDescent="0.3">
      <c r="A24" t="s">
        <v>29</v>
      </c>
    </row>
    <row r="25" spans="1:8" x14ac:dyDescent="0.3">
      <c r="A25" t="s">
        <v>30</v>
      </c>
    </row>
    <row r="26" spans="1:8" x14ac:dyDescent="0.3">
      <c r="A26" t="s">
        <v>31</v>
      </c>
    </row>
    <row r="27" spans="1:8" x14ac:dyDescent="0.3">
      <c r="A27" t="s">
        <v>32</v>
      </c>
    </row>
    <row r="28" spans="1:8" x14ac:dyDescent="0.3">
      <c r="A28" t="s">
        <v>33</v>
      </c>
    </row>
    <row r="29" spans="1:8" x14ac:dyDescent="0.3">
      <c r="A29" t="s">
        <v>34</v>
      </c>
      <c r="B29" t="s">
        <v>34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8" x14ac:dyDescent="0.3">
      <c r="A30" t="s">
        <v>35</v>
      </c>
      <c r="B30" t="s">
        <v>35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8" x14ac:dyDescent="0.3">
      <c r="A31" t="s">
        <v>36</v>
      </c>
      <c r="B31" t="s">
        <v>36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8" x14ac:dyDescent="0.3">
      <c r="A32" t="s">
        <v>37</v>
      </c>
      <c r="B32" t="s">
        <v>37</v>
      </c>
      <c r="C32">
        <f>VALUE(LEFT(C34,3))</f>
        <v>161</v>
      </c>
      <c r="D32">
        <f t="shared" ref="D32:G32" si="0">VALUE(LEFT(D34,3))</f>
        <v>170</v>
      </c>
      <c r="E32">
        <f t="shared" si="0"/>
        <v>178</v>
      </c>
      <c r="F32">
        <f t="shared" si="0"/>
        <v>185</v>
      </c>
      <c r="G32">
        <f t="shared" si="0"/>
        <v>191</v>
      </c>
    </row>
    <row r="33" spans="1:8" x14ac:dyDescent="0.3">
      <c r="A33" t="s">
        <v>38</v>
      </c>
      <c r="B33" t="s">
        <v>38</v>
      </c>
      <c r="C33">
        <f>VALUE(RIGHT(C34,3))</f>
        <v>173</v>
      </c>
      <c r="D33">
        <f t="shared" ref="D33:F33" si="1">VALUE(RIGHT(D34,3))</f>
        <v>182</v>
      </c>
      <c r="E33">
        <f t="shared" si="1"/>
        <v>189</v>
      </c>
      <c r="F33">
        <f t="shared" si="1"/>
        <v>195</v>
      </c>
      <c r="G33">
        <v>201</v>
      </c>
    </row>
    <row r="34" spans="1:8" x14ac:dyDescent="0.3">
      <c r="C34" t="s">
        <v>109</v>
      </c>
      <c r="D34" t="s">
        <v>111</v>
      </c>
      <c r="E34" t="s">
        <v>113</v>
      </c>
      <c r="F34" t="s">
        <v>114</v>
      </c>
      <c r="G34" t="s">
        <v>116</v>
      </c>
      <c r="H34" t="s">
        <v>105</v>
      </c>
    </row>
    <row r="35" spans="1:8" x14ac:dyDescent="0.3">
      <c r="A35" t="s">
        <v>39</v>
      </c>
      <c r="B35" t="s">
        <v>40</v>
      </c>
      <c r="C35">
        <v>170</v>
      </c>
      <c r="D35">
        <v>172.5</v>
      </c>
      <c r="E35">
        <v>172.5</v>
      </c>
      <c r="F35">
        <v>175</v>
      </c>
      <c r="G35">
        <v>175</v>
      </c>
      <c r="H35" t="s">
        <v>106</v>
      </c>
    </row>
    <row r="36" spans="1:8" x14ac:dyDescent="0.3">
      <c r="A36" t="s">
        <v>78</v>
      </c>
      <c r="B36" t="s">
        <v>79</v>
      </c>
      <c r="C36" t="s">
        <v>110</v>
      </c>
      <c r="D36" t="s">
        <v>112</v>
      </c>
      <c r="E36" t="s">
        <v>112</v>
      </c>
      <c r="F36" t="s">
        <v>115</v>
      </c>
      <c r="G36" t="s">
        <v>115</v>
      </c>
      <c r="H36" t="s">
        <v>107</v>
      </c>
    </row>
    <row r="37" spans="1:8" x14ac:dyDescent="0.3">
      <c r="A37" t="s">
        <v>80</v>
      </c>
      <c r="B37" t="s">
        <v>81</v>
      </c>
    </row>
    <row r="38" spans="1:8" x14ac:dyDescent="0.3">
      <c r="A38" t="s">
        <v>82</v>
      </c>
      <c r="B38" t="s">
        <v>83</v>
      </c>
    </row>
    <row r="39" spans="1:8" x14ac:dyDescent="0.3">
      <c r="A39" t="s">
        <v>41</v>
      </c>
      <c r="B39" t="s">
        <v>42</v>
      </c>
    </row>
    <row r="40" spans="1:8" x14ac:dyDescent="0.3">
      <c r="A40" t="s">
        <v>43</v>
      </c>
      <c r="B40" s="1" t="s">
        <v>44</v>
      </c>
    </row>
    <row r="41" spans="1:8" x14ac:dyDescent="0.3">
      <c r="A41" t="s">
        <v>45</v>
      </c>
    </row>
    <row r="42" spans="1:8" x14ac:dyDescent="0.3">
      <c r="A42" t="s">
        <v>46</v>
      </c>
      <c r="B42">
        <v>45</v>
      </c>
    </row>
    <row r="43" spans="1:8" x14ac:dyDescent="0.3">
      <c r="A43" t="s">
        <v>47</v>
      </c>
    </row>
    <row r="44" spans="1:8" x14ac:dyDescent="0.3">
      <c r="A44" t="s">
        <v>48</v>
      </c>
    </row>
    <row r="45" spans="1:8" x14ac:dyDescent="0.3">
      <c r="A45" t="s">
        <v>49</v>
      </c>
    </row>
    <row r="46" spans="1:8" x14ac:dyDescent="0.3">
      <c r="A46" t="s">
        <v>50</v>
      </c>
    </row>
    <row r="47" spans="1:8" x14ac:dyDescent="0.3">
      <c r="A47" t="s">
        <v>51</v>
      </c>
    </row>
    <row r="48" spans="1:8" x14ac:dyDescent="0.3">
      <c r="A48" t="s">
        <v>52</v>
      </c>
      <c r="B48">
        <v>142</v>
      </c>
    </row>
    <row r="49" spans="1:2" x14ac:dyDescent="0.3">
      <c r="A49" t="s">
        <v>53</v>
      </c>
      <c r="B49">
        <v>100</v>
      </c>
    </row>
    <row r="50" spans="1:2" x14ac:dyDescent="0.3">
      <c r="A50" t="s">
        <v>87</v>
      </c>
    </row>
    <row r="51" spans="1:2" x14ac:dyDescent="0.3">
      <c r="A51" t="s">
        <v>88</v>
      </c>
    </row>
    <row r="52" spans="1:2" x14ac:dyDescent="0.3">
      <c r="A52" t="s">
        <v>89</v>
      </c>
    </row>
    <row r="53" spans="1:2" x14ac:dyDescent="0.3">
      <c r="A53" t="s">
        <v>90</v>
      </c>
    </row>
    <row r="54" spans="1:2" x14ac:dyDescent="0.3">
      <c r="A54" t="s">
        <v>91</v>
      </c>
    </row>
    <row r="55" spans="1:2" x14ac:dyDescent="0.3">
      <c r="A55" t="s">
        <v>92</v>
      </c>
    </row>
    <row r="56" spans="1:2" x14ac:dyDescent="0.3">
      <c r="A56" t="s">
        <v>54</v>
      </c>
      <c r="B56" s="1" t="s">
        <v>84</v>
      </c>
    </row>
    <row r="57" spans="1:2" x14ac:dyDescent="0.3">
      <c r="A57" t="s">
        <v>55</v>
      </c>
    </row>
    <row r="58" spans="1:2" x14ac:dyDescent="0.3">
      <c r="A58" t="s">
        <v>56</v>
      </c>
    </row>
    <row r="59" spans="1:2" x14ac:dyDescent="0.3">
      <c r="A59" t="s">
        <v>57</v>
      </c>
      <c r="B59" s="1" t="s">
        <v>44</v>
      </c>
    </row>
    <row r="60" spans="1:2" x14ac:dyDescent="0.3">
      <c r="A60" t="s">
        <v>58</v>
      </c>
    </row>
    <row r="61" spans="1:2" x14ac:dyDescent="0.3">
      <c r="A61" t="s">
        <v>59</v>
      </c>
    </row>
    <row r="62" spans="1:2" x14ac:dyDescent="0.3">
      <c r="A62" t="s">
        <v>60</v>
      </c>
    </row>
    <row r="63" spans="1:2" x14ac:dyDescent="0.3">
      <c r="A63" t="s">
        <v>61</v>
      </c>
    </row>
    <row r="64" spans="1:2" x14ac:dyDescent="0.3">
      <c r="A64" t="s">
        <v>62</v>
      </c>
    </row>
    <row r="65" spans="1:2" x14ac:dyDescent="0.3">
      <c r="A65" t="s">
        <v>63</v>
      </c>
      <c r="B65" s="1" t="s">
        <v>121</v>
      </c>
    </row>
    <row r="66" spans="1:2" x14ac:dyDescent="0.3">
      <c r="A66" t="s">
        <v>64</v>
      </c>
    </row>
    <row r="67" spans="1:2" x14ac:dyDescent="0.3">
      <c r="A67" t="s">
        <v>65</v>
      </c>
    </row>
    <row r="68" spans="1:2" x14ac:dyDescent="0.3">
      <c r="A68" t="s">
        <v>66</v>
      </c>
    </row>
    <row r="69" spans="1:2" x14ac:dyDescent="0.3">
      <c r="A69" t="s">
        <v>67</v>
      </c>
      <c r="B69">
        <v>2</v>
      </c>
    </row>
    <row r="70" spans="1:2" x14ac:dyDescent="0.3">
      <c r="A70" t="s">
        <v>68</v>
      </c>
      <c r="B70">
        <v>1</v>
      </c>
    </row>
    <row r="71" spans="1:2" x14ac:dyDescent="0.3">
      <c r="A71" t="s">
        <v>69</v>
      </c>
      <c r="B71">
        <v>1</v>
      </c>
    </row>
    <row r="72" spans="1:2" x14ac:dyDescent="0.3">
      <c r="A72" t="s">
        <v>70</v>
      </c>
    </row>
    <row r="73" spans="1:2" x14ac:dyDescent="0.3">
      <c r="A73" t="s">
        <v>71</v>
      </c>
    </row>
    <row r="74" spans="1:2" x14ac:dyDescent="0.3">
      <c r="A74" t="s">
        <v>72</v>
      </c>
    </row>
    <row r="75" spans="1:2" x14ac:dyDescent="0.3">
      <c r="A75" t="s">
        <v>73</v>
      </c>
    </row>
    <row r="76" spans="1:2" x14ac:dyDescent="0.3">
      <c r="A76" t="s">
        <v>74</v>
      </c>
    </row>
    <row r="77" spans="1:2" x14ac:dyDescent="0.3">
      <c r="A77" t="s">
        <v>75</v>
      </c>
      <c r="B77">
        <v>4899</v>
      </c>
    </row>
    <row r="78" spans="1:2" x14ac:dyDescent="0.3">
      <c r="A78" t="s">
        <v>76</v>
      </c>
    </row>
    <row r="79" spans="1:2" x14ac:dyDescent="0.3">
      <c r="A79" t="s">
        <v>77</v>
      </c>
      <c r="B79" s="1" t="s">
        <v>86</v>
      </c>
    </row>
    <row r="80" spans="1:2" x14ac:dyDescent="0.3">
      <c r="A80" t="s">
        <v>85</v>
      </c>
      <c r="B80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2025-12-29T16:48:05Z</dcterms:modified>
</cp:coreProperties>
</file>