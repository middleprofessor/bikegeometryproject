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0E7728D-0117-6A4A-94CB-3026FDC5774E}" xr6:coauthVersionLast="47" xr6:coauthVersionMax="47" xr10:uidLastSave="{00000000-0000-0000-0000-000000000000}"/>
  <bookViews>
    <workbookView xWindow="3540" yWindow="1020" windowWidth="2526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</calcChain>
</file>

<file path=xl/sharedStrings.xml><?xml version="1.0" encoding="utf-8"?>
<sst xmlns="http://schemas.openxmlformats.org/spreadsheetml/2006/main" count="112" uniqueCount="108">
  <si>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</si>
  <si>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</si>
  <si>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</si>
  <si>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</si>
  <si>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</si>
  <si>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</si>
  <si>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</si>
  <si>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</si>
  <si>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</si>
  <si>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</si>
  <si>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</si>
  <si>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</si>
  <si>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</si>
  <si>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</si>
  <si>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</si>
  <si>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</si>
  <si>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</si>
  <si>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</si>
  <si>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</si>
  <si>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</si>
  <si>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</si>
  <si>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</si>
  <si>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</si>
  <si>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</si>
  <si>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</si>
  <si>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</si>
  <si>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</si>
  <si>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</si>
  <si>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</si>
  <si>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</si>
  <si>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</si>
  <si>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</si>
  <si>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</si>
  <si>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</si>
  <si>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</si>
  <si>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</si>
  <si>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</si>
  <si>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</si>
  <si>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</si>
  <si>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</si>
  <si>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</si>
  <si>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</si>
  <si>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</si>
  <si>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</si>
  <si>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</si>
  <si>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</si>
  <si>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</si>
  <si>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</si>
  <si>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</si>
  <si>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</si>
  <si>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</si>
  <si>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</si>
  <si>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</si>
  <si>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</si>
  <si>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</si>
  <si>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</si>
  <si>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</si>
  <si>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</si>
  <si>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</si>
  <si>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</si>
  <si>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</si>
  <si>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</si>
  <si>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</si>
  <si>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</si>
  <si>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</si>
  <si>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</si>
  <si>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</si>
  <si>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</si>
  <si>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</si>
  <si>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</si>
  <si>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</si>
  <si>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</si>
  <si>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</si>
  <si>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</si>
  <si>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</si>
  <si>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</si>
  <si>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</si>
  <si>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</si>
  <si>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</si>
  <si>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</si>
  <si>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</si>
  <si>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</si>
  <si>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</si>
  <si>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</si>
  <si>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</si>
  <si>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</si>
  <si>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Effective Top Tube Length</t>
  </si>
  <si>
    <t>Seat Tube Angle</t>
  </si>
  <si>
    <t>Fork Length</t>
  </si>
  <si>
    <t>Fork Offset</t>
  </si>
  <si>
    <t>Standover</t>
  </si>
  <si>
    <t>titanium</t>
  </si>
  <si>
    <t>frame only</t>
  </si>
  <si>
    <t>threaded 73</t>
  </si>
  <si>
    <t>internal</t>
  </si>
  <si>
    <t>external</t>
  </si>
  <si>
    <t>Front Center</t>
  </si>
  <si>
    <t>flat bar</t>
  </si>
  <si>
    <t>SuperB</t>
  </si>
  <si>
    <t>https://binarybicycles.com/product/superb-titanium-mtb-frame/</t>
  </si>
  <si>
    <t>XS</t>
  </si>
  <si>
    <t>S</t>
  </si>
  <si>
    <t>M</t>
  </si>
  <si>
    <t>L</t>
  </si>
  <si>
    <t>XL</t>
  </si>
  <si>
    <t>430-445</t>
  </si>
  <si>
    <t>a8:g32</t>
  </si>
  <si>
    <t>https://binarybicycles.com/wp-content/uploads/2022/01/superb-titanium-mtb-frame1.jpg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</si>
</sst>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1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narybicycles.com/wp-content/uploads/2022/01/superb-titanium-mtb-frame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Normal="100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98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s="5" t="s">
        <v>99</v>
      </c>
    </row>
    <row r="6" spans="1:22" x14ac:dyDescent="0.3">
      <c r="B6" s="5" t="s">
        <v>107</v>
      </c>
    </row>
    <row r="7" spans="1:22" x14ac:dyDescent="0.3">
      <c r="A7" t="s">
        <v>6</v>
      </c>
      <c r="B7" s="1" t="s">
        <v>106</v>
      </c>
    </row>
    <row r="8" spans="1:22" x14ac:dyDescent="0.3">
      <c r="A8" t="s">
        <v>7</v>
      </c>
      <c r="B8" s="1" t="s">
        <v>74</v>
      </c>
      <c r="C8" s="6" t="s">
        <v>100</v>
      </c>
      <c r="D8" s="6" t="s">
        <v>101</v>
      </c>
      <c r="E8" s="7" t="s">
        <v>102</v>
      </c>
      <c r="F8" s="7" t="s">
        <v>103</v>
      </c>
      <c r="G8" s="7" t="s">
        <v>104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86</v>
      </c>
      <c r="C9" s="6">
        <v>582</v>
      </c>
      <c r="D9" s="6">
        <v>596</v>
      </c>
      <c r="E9" s="6">
        <v>613</v>
      </c>
      <c r="F9" s="6">
        <v>631</v>
      </c>
      <c r="G9" s="6">
        <v>650</v>
      </c>
      <c r="I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82</v>
      </c>
      <c r="C10" s="6">
        <v>400</v>
      </c>
      <c r="D10" s="6">
        <v>445</v>
      </c>
      <c r="E10" s="6">
        <v>460</v>
      </c>
      <c r="F10" s="6">
        <v>508</v>
      </c>
      <c r="G10" s="6">
        <v>535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7" t="s">
        <v>87</v>
      </c>
      <c r="C11" s="6">
        <v>74</v>
      </c>
      <c r="D11" s="6">
        <v>74</v>
      </c>
      <c r="E11" s="6">
        <v>74</v>
      </c>
      <c r="F11" s="6">
        <v>74</v>
      </c>
      <c r="G11" s="6">
        <v>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7" t="s">
        <v>81</v>
      </c>
      <c r="C12" s="6">
        <v>110</v>
      </c>
      <c r="D12" s="6">
        <v>120</v>
      </c>
      <c r="E12" s="6">
        <v>120</v>
      </c>
      <c r="F12" s="6">
        <v>130</v>
      </c>
      <c r="G12" s="6">
        <v>140</v>
      </c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6" t="s">
        <v>77</v>
      </c>
      <c r="C13" s="6">
        <v>66.5</v>
      </c>
      <c r="D13" s="6">
        <v>66.5</v>
      </c>
      <c r="E13" s="6">
        <v>66.5</v>
      </c>
      <c r="F13" s="6">
        <v>66.5</v>
      </c>
      <c r="G13" s="6">
        <v>66.5</v>
      </c>
      <c r="I13" s="3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7" t="s">
        <v>78</v>
      </c>
      <c r="C14">
        <v>50</v>
      </c>
      <c r="D14">
        <v>50</v>
      </c>
      <c r="E14">
        <v>50</v>
      </c>
      <c r="F14">
        <v>50</v>
      </c>
      <c r="G14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7" t="s">
        <v>79</v>
      </c>
      <c r="C15">
        <f>VALUE(LEFT(H15,3))</f>
        <v>430</v>
      </c>
      <c r="D15">
        <f t="shared" ref="D15:G15" si="0">VALUE(LEFT(I15,3))</f>
        <v>430</v>
      </c>
      <c r="E15">
        <f t="shared" si="0"/>
        <v>430</v>
      </c>
      <c r="F15">
        <f t="shared" si="0"/>
        <v>430</v>
      </c>
      <c r="G15">
        <f t="shared" si="0"/>
        <v>430</v>
      </c>
      <c r="H15" t="s">
        <v>105</v>
      </c>
      <c r="I15" t="s">
        <v>105</v>
      </c>
      <c r="J15" t="s">
        <v>105</v>
      </c>
      <c r="K15" t="s">
        <v>105</v>
      </c>
      <c r="L15" t="s">
        <v>105</v>
      </c>
      <c r="N15" s="6"/>
      <c r="O15" s="6"/>
      <c r="P15" s="6"/>
    </row>
    <row r="16" spans="1:22" x14ac:dyDescent="0.3">
      <c r="A16" t="s">
        <v>22</v>
      </c>
      <c r="B16" s="7" t="s">
        <v>88</v>
      </c>
      <c r="C16">
        <v>528</v>
      </c>
      <c r="D16">
        <v>528</v>
      </c>
      <c r="E16">
        <v>538</v>
      </c>
      <c r="F16">
        <v>538</v>
      </c>
      <c r="G16" s="6">
        <v>538</v>
      </c>
      <c r="H16" s="6"/>
      <c r="I16" s="6"/>
      <c r="J16" s="6"/>
    </row>
    <row r="17" spans="1:16" x14ac:dyDescent="0.3">
      <c r="A17" t="s">
        <v>16</v>
      </c>
      <c r="B17" s="7" t="s">
        <v>89</v>
      </c>
      <c r="C17">
        <v>51</v>
      </c>
      <c r="D17">
        <v>51</v>
      </c>
      <c r="E17">
        <v>51</v>
      </c>
      <c r="F17">
        <v>51</v>
      </c>
      <c r="G17">
        <v>51</v>
      </c>
      <c r="J17" s="6"/>
      <c r="K17" s="6"/>
      <c r="L17" s="6"/>
      <c r="M17" s="6"/>
      <c r="N17" s="6"/>
      <c r="P17" s="2"/>
    </row>
    <row r="18" spans="1:16" x14ac:dyDescent="0.3">
      <c r="A18" t="s">
        <v>18</v>
      </c>
      <c r="B18" s="7" t="s">
        <v>80</v>
      </c>
      <c r="C18">
        <v>1135</v>
      </c>
      <c r="D18">
        <v>1150</v>
      </c>
      <c r="E18">
        <v>1170</v>
      </c>
      <c r="F18">
        <v>1177</v>
      </c>
      <c r="G18">
        <v>1205</v>
      </c>
      <c r="J18" s="3"/>
      <c r="K18" s="3"/>
      <c r="L18" s="3"/>
      <c r="M18" s="3"/>
      <c r="N18" s="3"/>
    </row>
    <row r="19" spans="1:16" x14ac:dyDescent="0.3">
      <c r="A19" t="s">
        <v>21</v>
      </c>
      <c r="B19" s="7" t="s">
        <v>76</v>
      </c>
      <c r="C19">
        <v>625</v>
      </c>
      <c r="D19">
        <v>635</v>
      </c>
      <c r="E19">
        <v>642</v>
      </c>
      <c r="F19">
        <v>651</v>
      </c>
      <c r="G19">
        <v>660</v>
      </c>
    </row>
    <row r="20" spans="1:16" x14ac:dyDescent="0.3">
      <c r="A20" t="s">
        <v>20</v>
      </c>
      <c r="B20" s="7" t="s">
        <v>75</v>
      </c>
      <c r="C20">
        <v>402</v>
      </c>
      <c r="D20">
        <v>414</v>
      </c>
      <c r="E20">
        <v>430</v>
      </c>
      <c r="F20">
        <v>433</v>
      </c>
      <c r="G20">
        <v>457</v>
      </c>
    </row>
    <row r="21" spans="1:16" x14ac:dyDescent="0.3">
      <c r="A21" s="1" t="s">
        <v>83</v>
      </c>
      <c r="B21" s="1" t="s">
        <v>96</v>
      </c>
      <c r="C21">
        <v>710</v>
      </c>
      <c r="D21" s="8">
        <v>725</v>
      </c>
      <c r="E21">
        <v>745</v>
      </c>
      <c r="F21">
        <v>751</v>
      </c>
      <c r="G21">
        <v>780</v>
      </c>
    </row>
    <row r="22" spans="1:16" x14ac:dyDescent="0.3">
      <c r="A22" t="s">
        <v>19</v>
      </c>
      <c r="B22" t="s">
        <v>90</v>
      </c>
      <c r="C22">
        <v>806</v>
      </c>
      <c r="D22">
        <v>832</v>
      </c>
      <c r="E22">
        <v>843</v>
      </c>
      <c r="F22">
        <v>843</v>
      </c>
      <c r="G22">
        <v>843</v>
      </c>
      <c r="I22" s="2"/>
    </row>
    <row r="23" spans="1:16" x14ac:dyDescent="0.3">
      <c r="A23" t="s">
        <v>17</v>
      </c>
      <c r="J23" s="3"/>
      <c r="K23" s="3"/>
      <c r="L23" s="3"/>
      <c r="M23" s="3"/>
      <c r="N23" s="3"/>
    </row>
    <row r="24" spans="1:16" x14ac:dyDescent="0.3">
      <c r="A24" s="1" t="s">
        <v>72</v>
      </c>
      <c r="I24" s="2"/>
      <c r="J24" s="3"/>
      <c r="K24" s="3"/>
      <c r="L24" s="3"/>
      <c r="M24" s="3"/>
      <c r="N24" s="3"/>
    </row>
    <row r="25" spans="1:16" x14ac:dyDescent="0.3">
      <c r="A25" t="s">
        <v>24</v>
      </c>
      <c r="I25" s="2"/>
      <c r="J25" s="3"/>
      <c r="K25" s="3"/>
      <c r="L25" s="3"/>
      <c r="M25" s="3"/>
      <c r="N25" s="3"/>
    </row>
    <row r="26" spans="1:16" x14ac:dyDescent="0.3">
      <c r="A26" t="s">
        <v>23</v>
      </c>
      <c r="I26" s="2"/>
      <c r="J26" s="3"/>
      <c r="K26" s="3"/>
      <c r="L26" s="3"/>
      <c r="M26" s="3"/>
      <c r="N26" s="3"/>
    </row>
    <row r="27" spans="1:16" x14ac:dyDescent="0.3">
      <c r="A27" t="s">
        <v>25</v>
      </c>
      <c r="I27" s="2"/>
      <c r="J27" s="3"/>
      <c r="K27" s="3"/>
      <c r="L27" s="3"/>
      <c r="M27" s="3"/>
      <c r="N27" s="3"/>
    </row>
    <row r="28" spans="1:16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J28" s="3"/>
      <c r="K28" s="3"/>
      <c r="L28" s="3"/>
      <c r="M28" s="3"/>
      <c r="N28" s="3"/>
    </row>
    <row r="29" spans="1:16" x14ac:dyDescent="0.3">
      <c r="A29" t="s">
        <v>26</v>
      </c>
      <c r="C29">
        <v>2.6</v>
      </c>
      <c r="D29">
        <v>2.6</v>
      </c>
      <c r="E29">
        <v>2.6</v>
      </c>
      <c r="F29">
        <v>2.6</v>
      </c>
      <c r="G29">
        <v>2.6</v>
      </c>
      <c r="J29" s="3"/>
      <c r="K29" s="3"/>
      <c r="L29" s="3"/>
      <c r="M29" s="3"/>
      <c r="N29" s="3"/>
    </row>
    <row r="30" spans="1:16" x14ac:dyDescent="0.3">
      <c r="A30" t="s">
        <v>27</v>
      </c>
      <c r="C30">
        <v>2.6</v>
      </c>
      <c r="D30">
        <v>2.6</v>
      </c>
      <c r="E30">
        <v>2.6</v>
      </c>
      <c r="F30">
        <v>2.6</v>
      </c>
      <c r="G30">
        <v>2.6</v>
      </c>
      <c r="J30" s="3"/>
      <c r="K30" s="3"/>
      <c r="L30" s="3"/>
      <c r="M30" s="3"/>
      <c r="N30" s="3"/>
    </row>
    <row r="31" spans="1:16" x14ac:dyDescent="0.3">
      <c r="A31" t="s">
        <v>28</v>
      </c>
      <c r="C31" s="9"/>
      <c r="D31" s="9"/>
      <c r="E31" s="9"/>
      <c r="F31" s="9"/>
      <c r="G31" s="9"/>
      <c r="H31" s="9"/>
      <c r="I31" s="9"/>
      <c r="J31" s="3"/>
      <c r="K31" s="3"/>
      <c r="L31" s="3"/>
      <c r="M31" s="3"/>
      <c r="N31" s="3"/>
    </row>
    <row r="32" spans="1:16" x14ac:dyDescent="0.3">
      <c r="A32" t="s">
        <v>29</v>
      </c>
      <c r="C32" s="9"/>
      <c r="D32" s="9"/>
      <c r="E32" s="9"/>
      <c r="F32" s="9"/>
      <c r="G32" s="9"/>
      <c r="H32" s="9"/>
      <c r="I32" s="9"/>
      <c r="J32" s="3"/>
    </row>
    <row r="33" spans="1:10" x14ac:dyDescent="0.3">
      <c r="C33" s="6"/>
      <c r="D33" s="6"/>
      <c r="E33" s="6"/>
      <c r="F33" s="6"/>
      <c r="G33" s="6"/>
      <c r="J33" s="7"/>
    </row>
    <row r="34" spans="1:10" x14ac:dyDescent="0.3">
      <c r="A34" t="s">
        <v>30</v>
      </c>
      <c r="B34" t="s">
        <v>31</v>
      </c>
      <c r="C34" s="2"/>
      <c r="D34" s="2"/>
      <c r="E34" s="2"/>
      <c r="F34" s="1"/>
      <c r="G34" s="2"/>
      <c r="H34" s="2"/>
      <c r="I34" s="2"/>
    </row>
    <row r="35" spans="1:10" x14ac:dyDescent="0.3">
      <c r="A35" t="s">
        <v>68</v>
      </c>
      <c r="B35" t="s">
        <v>69</v>
      </c>
      <c r="C35" s="2"/>
      <c r="D35" s="2"/>
      <c r="E35" s="2"/>
      <c r="F35" s="2"/>
      <c r="G35" s="2"/>
      <c r="H35" s="2"/>
      <c r="I35" s="2"/>
    </row>
    <row r="36" spans="1:10" x14ac:dyDescent="0.3">
      <c r="A36" t="s">
        <v>70</v>
      </c>
      <c r="B36" s="1" t="s">
        <v>97</v>
      </c>
      <c r="C36" s="2"/>
      <c r="D36" s="2"/>
      <c r="E36" s="2"/>
      <c r="F36" s="2"/>
      <c r="G36" s="2"/>
      <c r="H36" s="2"/>
      <c r="I36" s="2"/>
    </row>
    <row r="37" spans="1:10" x14ac:dyDescent="0.3">
      <c r="A37" t="s">
        <v>71</v>
      </c>
      <c r="B37" s="1" t="s">
        <v>73</v>
      </c>
      <c r="C37" s="2"/>
      <c r="D37" s="2"/>
      <c r="E37" s="2"/>
      <c r="F37" s="2"/>
      <c r="G37" s="2"/>
      <c r="H37" s="2"/>
      <c r="I37" s="2"/>
    </row>
    <row r="38" spans="1:10" x14ac:dyDescent="0.3">
      <c r="A38" t="s">
        <v>32</v>
      </c>
      <c r="B38" s="1" t="s">
        <v>91</v>
      </c>
      <c r="C38" s="2"/>
      <c r="D38" s="2"/>
      <c r="E38" s="2"/>
      <c r="F38" s="2"/>
      <c r="G38" s="2"/>
      <c r="H38" s="2"/>
      <c r="I38" s="2"/>
    </row>
    <row r="39" spans="1:10" x14ac:dyDescent="0.3">
      <c r="A39" t="s">
        <v>33</v>
      </c>
      <c r="B39" s="1"/>
      <c r="C39" s="2"/>
      <c r="D39" s="2"/>
      <c r="E39" s="2"/>
      <c r="F39" s="2"/>
      <c r="G39" s="2"/>
      <c r="H39" s="2"/>
      <c r="I39" s="2"/>
    </row>
    <row r="40" spans="1:10" x14ac:dyDescent="0.3">
      <c r="A40" t="s">
        <v>35</v>
      </c>
      <c r="B40" s="1"/>
      <c r="C40" s="2"/>
      <c r="D40" s="2"/>
      <c r="E40" s="2"/>
    </row>
    <row r="41" spans="1:10" x14ac:dyDescent="0.3">
      <c r="A41" t="s">
        <v>36</v>
      </c>
      <c r="B41">
        <v>2.6</v>
      </c>
      <c r="C41" s="2"/>
      <c r="D41" s="2"/>
      <c r="E41" s="2"/>
    </row>
    <row r="42" spans="1:10" x14ac:dyDescent="0.3">
      <c r="A42" t="s">
        <v>37</v>
      </c>
      <c r="B42">
        <v>3</v>
      </c>
      <c r="C42" s="2"/>
      <c r="D42" s="2"/>
      <c r="E42" s="2"/>
    </row>
    <row r="43" spans="1:10" x14ac:dyDescent="0.3">
      <c r="A43" t="s">
        <v>38</v>
      </c>
      <c r="B43">
        <v>120</v>
      </c>
      <c r="C43" s="2"/>
      <c r="D43" s="2"/>
      <c r="E43" s="2"/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  <c r="B47">
        <v>148</v>
      </c>
    </row>
    <row r="48" spans="1:10" x14ac:dyDescent="0.3">
      <c r="A48" t="s">
        <v>43</v>
      </c>
      <c r="B48">
        <v>110</v>
      </c>
    </row>
    <row r="49" spans="1:2" x14ac:dyDescent="0.3">
      <c r="A49" t="s">
        <v>44</v>
      </c>
      <c r="B49" s="1" t="s">
        <v>93</v>
      </c>
    </row>
    <row r="50" spans="1:2" x14ac:dyDescent="0.3">
      <c r="A50" t="s">
        <v>45</v>
      </c>
    </row>
    <row r="51" spans="1:2" x14ac:dyDescent="0.3">
      <c r="A51" t="s">
        <v>46</v>
      </c>
      <c r="B51">
        <v>31.6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95</v>
      </c>
    </row>
    <row r="59" spans="1:2" x14ac:dyDescent="0.3">
      <c r="A59" t="s">
        <v>53</v>
      </c>
      <c r="B59" s="1" t="s">
        <v>94</v>
      </c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</row>
    <row r="65" spans="1:3" x14ac:dyDescent="0.3">
      <c r="A65" t="s">
        <v>60</v>
      </c>
    </row>
    <row r="66" spans="1:3" x14ac:dyDescent="0.3">
      <c r="A66" t="s">
        <v>61</v>
      </c>
      <c r="B66" s="1"/>
    </row>
    <row r="67" spans="1:3" x14ac:dyDescent="0.3">
      <c r="A67" t="s">
        <v>62</v>
      </c>
      <c r="B67" s="1"/>
    </row>
    <row r="68" spans="1:3" x14ac:dyDescent="0.3">
      <c r="A68" t="s">
        <v>63</v>
      </c>
      <c r="B68" s="1"/>
    </row>
    <row r="69" spans="1:3" x14ac:dyDescent="0.3">
      <c r="A69" t="s">
        <v>64</v>
      </c>
      <c r="B69">
        <v>2099</v>
      </c>
      <c r="C69" s="1" t="s">
        <v>92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</sheetData>
  <hyperlinks>
    <hyperlink ref="B6" r:id="rId1" xr:uid="{74F66332-CB84-9C47-BC67-8ED9D08FC051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2025-10-14T17:19:10Z</dcterms:modified>
</cp:coreProperties>
</file>