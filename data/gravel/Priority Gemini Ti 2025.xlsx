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05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A05D6856-08C7-9542-8399-DF8BAAE0227D}" xr6:coauthVersionLast="47" xr6:coauthVersionMax="47" xr10:uidLastSave="{00000000-0000-0000-0000-000000000000}"/>
  <bookViews>
    <workbookView xWindow="32440" yWindow="-17920" windowWidth="2880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2" i="1" l="1"/>
  <c r="D32" i="1"/>
  <c r="E32" i="1"/>
  <c r="F32" i="1"/>
  <c r="D31" i="1"/>
  <c r="E31" i="1"/>
  <c r="F31" i="1"/>
  <c r="C31" i="1"/>
</calcChain>
</file>

<file path=xl/sharedStrings.xml><?xml version="1.0" encoding="utf-8"?>
<sst xmlns="http://schemas.openxmlformats.org/spreadsheetml/2006/main" count="112" uniqueCount="110">
  <si>
    <t>brand</t>
  </si>
  <si>
    <t>model</t>
  </si>
  <si>
    <t>model year</t>
  </si>
  <si>
    <t>input date</t>
  </si>
  <si>
    <t>URL</t>
  </si>
  <si>
    <t>data_range</t>
  </si>
  <si>
    <t>frame_size</t>
  </si>
  <si>
    <t>top_tube_effective_length</t>
  </si>
  <si>
    <t>seat_tube_length</t>
  </si>
  <si>
    <t>chainstay_length</t>
  </si>
  <si>
    <t>front_center</t>
  </si>
  <si>
    <t>wheelbase</t>
  </si>
  <si>
    <t>bottom_bracket_drop</t>
  </si>
  <si>
    <t>head_tube_length</t>
  </si>
  <si>
    <t>head_tube_angle</t>
  </si>
  <si>
    <t>fork_offset_rake</t>
  </si>
  <si>
    <t>frame_weight</t>
  </si>
  <si>
    <t>trail</t>
  </si>
  <si>
    <t>axle_crown</t>
  </si>
  <si>
    <t>crank_length</t>
  </si>
  <si>
    <t>handlebar_width</t>
  </si>
  <si>
    <t>stem_length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</si>
  <si>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</si>
  <si>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</si>
  <si>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</si>
  <si>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</si>
  <si>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</si>
  <si>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</si>
  <si>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</si>
  <si>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</si>
  <si>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</si>
  <si>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</si>
  <si>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</si>
  <si>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</si>
  <si>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</si>
  <si>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</si>
  <si>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</si>
  <si>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</si>
  <si>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</si>
  <si>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</si>
  <si>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</si>
  <si>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</si>
  <si>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</si>
  <si>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</si>
  <si>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</si>
  <si>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</si>
  <si>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</si>
  <si>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</si>
  <si>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</si>
  <si>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</si>
  <si>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</si>
  <si>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</si>
  <si>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</si>
  <si>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</si>
  <si>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</si>
  <si>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</si>
  <si>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</si>
  <si>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</si>
  <si>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</si>
  <si>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</si>
  <si>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</si>
  <si>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</si>
  <si>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</si>
  <si>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</si>
  <si>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</si>
  <si>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</si>
  <si>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</si>
  <si>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drop bar</t>
  </si>
  <si>
    <t>fork</t>
  </si>
  <si>
    <t>rigid</t>
  </si>
  <si>
    <t>Priority</t>
  </si>
  <si>
    <t>Approx. Inseam</t>
  </si>
  <si>
    <t>Approx. Height</t>
  </si>
  <si>
    <t>(E) Head Tube Length</t>
  </si>
  <si>
    <t>(F) Wheelbase</t>
  </si>
  <si>
    <t>(G) Head Tube Angle</t>
  </si>
  <si>
    <t>https://www.prioritybicycles.com/products/gemini</t>
  </si>
  <si>
    <t>FRAME SIZE</t>
  </si>
  <si>
    <t>S</t>
  </si>
  <si>
    <t>M</t>
  </si>
  <si>
    <t>L</t>
  </si>
  <si>
    <t>XL</t>
  </si>
  <si>
    <t xml:space="preserve">28.5”– 30” </t>
  </si>
  <si>
    <t xml:space="preserve">30.5”– 32” </t>
  </si>
  <si>
    <t xml:space="preserve">32.5”– 33.5” </t>
  </si>
  <si>
    <t xml:space="preserve">33.5”- 35” </t>
  </si>
  <si>
    <t xml:space="preserve">5’2”– 5’7” </t>
  </si>
  <si>
    <t xml:space="preserve">5’6”– 5’10” </t>
  </si>
  <si>
    <t xml:space="preserve">5’10”– 6’1” </t>
  </si>
  <si>
    <t xml:space="preserve">6’0”– 6’4” </t>
  </si>
  <si>
    <t>(A) Standover</t>
  </si>
  <si>
    <t>(B) Seat Tube Length</t>
  </si>
  <si>
    <t>(b) Seat Tube Angle</t>
  </si>
  <si>
    <t>(C) Effective Top Tube</t>
  </si>
  <si>
    <t>(D) Chainstay Length</t>
  </si>
  <si>
    <t>(H) Stack</t>
  </si>
  <si>
    <t>(I) Reach</t>
  </si>
  <si>
    <t>(J) Fork A-C</t>
  </si>
  <si>
    <t>(K) Fork Offset</t>
  </si>
  <si>
    <t>(L) Crank</t>
  </si>
  <si>
    <t>seat_tube_angle</t>
  </si>
  <si>
    <t>standover</t>
  </si>
  <si>
    <t>stack</t>
  </si>
  <si>
    <t>reach</t>
  </si>
  <si>
    <t>a8:f32</t>
  </si>
  <si>
    <t>yes</t>
  </si>
  <si>
    <t>internal</t>
  </si>
  <si>
    <t>bike insights</t>
  </si>
  <si>
    <t>Gemini Smart.Shift Ti</t>
  </si>
  <si>
    <t>titanium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</si>
</sst>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5" x14ac:knownFonts="1">
    <font>
      <sz val="14"/>
      <color rgb="FF000000"/>
      <name val="Futura"/>
    </font>
    <font>
      <sz val="14"/>
      <color rgb="FF000000"/>
      <name val="Futura"/>
      <family val="2"/>
    </font>
    <font>
      <sz val="14"/>
      <color rgb="FF2E2E2E"/>
      <name val="Futura Medium"/>
    </font>
    <font>
      <sz val="14"/>
      <color rgb="FF2E2E2E"/>
      <name val="Futura Medium"/>
    </font>
    <font>
      <sz val="14"/>
      <color rgb="FF2E2E2E"/>
      <name val="Futura Medium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15" fontId="1" fillId="0" borderId="0" xfId="0" applyNumberFormat="1" applyFont="1"/>
    <xf numFmtId="0" fontId="2" fillId="0" borderId="0" xfId="0" applyFont="1"/>
    <xf numFmtId="0" fontId="3" fillId="0" borderId="0" xfId="0" applyFont="1"/>
    <xf numFmtId="0" fontId="4" fillId="0" borderId="0" xfId="0" applyFon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2"/>
  <sheetViews>
    <sheetView tabSelected="1" workbookViewId="0">
      <selection activeCell="B71" sqref="B71"/>
    </sheetView>
  </sheetViews>
  <sheetFormatPr baseColWidth="10" defaultRowHeight="20" x14ac:dyDescent="0.3"/>
  <cols>
    <col min="1" max="2" width="19.6640625" customWidth="1"/>
  </cols>
  <sheetData>
    <row r="1" spans="1:7" x14ac:dyDescent="0.3">
      <c r="A1" t="s">
        <v>0</v>
      </c>
      <c r="B1" s="1" t="s">
        <v>70</v>
      </c>
    </row>
    <row r="2" spans="1:7" x14ac:dyDescent="0.3">
      <c r="A2" t="s">
        <v>1</v>
      </c>
      <c r="B2" s="1" t="s">
        <v>108</v>
      </c>
    </row>
    <row r="3" spans="1:7" x14ac:dyDescent="0.3">
      <c r="A3" t="s">
        <v>2</v>
      </c>
      <c r="B3">
        <v>2025</v>
      </c>
    </row>
    <row r="4" spans="1:7" x14ac:dyDescent="0.3">
      <c r="A4" t="s">
        <v>3</v>
      </c>
      <c r="B4" s="2">
        <v>45923</v>
      </c>
    </row>
    <row r="5" spans="1:7" x14ac:dyDescent="0.3">
      <c r="A5" t="s">
        <v>4</v>
      </c>
      <c r="B5" t="s">
        <v>76</v>
      </c>
    </row>
    <row r="7" spans="1:7" x14ac:dyDescent="0.3">
      <c r="A7" t="s">
        <v>5</v>
      </c>
      <c r="B7" s="1" t="s">
        <v>104</v>
      </c>
    </row>
    <row r="8" spans="1:7" x14ac:dyDescent="0.3">
      <c r="A8" t="s">
        <v>6</v>
      </c>
      <c r="B8" s="4" t="s">
        <v>77</v>
      </c>
      <c r="C8" s="5" t="s">
        <v>78</v>
      </c>
      <c r="D8" s="5" t="s">
        <v>79</v>
      </c>
      <c r="E8" s="5" t="s">
        <v>80</v>
      </c>
      <c r="F8" s="5" t="s">
        <v>81</v>
      </c>
    </row>
    <row r="9" spans="1:7" x14ac:dyDescent="0.3">
      <c r="A9" s="1" t="s">
        <v>101</v>
      </c>
      <c r="B9" s="4" t="s">
        <v>90</v>
      </c>
      <c r="C9" s="5">
        <v>27.5</v>
      </c>
      <c r="D9" s="5">
        <v>29.5</v>
      </c>
      <c r="E9" s="5">
        <v>31.5</v>
      </c>
      <c r="F9" s="5">
        <v>32.5</v>
      </c>
    </row>
    <row r="10" spans="1:7" x14ac:dyDescent="0.3">
      <c r="A10" t="s">
        <v>8</v>
      </c>
      <c r="B10" s="4" t="s">
        <v>91</v>
      </c>
      <c r="C10" s="5">
        <v>430</v>
      </c>
      <c r="D10" s="5">
        <v>480</v>
      </c>
      <c r="E10" s="5">
        <v>510</v>
      </c>
      <c r="F10" s="5">
        <v>540</v>
      </c>
    </row>
    <row r="11" spans="1:7" x14ac:dyDescent="0.3">
      <c r="A11" s="1" t="s">
        <v>100</v>
      </c>
      <c r="B11" s="4" t="s">
        <v>92</v>
      </c>
      <c r="C11" s="5">
        <v>72.5</v>
      </c>
      <c r="D11" s="5">
        <v>73.5</v>
      </c>
      <c r="E11" s="5">
        <v>73.5</v>
      </c>
      <c r="F11" s="5">
        <v>73.5</v>
      </c>
    </row>
    <row r="12" spans="1:7" x14ac:dyDescent="0.3">
      <c r="A12" t="s">
        <v>7</v>
      </c>
      <c r="B12" s="4" t="s">
        <v>93</v>
      </c>
      <c r="C12" s="5">
        <v>535</v>
      </c>
      <c r="D12" s="5">
        <v>550</v>
      </c>
      <c r="E12" s="5">
        <v>572</v>
      </c>
      <c r="F12" s="5">
        <v>586</v>
      </c>
    </row>
    <row r="13" spans="1:7" x14ac:dyDescent="0.3">
      <c r="A13" t="s">
        <v>9</v>
      </c>
      <c r="B13" t="s">
        <v>94</v>
      </c>
      <c r="C13">
        <v>437</v>
      </c>
      <c r="D13">
        <v>437</v>
      </c>
      <c r="E13">
        <v>437</v>
      </c>
      <c r="F13">
        <v>437</v>
      </c>
    </row>
    <row r="14" spans="1:7" x14ac:dyDescent="0.3">
      <c r="A14" t="s">
        <v>13</v>
      </c>
      <c r="B14" s="3" t="s">
        <v>73</v>
      </c>
      <c r="C14" s="3">
        <v>115</v>
      </c>
      <c r="D14" s="3">
        <v>145</v>
      </c>
      <c r="E14" s="3">
        <v>175</v>
      </c>
      <c r="F14" s="3">
        <v>200</v>
      </c>
    </row>
    <row r="15" spans="1:7" x14ac:dyDescent="0.3">
      <c r="A15" t="s">
        <v>11</v>
      </c>
      <c r="B15" t="s">
        <v>74</v>
      </c>
      <c r="C15">
        <v>1027</v>
      </c>
      <c r="D15">
        <v>1045</v>
      </c>
      <c r="E15">
        <v>1069</v>
      </c>
      <c r="F15">
        <v>1085</v>
      </c>
    </row>
    <row r="16" spans="1:7" x14ac:dyDescent="0.3">
      <c r="A16" t="s">
        <v>14</v>
      </c>
      <c r="B16" t="s">
        <v>75</v>
      </c>
      <c r="C16">
        <v>70</v>
      </c>
      <c r="D16">
        <v>70</v>
      </c>
      <c r="E16">
        <v>70</v>
      </c>
      <c r="F16">
        <v>70</v>
      </c>
      <c r="G16" s="1"/>
    </row>
    <row r="17" spans="1:7" x14ac:dyDescent="0.3">
      <c r="A17" s="1" t="s">
        <v>102</v>
      </c>
      <c r="B17" t="s">
        <v>95</v>
      </c>
      <c r="C17">
        <v>531</v>
      </c>
      <c r="D17">
        <v>571</v>
      </c>
      <c r="E17">
        <v>600</v>
      </c>
      <c r="F17">
        <v>623</v>
      </c>
    </row>
    <row r="18" spans="1:7" x14ac:dyDescent="0.3">
      <c r="A18" s="1" t="s">
        <v>103</v>
      </c>
      <c r="B18" t="s">
        <v>96</v>
      </c>
      <c r="C18">
        <v>366</v>
      </c>
      <c r="D18">
        <v>379</v>
      </c>
      <c r="E18">
        <v>393</v>
      </c>
      <c r="F18">
        <v>400</v>
      </c>
    </row>
    <row r="19" spans="1:7" x14ac:dyDescent="0.3">
      <c r="A19" t="s">
        <v>18</v>
      </c>
      <c r="B19" t="s">
        <v>97</v>
      </c>
      <c r="C19">
        <v>400</v>
      </c>
      <c r="D19">
        <v>400</v>
      </c>
      <c r="E19">
        <v>400</v>
      </c>
      <c r="F19">
        <v>400</v>
      </c>
    </row>
    <row r="20" spans="1:7" x14ac:dyDescent="0.3">
      <c r="A20" t="s">
        <v>15</v>
      </c>
      <c r="B20" t="s">
        <v>98</v>
      </c>
      <c r="C20">
        <v>48</v>
      </c>
      <c r="D20">
        <v>48</v>
      </c>
      <c r="E20">
        <v>48</v>
      </c>
      <c r="F20">
        <v>48</v>
      </c>
    </row>
    <row r="21" spans="1:7" x14ac:dyDescent="0.3">
      <c r="A21" t="s">
        <v>19</v>
      </c>
      <c r="B21" t="s">
        <v>99</v>
      </c>
      <c r="C21">
        <v>170</v>
      </c>
      <c r="D21">
        <v>170</v>
      </c>
      <c r="E21">
        <v>170</v>
      </c>
      <c r="F21">
        <v>170</v>
      </c>
    </row>
    <row r="22" spans="1:7" x14ac:dyDescent="0.3">
      <c r="A22" t="s">
        <v>12</v>
      </c>
      <c r="C22">
        <v>80</v>
      </c>
      <c r="D22">
        <v>80</v>
      </c>
      <c r="E22">
        <v>80</v>
      </c>
      <c r="F22">
        <v>80</v>
      </c>
      <c r="G22" s="1" t="s">
        <v>107</v>
      </c>
    </row>
    <row r="23" spans="1:7" x14ac:dyDescent="0.3">
      <c r="A23" t="s">
        <v>10</v>
      </c>
    </row>
    <row r="24" spans="1:7" x14ac:dyDescent="0.3">
      <c r="A24" t="s">
        <v>16</v>
      </c>
    </row>
    <row r="25" spans="1:7" x14ac:dyDescent="0.3">
      <c r="A25" t="s">
        <v>17</v>
      </c>
    </row>
    <row r="26" spans="1:7" x14ac:dyDescent="0.3">
      <c r="A26" t="s">
        <v>20</v>
      </c>
    </row>
    <row r="27" spans="1:7" x14ac:dyDescent="0.3">
      <c r="A27" t="s">
        <v>21</v>
      </c>
      <c r="C27">
        <v>90</v>
      </c>
      <c r="D27">
        <v>90</v>
      </c>
      <c r="E27">
        <v>90</v>
      </c>
      <c r="F27">
        <v>90</v>
      </c>
    </row>
    <row r="28" spans="1:7" x14ac:dyDescent="0.3">
      <c r="A28" t="s">
        <v>22</v>
      </c>
      <c r="C28">
        <v>700</v>
      </c>
      <c r="D28">
        <v>700</v>
      </c>
      <c r="E28">
        <v>700</v>
      </c>
      <c r="F28">
        <v>700</v>
      </c>
    </row>
    <row r="29" spans="1:7" x14ac:dyDescent="0.3">
      <c r="A29" t="s">
        <v>23</v>
      </c>
      <c r="C29">
        <v>40</v>
      </c>
      <c r="D29">
        <v>40</v>
      </c>
      <c r="E29">
        <v>40</v>
      </c>
      <c r="F29">
        <v>40</v>
      </c>
    </row>
    <row r="30" spans="1:7" x14ac:dyDescent="0.3">
      <c r="A30" t="s">
        <v>24</v>
      </c>
      <c r="C30">
        <v>50</v>
      </c>
      <c r="D30">
        <v>50</v>
      </c>
      <c r="E30">
        <v>50</v>
      </c>
      <c r="F30">
        <v>50</v>
      </c>
    </row>
    <row r="31" spans="1:7" x14ac:dyDescent="0.3">
      <c r="A31" t="s">
        <v>25</v>
      </c>
      <c r="C31" s="6">
        <f>C33*2.54</f>
        <v>157.47999999999999</v>
      </c>
      <c r="D31" s="6">
        <f t="shared" ref="D31:F32" si="0">D33*2.54</f>
        <v>167.64000000000001</v>
      </c>
      <c r="E31" s="6">
        <f t="shared" si="0"/>
        <v>177.8</v>
      </c>
      <c r="F31" s="6">
        <f t="shared" si="0"/>
        <v>182.88</v>
      </c>
    </row>
    <row r="32" spans="1:7" x14ac:dyDescent="0.3">
      <c r="A32" t="s">
        <v>26</v>
      </c>
      <c r="C32" s="6">
        <f>C34*2.54</f>
        <v>170.18</v>
      </c>
      <c r="D32" s="6">
        <f t="shared" si="0"/>
        <v>177.8</v>
      </c>
      <c r="E32" s="6">
        <f t="shared" si="0"/>
        <v>185.42000000000002</v>
      </c>
      <c r="F32" s="6">
        <f t="shared" si="0"/>
        <v>193.04</v>
      </c>
    </row>
    <row r="33" spans="1:7" x14ac:dyDescent="0.3">
      <c r="C33">
        <v>62</v>
      </c>
      <c r="D33">
        <v>66</v>
      </c>
      <c r="E33">
        <v>70</v>
      </c>
      <c r="F33">
        <v>72</v>
      </c>
    </row>
    <row r="34" spans="1:7" x14ac:dyDescent="0.3">
      <c r="A34" t="s">
        <v>27</v>
      </c>
      <c r="B34" t="s">
        <v>28</v>
      </c>
      <c r="C34">
        <v>67</v>
      </c>
      <c r="D34">
        <v>70</v>
      </c>
      <c r="E34">
        <v>73</v>
      </c>
      <c r="F34">
        <v>76</v>
      </c>
    </row>
    <row r="35" spans="1:7" x14ac:dyDescent="0.3">
      <c r="A35" t="s">
        <v>64</v>
      </c>
      <c r="B35" t="s">
        <v>65</v>
      </c>
      <c r="C35" s="5" t="s">
        <v>82</v>
      </c>
      <c r="D35" s="5" t="s">
        <v>83</v>
      </c>
      <c r="E35" s="5" t="s">
        <v>84</v>
      </c>
      <c r="F35" s="5" t="s">
        <v>85</v>
      </c>
      <c r="G35" s="4" t="s">
        <v>71</v>
      </c>
    </row>
    <row r="36" spans="1:7" x14ac:dyDescent="0.3">
      <c r="A36" t="s">
        <v>66</v>
      </c>
      <c r="B36" t="s">
        <v>67</v>
      </c>
      <c r="C36" s="5" t="s">
        <v>86</v>
      </c>
      <c r="D36" s="5" t="s">
        <v>87</v>
      </c>
      <c r="E36" s="5" t="s">
        <v>88</v>
      </c>
      <c r="F36" s="5" t="s">
        <v>89</v>
      </c>
      <c r="G36" s="4" t="s">
        <v>72</v>
      </c>
    </row>
    <row r="37" spans="1:7" x14ac:dyDescent="0.3">
      <c r="A37" t="s">
        <v>68</v>
      </c>
      <c r="B37" s="1" t="s">
        <v>69</v>
      </c>
    </row>
    <row r="38" spans="1:7" x14ac:dyDescent="0.3">
      <c r="A38" t="s">
        <v>29</v>
      </c>
      <c r="B38" s="1" t="s">
        <v>109</v>
      </c>
    </row>
    <row r="39" spans="1:7" x14ac:dyDescent="0.3">
      <c r="A39" t="s">
        <v>30</v>
      </c>
    </row>
    <row r="40" spans="1:7" x14ac:dyDescent="0.3">
      <c r="A40" t="s">
        <v>31</v>
      </c>
    </row>
    <row r="41" spans="1:7" x14ac:dyDescent="0.3">
      <c r="A41" t="s">
        <v>32</v>
      </c>
      <c r="B41">
        <v>50</v>
      </c>
    </row>
    <row r="42" spans="1:7" x14ac:dyDescent="0.3">
      <c r="A42" t="s">
        <v>33</v>
      </c>
    </row>
    <row r="43" spans="1:7" x14ac:dyDescent="0.3">
      <c r="A43" t="s">
        <v>34</v>
      </c>
    </row>
    <row r="44" spans="1:7" x14ac:dyDescent="0.3">
      <c r="A44" t="s">
        <v>35</v>
      </c>
    </row>
    <row r="45" spans="1:7" x14ac:dyDescent="0.3">
      <c r="A45" t="s">
        <v>36</v>
      </c>
    </row>
    <row r="46" spans="1:7" x14ac:dyDescent="0.3">
      <c r="A46" t="s">
        <v>37</v>
      </c>
    </row>
    <row r="47" spans="1:7" x14ac:dyDescent="0.3">
      <c r="A47" t="s">
        <v>38</v>
      </c>
      <c r="B47">
        <v>142</v>
      </c>
    </row>
    <row r="48" spans="1:7" x14ac:dyDescent="0.3">
      <c r="A48" t="s">
        <v>39</v>
      </c>
      <c r="B48">
        <v>100</v>
      </c>
    </row>
    <row r="49" spans="1:2" x14ac:dyDescent="0.3">
      <c r="A49" t="s">
        <v>40</v>
      </c>
      <c r="B49" s="1"/>
    </row>
    <row r="50" spans="1:2" x14ac:dyDescent="0.3">
      <c r="A50" t="s">
        <v>41</v>
      </c>
    </row>
    <row r="51" spans="1:2" x14ac:dyDescent="0.3">
      <c r="A51" t="s">
        <v>42</v>
      </c>
      <c r="B51">
        <v>31.6</v>
      </c>
    </row>
    <row r="52" spans="1:2" x14ac:dyDescent="0.3">
      <c r="A52" t="s">
        <v>43</v>
      </c>
    </row>
    <row r="53" spans="1:2" x14ac:dyDescent="0.3">
      <c r="A53" t="s">
        <v>44</v>
      </c>
    </row>
    <row r="54" spans="1:2" x14ac:dyDescent="0.3">
      <c r="A54" t="s">
        <v>45</v>
      </c>
    </row>
    <row r="55" spans="1:2" x14ac:dyDescent="0.3">
      <c r="A55" t="s">
        <v>46</v>
      </c>
    </row>
    <row r="56" spans="1:2" x14ac:dyDescent="0.3">
      <c r="A56" t="s">
        <v>47</v>
      </c>
    </row>
    <row r="57" spans="1:2" x14ac:dyDescent="0.3">
      <c r="A57" t="s">
        <v>48</v>
      </c>
    </row>
    <row r="58" spans="1:2" x14ac:dyDescent="0.3">
      <c r="A58" t="s">
        <v>49</v>
      </c>
    </row>
    <row r="59" spans="1:2" x14ac:dyDescent="0.3">
      <c r="A59" t="s">
        <v>50</v>
      </c>
      <c r="B59" s="1" t="s">
        <v>106</v>
      </c>
    </row>
    <row r="60" spans="1:2" x14ac:dyDescent="0.3">
      <c r="A60" t="s">
        <v>51</v>
      </c>
    </row>
    <row r="61" spans="1:2" x14ac:dyDescent="0.3">
      <c r="A61" t="s">
        <v>52</v>
      </c>
    </row>
    <row r="62" spans="1:2" x14ac:dyDescent="0.3">
      <c r="A62" t="s">
        <v>53</v>
      </c>
    </row>
    <row r="63" spans="1:2" x14ac:dyDescent="0.3">
      <c r="A63" t="s">
        <v>54</v>
      </c>
    </row>
    <row r="64" spans="1:2" x14ac:dyDescent="0.3">
      <c r="A64" t="s">
        <v>55</v>
      </c>
    </row>
    <row r="65" spans="1:2" x14ac:dyDescent="0.3">
      <c r="A65" t="s">
        <v>56</v>
      </c>
    </row>
    <row r="66" spans="1:2" x14ac:dyDescent="0.3">
      <c r="A66" t="s">
        <v>57</v>
      </c>
      <c r="B66" s="1" t="s">
        <v>105</v>
      </c>
    </row>
    <row r="67" spans="1:2" x14ac:dyDescent="0.3">
      <c r="A67" t="s">
        <v>58</v>
      </c>
      <c r="B67" s="1" t="s">
        <v>105</v>
      </c>
    </row>
    <row r="68" spans="1:2" x14ac:dyDescent="0.3">
      <c r="A68" t="s">
        <v>59</v>
      </c>
      <c r="B68" s="1" t="s">
        <v>105</v>
      </c>
    </row>
    <row r="69" spans="1:2" x14ac:dyDescent="0.3">
      <c r="A69" t="s">
        <v>60</v>
      </c>
    </row>
    <row r="70" spans="1:2" x14ac:dyDescent="0.3">
      <c r="A70" t="s">
        <v>61</v>
      </c>
      <c r="B70">
        <v>5499</v>
      </c>
    </row>
    <row r="71" spans="1:2" x14ac:dyDescent="0.3">
      <c r="A71" t="s">
        <v>62</v>
      </c>
    </row>
    <row r="72" spans="1:2" x14ac:dyDescent="0.3">
      <c r="A72" t="s">
        <v>63</v>
      </c>
      <c r="B72" s="1"/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2025-07-26T16:23:50Z</dcterms:created>
  <dcterms:modified xsi:type="dcterms:W3CDTF">2025-09-23T12:59:12Z</dcterms:modified>
</cp:coreProperties>
</file>