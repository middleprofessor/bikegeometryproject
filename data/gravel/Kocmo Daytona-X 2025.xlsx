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6A6DE60-5076-0240-9425-E43436607B12}" xr6:coauthVersionLast="47" xr6:coauthVersionMax="47" xr10:uidLastSave="{00000000-0000-0000-0000-000000000000}"/>
  <bookViews>
    <workbookView xWindow="10540" yWindow="500" windowWidth="2842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D40" i="1"/>
  <c r="E40" i="1"/>
  <c r="F40" i="1"/>
  <c r="G40" i="1"/>
  <c r="H40" i="1"/>
  <c r="I40" i="1"/>
  <c r="D41" i="1"/>
  <c r="E41" i="1"/>
  <c r="F41" i="1"/>
  <c r="G41" i="1"/>
  <c r="H41" i="1"/>
  <c r="I41" i="1"/>
  <c r="C41" i="1"/>
</calcChain>
</file>

<file path=xl/sharedStrings.xml><?xml version="1.0" encoding="utf-8"?>
<sst xmlns="http://schemas.openxmlformats.org/spreadsheetml/2006/main" count="153" uniqueCount="145">
  <si>
    <t>brand</t>
  </si>
  <si>
    <t>model</t>
  </si>
  <si>
    <t>model_year</t>
  </si>
  <si>
    <t>2025</t>
  </si>
  <si>
    <t>input_date</t>
  </si>
  <si>
    <t>url</t>
  </si>
  <si>
    <t>data_range</t>
  </si>
  <si>
    <t>frame_size</t>
  </si>
  <si>
    <t>stack</t>
  </si>
  <si>
    <t>reach</t>
  </si>
  <si>
    <t>top_tube_effective_length</t>
  </si>
  <si>
    <t>front_center</t>
  </si>
  <si>
    <t>head_tube_angle</t>
  </si>
  <si>
    <t>seat_tube_angle</t>
  </si>
  <si>
    <t>chainstay_length</t>
  </si>
  <si>
    <t>bottom_bracket_drop</t>
  </si>
  <si>
    <t>axle_crown</t>
  </si>
  <si>
    <t>fork_offset_rake</t>
  </si>
  <si>
    <t>head_tube_length</t>
  </si>
  <si>
    <t>seat_tube_length</t>
  </si>
  <si>
    <t>standover</t>
  </si>
  <si>
    <t>wheelbase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</si>
  <si>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</si>
  <si>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</si>
  <si>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</si>
  <si>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</si>
  <si>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</si>
  <si>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</si>
  <si>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</si>
  <si>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</si>
  <si>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</si>
  <si>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</si>
  <si>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</si>
  <si>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</si>
  <si>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</si>
  <si>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</si>
  <si>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</si>
  <si>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</si>
  <si>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</si>
  <si>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</si>
  <si>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</si>
  <si>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</si>
  <si>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</si>
  <si>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</si>
  <si>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</si>
  <si>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</si>
  <si>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</si>
  <si>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</si>
  <si>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</si>
  <si>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</si>
  <si>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</si>
  <si>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</si>
  <si>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</si>
  <si>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</si>
  <si>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</si>
  <si>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</si>
  <si>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</si>
  <si>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</si>
  <si>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</si>
  <si>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</si>
  <si>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</si>
  <si>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</si>
  <si>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</si>
  <si>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</si>
  <si>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</si>
  <si>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</si>
  <si>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</si>
  <si>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frame_weight</t>
  </si>
  <si>
    <t>class</t>
  </si>
  <si>
    <t>handlebar</t>
  </si>
  <si>
    <t>fork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</si>
  <si>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</si>
  <si>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</si>
  <si>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</si>
  <si>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</si>
  <si>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</si>
  <si>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</si>
  <si>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</si>
  <si>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drop bar</t>
  </si>
  <si>
    <t>Kocmo</t>
  </si>
  <si>
    <t>Daytona-X</t>
  </si>
  <si>
    <t>153-162</t>
  </si>
  <si>
    <t>157-168</t>
  </si>
  <si>
    <t>163-172</t>
  </si>
  <si>
    <t>170-180</t>
  </si>
  <si>
    <t>175-185</t>
  </si>
  <si>
    <t>180-190</t>
  </si>
  <si>
    <t>188-208</t>
  </si>
  <si>
    <t>XXS-48</t>
  </si>
  <si>
    <t>XS-50</t>
  </si>
  <si>
    <t>S-52</t>
  </si>
  <si>
    <t>M-54</t>
  </si>
  <si>
    <t>M/L-56</t>
  </si>
  <si>
    <t>L-58</t>
  </si>
  <si>
    <t>50 / 400</t>
  </si>
  <si>
    <t>https://www.kocmo.de/produkt/daytona-x/</t>
  </si>
  <si>
    <t>https://www.kocmo.de/wp-content/uploads/2018/11/2022-K-DAYTONA-X-7-7.png</t>
  </si>
  <si>
    <t xml:space="preserve">Body Size </t>
  </si>
  <si>
    <t xml:space="preserve">Frame Size </t>
  </si>
  <si>
    <t>Seat tube Diameter</t>
  </si>
  <si>
    <t>Length CTT Mm</t>
  </si>
  <si>
    <t>Length CTC Mm</t>
  </si>
  <si>
    <t>Angle ° °</t>
  </si>
  <si>
    <t>Top Tube Diameter</t>
  </si>
  <si>
    <t>Length horizontal Mm</t>
  </si>
  <si>
    <t>Head Tube Diameter</t>
  </si>
  <si>
    <t>Length Mm</t>
  </si>
  <si>
    <t>Down Tube Diameter</t>
  </si>
  <si>
    <t>Seat Stay Diameter</t>
  </si>
  <si>
    <t>Chain Stay Diameter</t>
  </si>
  <si>
    <t>Seat Post Diameter</t>
  </si>
  <si>
    <t>Bottom Bracket BB-Center to Front</t>
  </si>
  <si>
    <t>Bottom Bracket Drop Mm</t>
  </si>
  <si>
    <t>Stand Over High Mm</t>
  </si>
  <si>
    <t>Wheel Base Mm</t>
  </si>
  <si>
    <t>Slooping ° °</t>
  </si>
  <si>
    <t>Reach Mm</t>
  </si>
  <si>
    <t>Stack Mm</t>
  </si>
  <si>
    <t>Wide Mm</t>
  </si>
  <si>
    <t>seat_tube_cc</t>
  </si>
  <si>
    <t>top_tube_diameter</t>
  </si>
  <si>
    <t>seat_tube_diameter</t>
  </si>
  <si>
    <t>heat_tube_diameter</t>
  </si>
  <si>
    <t>down_tube_diameter</t>
  </si>
  <si>
    <t>seat_stay_diameter</t>
  </si>
  <si>
    <t>chain_stay_diameter</t>
  </si>
  <si>
    <t>seat_post_diameter</t>
  </si>
  <si>
    <t>Frame Fork Rake</t>
  </si>
  <si>
    <t>Frame Fork Length</t>
  </si>
  <si>
    <t>top_tube_slope</t>
  </si>
  <si>
    <t>EUR</t>
  </si>
  <si>
    <t>IS42/28.6</t>
  </si>
  <si>
    <t>IS52/40</t>
  </si>
  <si>
    <t>1 1/8" - 1 1/2"</t>
  </si>
  <si>
    <t>threaded 68</t>
  </si>
  <si>
    <t>yes</t>
  </si>
  <si>
    <t>XL-60</t>
  </si>
  <si>
    <t>Stahnsdorf, Germany</t>
  </si>
  <si>
    <t>internal</t>
  </si>
  <si>
    <t>rigid</t>
  </si>
  <si>
    <t>titanium</t>
  </si>
  <si>
    <t>carbon</t>
  </si>
  <si>
    <t>gravel</t>
  </si>
  <si>
    <t>rear_axle_width</t>
  </si>
  <si>
    <t>a8:i41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</si>
</sst>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282828"/>
      <name val="Futura Medium"/>
    </font>
    <font>
      <sz val="14"/>
      <name val="Futura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tabSelected="1" workbookViewId="0">
      <selection activeCell="A11" sqref="A11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79</v>
      </c>
    </row>
    <row r="2" spans="1:9" x14ac:dyDescent="0.3">
      <c r="A2" t="s">
        <v>1</v>
      </c>
      <c r="B2" s="1" t="s">
        <v>80</v>
      </c>
    </row>
    <row r="3" spans="1:9" x14ac:dyDescent="0.3">
      <c r="A3" t="s">
        <v>2</v>
      </c>
      <c r="B3" t="s">
        <v>3</v>
      </c>
    </row>
    <row r="4" spans="1:9" x14ac:dyDescent="0.3">
      <c r="A4" t="s">
        <v>4</v>
      </c>
      <c r="B4" s="2">
        <v>45970</v>
      </c>
    </row>
    <row r="5" spans="1:9" x14ac:dyDescent="0.3">
      <c r="A5" t="s">
        <v>5</v>
      </c>
      <c r="B5" s="5" t="s">
        <v>95</v>
      </c>
    </row>
    <row r="6" spans="1:9" x14ac:dyDescent="0.3">
      <c r="B6" s="2" t="s">
        <v>96</v>
      </c>
    </row>
    <row r="7" spans="1:9" x14ac:dyDescent="0.3">
      <c r="A7" t="s">
        <v>6</v>
      </c>
      <c r="B7" s="1" t="s">
        <v>144</v>
      </c>
    </row>
    <row r="8" spans="1:9" x14ac:dyDescent="0.3">
      <c r="A8" t="s">
        <v>7</v>
      </c>
      <c r="B8" t="s">
        <v>98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s="1" t="s">
        <v>136</v>
      </c>
    </row>
    <row r="9" spans="1:9" x14ac:dyDescent="0.3">
      <c r="A9" s="1" t="s">
        <v>121</v>
      </c>
      <c r="B9" t="s">
        <v>99</v>
      </c>
      <c r="C9">
        <v>32</v>
      </c>
      <c r="D9">
        <v>32</v>
      </c>
      <c r="E9" s="1">
        <v>32</v>
      </c>
      <c r="F9">
        <v>32</v>
      </c>
      <c r="G9">
        <v>32</v>
      </c>
      <c r="H9">
        <v>32</v>
      </c>
      <c r="I9">
        <v>32</v>
      </c>
    </row>
    <row r="10" spans="1:9" x14ac:dyDescent="0.3">
      <c r="A10" t="s">
        <v>19</v>
      </c>
      <c r="B10" t="s">
        <v>100</v>
      </c>
      <c r="C10">
        <v>480</v>
      </c>
      <c r="D10">
        <v>500</v>
      </c>
      <c r="E10">
        <v>520</v>
      </c>
      <c r="F10">
        <v>540</v>
      </c>
      <c r="G10">
        <v>560</v>
      </c>
      <c r="H10">
        <v>580</v>
      </c>
      <c r="I10">
        <v>600</v>
      </c>
    </row>
    <row r="11" spans="1:9" x14ac:dyDescent="0.3">
      <c r="A11" s="1" t="s">
        <v>119</v>
      </c>
      <c r="B11" t="s">
        <v>101</v>
      </c>
      <c r="C11">
        <v>431</v>
      </c>
      <c r="D11">
        <v>451</v>
      </c>
      <c r="E11">
        <v>471</v>
      </c>
      <c r="F11">
        <v>491</v>
      </c>
      <c r="G11">
        <v>511</v>
      </c>
      <c r="H11">
        <v>531</v>
      </c>
      <c r="I11">
        <v>551</v>
      </c>
    </row>
    <row r="12" spans="1:9" x14ac:dyDescent="0.3">
      <c r="A12" t="s">
        <v>13</v>
      </c>
      <c r="B12" t="s">
        <v>102</v>
      </c>
      <c r="C12">
        <v>75</v>
      </c>
      <c r="D12">
        <v>75</v>
      </c>
      <c r="E12">
        <v>74</v>
      </c>
      <c r="F12">
        <v>73.5</v>
      </c>
      <c r="G12">
        <v>73.5</v>
      </c>
      <c r="H12">
        <v>73.5</v>
      </c>
      <c r="I12">
        <v>73.5</v>
      </c>
    </row>
    <row r="13" spans="1:9" x14ac:dyDescent="0.3">
      <c r="A13" s="1" t="s">
        <v>120</v>
      </c>
      <c r="B13" t="s">
        <v>103</v>
      </c>
      <c r="C13">
        <v>32</v>
      </c>
      <c r="D13">
        <v>32</v>
      </c>
      <c r="E13">
        <v>32</v>
      </c>
      <c r="F13">
        <v>32</v>
      </c>
      <c r="G13">
        <v>32</v>
      </c>
      <c r="H13">
        <v>32</v>
      </c>
      <c r="I13">
        <v>32</v>
      </c>
    </row>
    <row r="14" spans="1:9" x14ac:dyDescent="0.3">
      <c r="A14" t="s">
        <v>10</v>
      </c>
      <c r="B14" t="s">
        <v>104</v>
      </c>
      <c r="C14">
        <v>519</v>
      </c>
      <c r="D14">
        <v>525</v>
      </c>
      <c r="E14">
        <v>539</v>
      </c>
      <c r="F14">
        <v>551</v>
      </c>
      <c r="G14">
        <v>570</v>
      </c>
      <c r="H14">
        <v>582</v>
      </c>
      <c r="I14">
        <v>588</v>
      </c>
    </row>
    <row r="15" spans="1:9" x14ac:dyDescent="0.3">
      <c r="A15" s="1" t="s">
        <v>122</v>
      </c>
      <c r="B15" t="s">
        <v>105</v>
      </c>
    </row>
    <row r="16" spans="1:9" x14ac:dyDescent="0.3">
      <c r="A16" t="s">
        <v>12</v>
      </c>
      <c r="B16" t="s">
        <v>102</v>
      </c>
      <c r="C16">
        <v>70.8</v>
      </c>
      <c r="D16">
        <v>71.5</v>
      </c>
      <c r="E16">
        <v>71.5</v>
      </c>
      <c r="F16">
        <v>72</v>
      </c>
      <c r="G16">
        <v>72</v>
      </c>
      <c r="H16">
        <v>72.3</v>
      </c>
      <c r="I16">
        <v>72.3</v>
      </c>
    </row>
    <row r="17" spans="1:16" x14ac:dyDescent="0.3">
      <c r="A17" t="s">
        <v>18</v>
      </c>
      <c r="B17" t="s">
        <v>106</v>
      </c>
      <c r="C17">
        <v>110</v>
      </c>
      <c r="D17">
        <v>120</v>
      </c>
      <c r="E17">
        <v>135</v>
      </c>
      <c r="F17">
        <v>150</v>
      </c>
      <c r="G17">
        <v>165</v>
      </c>
      <c r="H17">
        <v>185</v>
      </c>
      <c r="I17">
        <v>205</v>
      </c>
    </row>
    <row r="18" spans="1:16" x14ac:dyDescent="0.3">
      <c r="A18" s="1" t="s">
        <v>123</v>
      </c>
      <c r="B18" s="1" t="s">
        <v>107</v>
      </c>
      <c r="C18">
        <v>44</v>
      </c>
      <c r="D18">
        <v>44</v>
      </c>
      <c r="E18" s="1">
        <v>44</v>
      </c>
      <c r="F18">
        <v>44</v>
      </c>
      <c r="G18">
        <v>44</v>
      </c>
      <c r="H18">
        <v>44</v>
      </c>
      <c r="I18">
        <v>44</v>
      </c>
    </row>
    <row r="19" spans="1:16" x14ac:dyDescent="0.3">
      <c r="A19" s="1" t="s">
        <v>124</v>
      </c>
      <c r="B19" s="1" t="s">
        <v>108</v>
      </c>
      <c r="C19">
        <v>16</v>
      </c>
      <c r="D19">
        <v>16</v>
      </c>
      <c r="E19" s="1">
        <v>16</v>
      </c>
      <c r="F19">
        <v>16</v>
      </c>
      <c r="G19">
        <v>16</v>
      </c>
      <c r="H19">
        <v>16</v>
      </c>
      <c r="I19">
        <v>16</v>
      </c>
    </row>
    <row r="20" spans="1:16" x14ac:dyDescent="0.3">
      <c r="A20" s="1" t="s">
        <v>125</v>
      </c>
      <c r="B20" t="s">
        <v>109</v>
      </c>
      <c r="E20" s="1"/>
    </row>
    <row r="21" spans="1:16" x14ac:dyDescent="0.3">
      <c r="A21" t="s">
        <v>14</v>
      </c>
      <c r="B21" t="s">
        <v>106</v>
      </c>
      <c r="C21">
        <v>435</v>
      </c>
      <c r="D21">
        <v>435</v>
      </c>
      <c r="E21">
        <v>435</v>
      </c>
      <c r="F21">
        <v>435</v>
      </c>
      <c r="G21">
        <v>435</v>
      </c>
      <c r="H21">
        <v>435</v>
      </c>
      <c r="I21">
        <v>435</v>
      </c>
    </row>
    <row r="22" spans="1:16" x14ac:dyDescent="0.3">
      <c r="A22" s="1" t="s">
        <v>126</v>
      </c>
      <c r="B22" t="s">
        <v>110</v>
      </c>
      <c r="C22">
        <v>27.2</v>
      </c>
      <c r="D22">
        <v>27.2</v>
      </c>
      <c r="E22">
        <v>27.2</v>
      </c>
      <c r="F22">
        <v>27.2</v>
      </c>
      <c r="G22">
        <v>27.2</v>
      </c>
      <c r="H22">
        <v>27.2</v>
      </c>
      <c r="I22">
        <v>27.2</v>
      </c>
    </row>
    <row r="23" spans="1:16" x14ac:dyDescent="0.3">
      <c r="A23" s="1" t="s">
        <v>11</v>
      </c>
      <c r="B23" s="1" t="s">
        <v>111</v>
      </c>
      <c r="C23">
        <v>582</v>
      </c>
      <c r="D23">
        <v>587</v>
      </c>
      <c r="E23">
        <v>598</v>
      </c>
      <c r="F23">
        <v>597</v>
      </c>
      <c r="G23">
        <v>620</v>
      </c>
      <c r="H23">
        <v>630</v>
      </c>
      <c r="I23">
        <v>636</v>
      </c>
    </row>
    <row r="24" spans="1:16" x14ac:dyDescent="0.3">
      <c r="A24" t="s">
        <v>15</v>
      </c>
      <c r="B24" t="s">
        <v>112</v>
      </c>
      <c r="C24">
        <v>70</v>
      </c>
      <c r="D24">
        <v>70</v>
      </c>
      <c r="E24">
        <v>70</v>
      </c>
      <c r="F24">
        <v>70</v>
      </c>
      <c r="G24">
        <v>68</v>
      </c>
      <c r="H24">
        <v>65</v>
      </c>
      <c r="I24">
        <v>65</v>
      </c>
    </row>
    <row r="25" spans="1:16" x14ac:dyDescent="0.3">
      <c r="A25" t="s">
        <v>17</v>
      </c>
      <c r="B25" s="1" t="s">
        <v>127</v>
      </c>
      <c r="C25">
        <v>50</v>
      </c>
      <c r="D25">
        <v>50</v>
      </c>
      <c r="E25">
        <v>50</v>
      </c>
      <c r="F25">
        <v>50</v>
      </c>
      <c r="G25">
        <v>50</v>
      </c>
      <c r="H25">
        <v>50</v>
      </c>
      <c r="I25">
        <v>50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  <c r="O25" t="s">
        <v>94</v>
      </c>
      <c r="P25" t="s">
        <v>94</v>
      </c>
    </row>
    <row r="26" spans="1:16" x14ac:dyDescent="0.3">
      <c r="A26" t="s">
        <v>16</v>
      </c>
      <c r="B26" s="1" t="s">
        <v>128</v>
      </c>
      <c r="C26">
        <v>400</v>
      </c>
      <c r="D26">
        <v>400</v>
      </c>
      <c r="E26">
        <v>400</v>
      </c>
      <c r="F26">
        <v>400</v>
      </c>
      <c r="G26">
        <v>400</v>
      </c>
      <c r="H26">
        <v>400</v>
      </c>
      <c r="I26">
        <v>400</v>
      </c>
    </row>
    <row r="27" spans="1:16" x14ac:dyDescent="0.3">
      <c r="A27" t="s">
        <v>20</v>
      </c>
      <c r="B27" t="s">
        <v>113</v>
      </c>
      <c r="C27">
        <v>763</v>
      </c>
      <c r="D27">
        <v>779</v>
      </c>
      <c r="E27">
        <v>791.8</v>
      </c>
      <c r="F27">
        <v>808</v>
      </c>
      <c r="G27">
        <v>825</v>
      </c>
      <c r="H27">
        <v>852</v>
      </c>
      <c r="I27">
        <v>871</v>
      </c>
    </row>
    <row r="28" spans="1:16" x14ac:dyDescent="0.3">
      <c r="A28" t="s">
        <v>21</v>
      </c>
      <c r="B28" t="s">
        <v>114</v>
      </c>
      <c r="C28">
        <v>1008</v>
      </c>
      <c r="D28">
        <v>1008.4</v>
      </c>
      <c r="E28">
        <v>1013</v>
      </c>
      <c r="F28">
        <v>1013</v>
      </c>
      <c r="G28">
        <v>1036</v>
      </c>
      <c r="H28">
        <v>1046</v>
      </c>
      <c r="I28">
        <v>1053</v>
      </c>
    </row>
    <row r="29" spans="1:16" x14ac:dyDescent="0.3">
      <c r="A29" s="1" t="s">
        <v>129</v>
      </c>
      <c r="B29" t="s">
        <v>115</v>
      </c>
      <c r="C29">
        <v>11</v>
      </c>
      <c r="D29">
        <v>9.8000000000000007</v>
      </c>
      <c r="E29">
        <v>9.1</v>
      </c>
      <c r="F29">
        <v>8.1</v>
      </c>
      <c r="G29">
        <v>7.6</v>
      </c>
      <c r="H29">
        <v>7.2</v>
      </c>
      <c r="I29">
        <v>7.2</v>
      </c>
    </row>
    <row r="30" spans="1:16" x14ac:dyDescent="0.3">
      <c r="A30" t="s">
        <v>9</v>
      </c>
      <c r="B30" t="s">
        <v>116</v>
      </c>
      <c r="C30">
        <v>373</v>
      </c>
      <c r="D30">
        <v>376.7</v>
      </c>
      <c r="E30">
        <v>376.8</v>
      </c>
      <c r="F30">
        <v>380</v>
      </c>
      <c r="G30">
        <v>395</v>
      </c>
      <c r="H30">
        <v>401.4</v>
      </c>
      <c r="I30">
        <v>402</v>
      </c>
    </row>
    <row r="31" spans="1:16" x14ac:dyDescent="0.3">
      <c r="A31" t="s">
        <v>8</v>
      </c>
      <c r="B31" t="s">
        <v>117</v>
      </c>
      <c r="C31">
        <v>535</v>
      </c>
      <c r="D31">
        <v>547.29999999999995</v>
      </c>
      <c r="E31">
        <v>561.5</v>
      </c>
      <c r="F31">
        <v>572.6</v>
      </c>
      <c r="G31">
        <v>589</v>
      </c>
      <c r="H31">
        <v>607</v>
      </c>
      <c r="I31">
        <v>626.20000000000005</v>
      </c>
    </row>
    <row r="32" spans="1:16" x14ac:dyDescent="0.3">
      <c r="A32" s="1" t="s">
        <v>143</v>
      </c>
      <c r="B32" t="s">
        <v>118</v>
      </c>
      <c r="C32">
        <v>142</v>
      </c>
      <c r="D32">
        <v>142</v>
      </c>
      <c r="E32">
        <v>142</v>
      </c>
      <c r="F32">
        <v>142</v>
      </c>
      <c r="G32">
        <v>142</v>
      </c>
      <c r="H32">
        <v>142</v>
      </c>
      <c r="I32">
        <v>142</v>
      </c>
    </row>
    <row r="33" spans="1:10" x14ac:dyDescent="0.3">
      <c r="A33" s="1" t="s">
        <v>67</v>
      </c>
    </row>
    <row r="34" spans="1:10" x14ac:dyDescent="0.3">
      <c r="A34" t="s">
        <v>22</v>
      </c>
    </row>
    <row r="35" spans="1:10" x14ac:dyDescent="0.3">
      <c r="A35" t="s">
        <v>23</v>
      </c>
    </row>
    <row r="36" spans="1:10" x14ac:dyDescent="0.3">
      <c r="A36" t="s">
        <v>24</v>
      </c>
    </row>
    <row r="37" spans="1:10" x14ac:dyDescent="0.3">
      <c r="A37" t="s">
        <v>25</v>
      </c>
      <c r="C37">
        <v>700</v>
      </c>
      <c r="D37">
        <v>700</v>
      </c>
      <c r="E37">
        <v>700</v>
      </c>
      <c r="F37">
        <v>700</v>
      </c>
      <c r="G37">
        <v>700</v>
      </c>
      <c r="H37">
        <v>700</v>
      </c>
      <c r="I37">
        <v>700</v>
      </c>
    </row>
    <row r="38" spans="1:10" x14ac:dyDescent="0.3">
      <c r="A38" t="s">
        <v>26</v>
      </c>
      <c r="C38">
        <v>40</v>
      </c>
      <c r="D38">
        <v>40</v>
      </c>
      <c r="E38">
        <v>40</v>
      </c>
      <c r="F38">
        <v>40</v>
      </c>
      <c r="G38">
        <v>40</v>
      </c>
      <c r="H38">
        <v>40</v>
      </c>
      <c r="I38">
        <v>40</v>
      </c>
    </row>
    <row r="39" spans="1:10" x14ac:dyDescent="0.3">
      <c r="A39" t="s">
        <v>27</v>
      </c>
      <c r="C39">
        <v>45</v>
      </c>
      <c r="D39">
        <v>45</v>
      </c>
      <c r="E39">
        <v>45</v>
      </c>
      <c r="F39">
        <v>45</v>
      </c>
      <c r="G39">
        <v>45</v>
      </c>
      <c r="H39">
        <v>45</v>
      </c>
      <c r="I39">
        <v>45</v>
      </c>
    </row>
    <row r="40" spans="1:10" x14ac:dyDescent="0.3">
      <c r="A40" t="s">
        <v>28</v>
      </c>
      <c r="C40">
        <f t="shared" ref="C40:I40" si="0">VALUE(LEFT(C42,3))</f>
        <v>153</v>
      </c>
      <c r="D40">
        <f t="shared" si="0"/>
        <v>157</v>
      </c>
      <c r="E40">
        <f t="shared" si="0"/>
        <v>163</v>
      </c>
      <c r="F40">
        <f t="shared" si="0"/>
        <v>170</v>
      </c>
      <c r="G40">
        <f t="shared" si="0"/>
        <v>175</v>
      </c>
      <c r="H40">
        <f t="shared" si="0"/>
        <v>180</v>
      </c>
      <c r="I40">
        <f t="shared" si="0"/>
        <v>188</v>
      </c>
    </row>
    <row r="41" spans="1:10" x14ac:dyDescent="0.3">
      <c r="A41" t="s">
        <v>29</v>
      </c>
      <c r="C41" s="6">
        <f>VALUE(RIGHT(C42,3))</f>
        <v>162</v>
      </c>
      <c r="D41">
        <f t="shared" ref="D41:I41" si="1">VALUE(RIGHT(D42,3))</f>
        <v>168</v>
      </c>
      <c r="E41">
        <f t="shared" si="1"/>
        <v>172</v>
      </c>
      <c r="F41">
        <f t="shared" si="1"/>
        <v>180</v>
      </c>
      <c r="G41">
        <f t="shared" si="1"/>
        <v>185</v>
      </c>
      <c r="H41">
        <f t="shared" si="1"/>
        <v>190</v>
      </c>
      <c r="I41">
        <f t="shared" si="1"/>
        <v>208</v>
      </c>
    </row>
    <row r="42" spans="1:10" x14ac:dyDescent="0.3">
      <c r="C42" t="s">
        <v>81</v>
      </c>
      <c r="D42" t="s">
        <v>82</v>
      </c>
      <c r="E42" t="s">
        <v>83</v>
      </c>
      <c r="F42" t="s">
        <v>84</v>
      </c>
      <c r="G42" t="s">
        <v>85</v>
      </c>
      <c r="H42" t="s">
        <v>86</v>
      </c>
      <c r="I42" t="s">
        <v>87</v>
      </c>
      <c r="J42" s="1" t="s">
        <v>97</v>
      </c>
    </row>
    <row r="43" spans="1:10" x14ac:dyDescent="0.3">
      <c r="A43" t="s">
        <v>30</v>
      </c>
      <c r="B43" t="s">
        <v>31</v>
      </c>
    </row>
    <row r="44" spans="1:10" x14ac:dyDescent="0.3">
      <c r="A44" t="s">
        <v>68</v>
      </c>
      <c r="B44" s="1" t="s">
        <v>142</v>
      </c>
    </row>
    <row r="45" spans="1:10" x14ac:dyDescent="0.3">
      <c r="A45" t="s">
        <v>69</v>
      </c>
      <c r="B45" s="1" t="s">
        <v>78</v>
      </c>
    </row>
    <row r="46" spans="1:10" x14ac:dyDescent="0.3">
      <c r="A46" t="s">
        <v>70</v>
      </c>
      <c r="B46" s="1" t="s">
        <v>139</v>
      </c>
    </row>
    <row r="47" spans="1:10" x14ac:dyDescent="0.3">
      <c r="A47" t="s">
        <v>32</v>
      </c>
      <c r="B47" s="1" t="s">
        <v>140</v>
      </c>
    </row>
    <row r="48" spans="1:10" x14ac:dyDescent="0.3">
      <c r="A48" t="s">
        <v>33</v>
      </c>
      <c r="B48" s="1"/>
    </row>
    <row r="49" spans="1:3" x14ac:dyDescent="0.3">
      <c r="A49" t="s">
        <v>34</v>
      </c>
    </row>
    <row r="50" spans="1:3" x14ac:dyDescent="0.3">
      <c r="A50" t="s">
        <v>35</v>
      </c>
      <c r="B50">
        <v>45</v>
      </c>
    </row>
    <row r="51" spans="1:3" x14ac:dyDescent="0.3">
      <c r="A51" t="s">
        <v>36</v>
      </c>
      <c r="B51">
        <v>47</v>
      </c>
      <c r="C51" s="1"/>
    </row>
    <row r="52" spans="1:3" x14ac:dyDescent="0.3">
      <c r="A52" t="s">
        <v>37</v>
      </c>
    </row>
    <row r="53" spans="1:3" x14ac:dyDescent="0.3">
      <c r="A53" t="s">
        <v>38</v>
      </c>
    </row>
    <row r="54" spans="1:3" x14ac:dyDescent="0.3">
      <c r="A54" t="s">
        <v>39</v>
      </c>
    </row>
    <row r="55" spans="1:3" x14ac:dyDescent="0.3">
      <c r="A55" t="s">
        <v>40</v>
      </c>
    </row>
    <row r="56" spans="1:3" x14ac:dyDescent="0.3">
      <c r="A56" t="s">
        <v>41</v>
      </c>
      <c r="B56">
        <v>142</v>
      </c>
    </row>
    <row r="57" spans="1:3" x14ac:dyDescent="0.3">
      <c r="A57" t="s">
        <v>42</v>
      </c>
      <c r="B57">
        <v>100</v>
      </c>
    </row>
    <row r="58" spans="1:3" x14ac:dyDescent="0.3">
      <c r="A58" t="s">
        <v>72</v>
      </c>
      <c r="B58" s="1" t="s">
        <v>133</v>
      </c>
    </row>
    <row r="59" spans="1:3" x14ac:dyDescent="0.3">
      <c r="A59" t="s">
        <v>73</v>
      </c>
      <c r="B59" s="3" t="s">
        <v>131</v>
      </c>
    </row>
    <row r="60" spans="1:3" x14ac:dyDescent="0.3">
      <c r="A60" t="s">
        <v>74</v>
      </c>
      <c r="B60" s="3" t="s">
        <v>132</v>
      </c>
    </row>
    <row r="61" spans="1:3" x14ac:dyDescent="0.3">
      <c r="A61" t="s">
        <v>75</v>
      </c>
      <c r="B61" s="3"/>
    </row>
    <row r="62" spans="1:3" x14ac:dyDescent="0.3">
      <c r="A62" t="s">
        <v>76</v>
      </c>
      <c r="B62" s="4"/>
    </row>
    <row r="63" spans="1:3" x14ac:dyDescent="0.3">
      <c r="A63" t="s">
        <v>77</v>
      </c>
      <c r="B63" s="3" t="s">
        <v>141</v>
      </c>
    </row>
    <row r="64" spans="1:3" x14ac:dyDescent="0.3">
      <c r="A64" t="s">
        <v>43</v>
      </c>
      <c r="B64" s="3" t="s">
        <v>134</v>
      </c>
    </row>
    <row r="65" spans="1:2" x14ac:dyDescent="0.3">
      <c r="A65" t="s">
        <v>44</v>
      </c>
    </row>
    <row r="66" spans="1:2" x14ac:dyDescent="0.3">
      <c r="A66" t="s">
        <v>45</v>
      </c>
      <c r="B66">
        <v>27.2</v>
      </c>
    </row>
    <row r="67" spans="1:2" x14ac:dyDescent="0.3">
      <c r="A67" t="s">
        <v>46</v>
      </c>
      <c r="B67" s="1" t="s">
        <v>135</v>
      </c>
    </row>
    <row r="68" spans="1:2" x14ac:dyDescent="0.3">
      <c r="A68" t="s">
        <v>47</v>
      </c>
      <c r="B68">
        <v>44</v>
      </c>
    </row>
    <row r="69" spans="1:2" x14ac:dyDescent="0.3">
      <c r="A69" t="s">
        <v>48</v>
      </c>
      <c r="B69">
        <v>48</v>
      </c>
    </row>
    <row r="70" spans="1:2" x14ac:dyDescent="0.3">
      <c r="A70" t="s">
        <v>49</v>
      </c>
    </row>
    <row r="71" spans="1:2" x14ac:dyDescent="0.3">
      <c r="A71" t="s">
        <v>50</v>
      </c>
    </row>
    <row r="72" spans="1:2" x14ac:dyDescent="0.3">
      <c r="A72" t="s">
        <v>51</v>
      </c>
    </row>
    <row r="73" spans="1:2" x14ac:dyDescent="0.3">
      <c r="A73" t="s">
        <v>52</v>
      </c>
      <c r="B73" s="1" t="s">
        <v>138</v>
      </c>
    </row>
    <row r="74" spans="1:2" x14ac:dyDescent="0.3">
      <c r="A74" t="s">
        <v>53</v>
      </c>
      <c r="B74" s="1"/>
    </row>
    <row r="75" spans="1:2" x14ac:dyDescent="0.3">
      <c r="A75" t="s">
        <v>54</v>
      </c>
      <c r="B75" s="1"/>
    </row>
    <row r="76" spans="1:2" x14ac:dyDescent="0.3">
      <c r="A76" t="s">
        <v>55</v>
      </c>
    </row>
    <row r="77" spans="1:2" x14ac:dyDescent="0.3">
      <c r="A77" t="s">
        <v>56</v>
      </c>
      <c r="B77">
        <v>2</v>
      </c>
    </row>
    <row r="78" spans="1:2" x14ac:dyDescent="0.3">
      <c r="A78" t="s">
        <v>57</v>
      </c>
      <c r="B78">
        <v>1</v>
      </c>
    </row>
    <row r="79" spans="1:2" x14ac:dyDescent="0.3">
      <c r="A79" t="s">
        <v>58</v>
      </c>
      <c r="B79" s="1">
        <v>1</v>
      </c>
    </row>
    <row r="80" spans="1:2" x14ac:dyDescent="0.3">
      <c r="A80" t="s">
        <v>59</v>
      </c>
      <c r="B80" s="1">
        <v>3</v>
      </c>
    </row>
    <row r="81" spans="1:2" x14ac:dyDescent="0.3">
      <c r="A81" t="s">
        <v>60</v>
      </c>
      <c r="B81" s="1"/>
    </row>
    <row r="82" spans="1:2" x14ac:dyDescent="0.3">
      <c r="A82" t="s">
        <v>61</v>
      </c>
      <c r="B82" s="1"/>
    </row>
    <row r="83" spans="1:2" x14ac:dyDescent="0.3">
      <c r="A83" t="s">
        <v>62</v>
      </c>
      <c r="B83" s="1"/>
    </row>
    <row r="84" spans="1:2" x14ac:dyDescent="0.3">
      <c r="A84" t="s">
        <v>63</v>
      </c>
      <c r="B84">
        <v>2100</v>
      </c>
    </row>
    <row r="85" spans="1:2" x14ac:dyDescent="0.3">
      <c r="A85" t="s">
        <v>64</v>
      </c>
      <c r="B85">
        <v>4040</v>
      </c>
    </row>
    <row r="86" spans="1:2" x14ac:dyDescent="0.3">
      <c r="A86" t="s">
        <v>65</v>
      </c>
    </row>
    <row r="87" spans="1:2" x14ac:dyDescent="0.3">
      <c r="A87" t="s">
        <v>66</v>
      </c>
      <c r="B87" s="1" t="s">
        <v>130</v>
      </c>
    </row>
    <row r="88" spans="1:2" x14ac:dyDescent="0.3">
      <c r="A88" t="s">
        <v>71</v>
      </c>
      <c r="B88" s="1" t="s">
        <v>137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2025-11-09T22:54:46Z</dcterms:modified>
</cp:coreProperties>
</file>