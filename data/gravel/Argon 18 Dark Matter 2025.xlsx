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CC893F3-0A85-1C4D-95AC-F23EDEC30B8A}" xr6:coauthVersionLast="47" xr6:coauthVersionMax="47" xr10:uidLastSave="{00000000-0000-0000-0000-000000000000}"/>
  <bookViews>
    <workbookView xWindow="30480" yWindow="-28300" windowWidth="33620" windowHeight="20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C11" i="1"/>
  <c r="C10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9" i="1"/>
  <c r="L29" i="1"/>
  <c r="M29" i="1"/>
  <c r="N29" i="1"/>
  <c r="O29" i="1"/>
  <c r="P29" i="1"/>
  <c r="L30" i="1"/>
  <c r="M30" i="1"/>
  <c r="N30" i="1"/>
  <c r="O30" i="1"/>
  <c r="P30" i="1"/>
  <c r="L31" i="1"/>
  <c r="M31" i="1"/>
  <c r="N31" i="1"/>
  <c r="O31" i="1"/>
  <c r="P31" i="1"/>
  <c r="K31" i="1"/>
  <c r="K30" i="1"/>
  <c r="K29" i="1"/>
</calcChain>
</file>

<file path=xl/sharedStrings.xml><?xml version="1.0" encoding="utf-8"?>
<sst xmlns="http://schemas.openxmlformats.org/spreadsheetml/2006/main" count="181" uniqueCount="164">
  <si>
    <t>brand</t>
  </si>
  <si>
    <t>Argon 18</t>
  </si>
  <si>
    <t>model</t>
  </si>
  <si>
    <t>Dark Matter</t>
  </si>
  <si>
    <t>model year</t>
  </si>
  <si>
    <t>2025</t>
  </si>
  <si>
    <t>input date</t>
  </si>
  <si>
    <t>URL</t>
  </si>
  <si>
    <t>https://www.argon18.com/en-us/bikes/gravel/dark-matter/sram-force-xplr-axs</t>
  </si>
  <si>
    <t>13-Jul-2025</t>
  </si>
  <si>
    <t>data_range</t>
  </si>
  <si>
    <t>a8:h35</t>
  </si>
  <si>
    <t>frame_size</t>
  </si>
  <si>
    <t>frame size</t>
  </si>
  <si>
    <t>XXS44-46</t>
  </si>
  <si>
    <t>XS47-50</t>
  </si>
  <si>
    <t>S51-53</t>
  </si>
  <si>
    <t>M54-56</t>
  </si>
  <si>
    <t>L57-59</t>
  </si>
  <si>
    <t>XL60-62</t>
  </si>
  <si>
    <t>seat_tube_length</t>
  </si>
  <si>
    <t>Seat tube Height</t>
  </si>
  <si>
    <t>seat_tube_angle</t>
  </si>
  <si>
    <t>Seat tube angle</t>
  </si>
  <si>
    <t>head_tube_angle</t>
  </si>
  <si>
    <t>Head Tube Angle</t>
  </si>
  <si>
    <t>top_tube_effective_length</t>
  </si>
  <si>
    <t>Top tube length</t>
  </si>
  <si>
    <t>chainstay_length</t>
  </si>
  <si>
    <t>Chain stay length</t>
  </si>
  <si>
    <t>wheelbase</t>
  </si>
  <si>
    <t>Wheelbase</t>
  </si>
  <si>
    <t>bottom_bracket_drop</t>
  </si>
  <si>
    <t>BB Drop</t>
  </si>
  <si>
    <t>head_tube_length</t>
  </si>
  <si>
    <t>Head Tube Length 3D (0mm)</t>
  </si>
  <si>
    <t>head_tube_length_max</t>
  </si>
  <si>
    <t>Head Tube Length 3D (35mm)</t>
  </si>
  <si>
    <t>standover</t>
  </si>
  <si>
    <t>Stand Over Height</t>
  </si>
  <si>
    <t>axle_crown</t>
  </si>
  <si>
    <t>Fork Length (Axle-to-crown)</t>
  </si>
  <si>
    <t>fork_offset_rake</t>
  </si>
  <si>
    <t>Fork Rake</t>
  </si>
  <si>
    <t>trail</t>
  </si>
  <si>
    <t>Trail</t>
  </si>
  <si>
    <t>stack</t>
  </si>
  <si>
    <t>Stack min</t>
  </si>
  <si>
    <t>stack_max</t>
  </si>
  <si>
    <t>Stack max with 3D (35mm)</t>
  </si>
  <si>
    <t>reach</t>
  </si>
  <si>
    <t>Reach</t>
  </si>
  <si>
    <t>reach_max</t>
  </si>
  <si>
    <t>Reach 3D (35mm)</t>
  </si>
  <si>
    <t>min_saddle_height</t>
  </si>
  <si>
    <t>Saddle Height Min</t>
  </si>
  <si>
    <t>max_saddle_height</t>
  </si>
  <si>
    <t>Saddle Height Max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</si>
  <si>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</si>
  <si>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</si>
  <si>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</si>
  <si>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</si>
  <si>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</si>
  <si>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</si>
  <si>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</si>
  <si>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</si>
  <si>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</si>
  <si>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</si>
  <si>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</si>
  <si>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</si>
  <si>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</si>
  <si>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</si>
  <si>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</si>
  <si>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</si>
  <si>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</si>
  <si>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57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</si>
  <si>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</si>
  <si>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</si>
  <si>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</si>
  <si>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</si>
  <si>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</si>
  <si>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</si>
  <si>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</si>
  <si>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</si>
  <si>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</si>
  <si>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</si>
  <si>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</si>
  <si>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</si>
  <si>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</si>
  <si>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</si>
  <si>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</si>
  <si>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</si>
  <si>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</si>
  <si>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</si>
  <si>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</si>
  <si>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</si>
  <si>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48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</si>
  <si>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</si>
  <si>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</si>
  <si>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</si>
  <si>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</si>
  <si>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</si>
  <si>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</si>
  <si>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</si>
  <si>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</si>
  <si>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</si>
  <si>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3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</si>
  <si>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</si>
  <si>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</si>
  <si>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</si>
  <si>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</si>
  <si>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</si>
  <si>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</si>
  <si>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</si>
  <si>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</si>
  <si>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</si>
  <si>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3650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</si>
  <si>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</si>
  <si>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</si>
  <si>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</si>
  <si>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</si>
  <si>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</si>
  <si>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</si>
  <si>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</si>
  <si>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</si>
  <si>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https://storage.googleapis.com/argon18craft/products/2025/Dark-Matter/DM.M.373B.2E.1_side-root-beer.png</t>
  </si>
  <si>
    <t>USD</t>
  </si>
  <si>
    <t>location</t>
  </si>
  <si>
    <t>Montreal, Quebec, Canada</t>
  </si>
  <si>
    <t>head_tube_d</t>
  </si>
  <si>
    <t>headset_upper</t>
  </si>
  <si>
    <t>headset_lower</t>
  </si>
  <si>
    <t>fork_steerer</t>
  </si>
  <si>
    <t>fork_steerer_d</t>
  </si>
  <si>
    <t>fork_material</t>
  </si>
  <si>
    <t>Measure</t>
  </si>
  <si>
    <t>XXS</t>
  </si>
  <si>
    <t>XS</t>
  </si>
  <si>
    <t>S</t>
  </si>
  <si>
    <t>M</t>
  </si>
  <si>
    <t>L</t>
  </si>
  <si>
    <t>XL</t>
  </si>
  <si>
    <t>seat_tube_height_cm</t>
  </si>
  <si>
    <t>seat_tube_angle_deg</t>
  </si>
  <si>
    <t>head_tube_angle_deg</t>
  </si>
  <si>
    <t>top_tube_length_cm</t>
  </si>
  <si>
    <t>chainstay_length_cm</t>
  </si>
  <si>
    <t>wheelbase_cm</t>
  </si>
  <si>
    <t>bb_drop_cm</t>
  </si>
  <si>
    <t>stand_over_height_cm</t>
  </si>
  <si>
    <t>saddle_height_min_cm</t>
  </si>
  <si>
    <t>saddle_height_max_cm</t>
  </si>
  <si>
    <t>headtube_length_3d0_cm</t>
  </si>
  <si>
    <t>headtube_length_3d35_cm</t>
  </si>
  <si>
    <t>fork_length_axle_to_crown_cm</t>
  </si>
  <si>
    <t>fork_rake_cm</t>
  </si>
  <si>
    <t>trail_cm</t>
  </si>
  <si>
    <t>stack_min_cm</t>
  </si>
  <si>
    <t>stack_max_3d35_cm</t>
  </si>
  <si>
    <t>reach_cm</t>
  </si>
  <si>
    <t>reach_3d35_cm</t>
  </si>
  <si>
    <t>layback</t>
  </si>
  <si>
    <t>ett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</si>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</sst>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2"/>
  <sheetViews>
    <sheetView tabSelected="1" workbookViewId="0">
      <selection activeCell="A31" sqref="A31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t="s">
        <v>3</v>
      </c>
    </row>
    <row r="3" spans="1:16" x14ac:dyDescent="0.3">
      <c r="A3" t="s">
        <v>4</v>
      </c>
      <c r="B3" t="s">
        <v>5</v>
      </c>
    </row>
    <row r="4" spans="1:16" x14ac:dyDescent="0.3">
      <c r="A4" t="s">
        <v>6</v>
      </c>
      <c r="B4" t="s">
        <v>9</v>
      </c>
    </row>
    <row r="5" spans="1:16" x14ac:dyDescent="0.3">
      <c r="A5" t="s">
        <v>7</v>
      </c>
      <c r="B5" t="s">
        <v>8</v>
      </c>
    </row>
    <row r="6" spans="1:16" x14ac:dyDescent="0.3">
      <c r="B6" t="s">
        <v>125</v>
      </c>
    </row>
    <row r="7" spans="1:16" x14ac:dyDescent="0.3">
      <c r="A7" t="s">
        <v>10</v>
      </c>
      <c r="B7" t="s">
        <v>11</v>
      </c>
      <c r="J7" t="s">
        <v>8</v>
      </c>
    </row>
    <row r="8" spans="1:16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  <c r="J8" t="s">
        <v>135</v>
      </c>
      <c r="K8" t="s">
        <v>136</v>
      </c>
      <c r="L8" t="s">
        <v>137</v>
      </c>
      <c r="M8" t="s">
        <v>138</v>
      </c>
      <c r="N8" t="s">
        <v>139</v>
      </c>
      <c r="O8" t="s">
        <v>140</v>
      </c>
      <c r="P8" t="s">
        <v>141</v>
      </c>
    </row>
    <row r="9" spans="1:16" x14ac:dyDescent="0.3">
      <c r="A9" t="s">
        <v>20</v>
      </c>
      <c r="B9" t="s">
        <v>21</v>
      </c>
      <c r="C9">
        <f>K9*10</f>
        <v>420</v>
      </c>
      <c r="D9">
        <f t="shared" ref="D9:H9" si="0">L9*10</f>
        <v>435</v>
      </c>
      <c r="E9">
        <f t="shared" si="0"/>
        <v>460</v>
      </c>
      <c r="F9">
        <f t="shared" si="0"/>
        <v>495</v>
      </c>
      <c r="G9">
        <f t="shared" si="0"/>
        <v>540</v>
      </c>
      <c r="H9">
        <f t="shared" si="0"/>
        <v>585</v>
      </c>
      <c r="J9" t="s">
        <v>142</v>
      </c>
      <c r="K9">
        <v>42</v>
      </c>
      <c r="L9">
        <v>43.5</v>
      </c>
      <c r="M9">
        <v>46</v>
      </c>
      <c r="N9">
        <v>49.5</v>
      </c>
      <c r="O9">
        <v>54</v>
      </c>
      <c r="P9">
        <v>58.5</v>
      </c>
    </row>
    <row r="10" spans="1:16" x14ac:dyDescent="0.3">
      <c r="A10" t="s">
        <v>22</v>
      </c>
      <c r="B10" t="s">
        <v>23</v>
      </c>
      <c r="C10">
        <f>K10</f>
        <v>75.5</v>
      </c>
      <c r="D10">
        <f t="shared" ref="D10:H11" si="1">L10</f>
        <v>74.900000000000006</v>
      </c>
      <c r="E10">
        <f t="shared" si="1"/>
        <v>74.3</v>
      </c>
      <c r="F10">
        <f t="shared" si="1"/>
        <v>73.7</v>
      </c>
      <c r="G10">
        <f t="shared" si="1"/>
        <v>73.099999999999994</v>
      </c>
      <c r="H10">
        <f t="shared" si="1"/>
        <v>72.5</v>
      </c>
      <c r="J10" t="s">
        <v>143</v>
      </c>
      <c r="K10">
        <v>75.5</v>
      </c>
      <c r="L10">
        <v>74.900000000000006</v>
      </c>
      <c r="M10">
        <v>74.3</v>
      </c>
      <c r="N10">
        <v>73.7</v>
      </c>
      <c r="O10">
        <v>73.099999999999994</v>
      </c>
      <c r="P10">
        <v>72.5</v>
      </c>
    </row>
    <row r="11" spans="1:16" x14ac:dyDescent="0.3">
      <c r="A11" t="s">
        <v>24</v>
      </c>
      <c r="B11" t="s">
        <v>25</v>
      </c>
      <c r="C11">
        <f>K11</f>
        <v>68.5</v>
      </c>
      <c r="D11">
        <f t="shared" si="1"/>
        <v>70</v>
      </c>
      <c r="E11">
        <f t="shared" si="1"/>
        <v>70.5</v>
      </c>
      <c r="F11">
        <f t="shared" si="1"/>
        <v>71</v>
      </c>
      <c r="G11">
        <f t="shared" si="1"/>
        <v>71</v>
      </c>
      <c r="H11">
        <f t="shared" si="1"/>
        <v>71</v>
      </c>
      <c r="J11" t="s">
        <v>144</v>
      </c>
      <c r="K11">
        <v>68.5</v>
      </c>
      <c r="L11">
        <v>70</v>
      </c>
      <c r="M11">
        <v>70.5</v>
      </c>
      <c r="N11">
        <v>71</v>
      </c>
      <c r="O11">
        <v>71</v>
      </c>
      <c r="P11">
        <v>71</v>
      </c>
    </row>
    <row r="12" spans="1:16" x14ac:dyDescent="0.3">
      <c r="A12" t="s">
        <v>26</v>
      </c>
      <c r="B12" t="s">
        <v>27</v>
      </c>
      <c r="C12">
        <f t="shared" ref="C10:C27" si="2">K12*10</f>
        <v>507</v>
      </c>
      <c r="D12">
        <f t="shared" ref="D12:D27" si="3">L12*10</f>
        <v>530</v>
      </c>
      <c r="E12">
        <f t="shared" ref="E12:E27" si="4">M12*10</f>
        <v>553</v>
      </c>
      <c r="F12">
        <f t="shared" ref="F12:F27" si="5">N12*10</f>
        <v>577</v>
      </c>
      <c r="G12">
        <f t="shared" ref="G12:G27" si="6">O12*10</f>
        <v>602</v>
      </c>
      <c r="H12">
        <f t="shared" ref="H12:H27" si="7">P12*10</f>
        <v>629</v>
      </c>
      <c r="J12" t="s">
        <v>145</v>
      </c>
      <c r="K12">
        <v>50.7</v>
      </c>
      <c r="L12">
        <v>53</v>
      </c>
      <c r="M12">
        <v>55.3</v>
      </c>
      <c r="N12">
        <v>57.7</v>
      </c>
      <c r="O12">
        <v>60.2</v>
      </c>
      <c r="P12">
        <v>62.9</v>
      </c>
    </row>
    <row r="13" spans="1:16" x14ac:dyDescent="0.3">
      <c r="A13" t="s">
        <v>28</v>
      </c>
      <c r="B13" t="s">
        <v>29</v>
      </c>
      <c r="C13">
        <f t="shared" si="2"/>
        <v>436</v>
      </c>
      <c r="D13">
        <f t="shared" si="3"/>
        <v>436</v>
      </c>
      <c r="E13">
        <f t="shared" si="4"/>
        <v>436</v>
      </c>
      <c r="F13">
        <f t="shared" si="5"/>
        <v>436</v>
      </c>
      <c r="G13">
        <f t="shared" si="6"/>
        <v>436</v>
      </c>
      <c r="H13">
        <f t="shared" si="7"/>
        <v>436</v>
      </c>
      <c r="J13" t="s">
        <v>146</v>
      </c>
      <c r="K13">
        <v>43.6</v>
      </c>
      <c r="L13">
        <v>43.6</v>
      </c>
      <c r="M13">
        <v>43.6</v>
      </c>
      <c r="N13">
        <v>43.6</v>
      </c>
      <c r="O13">
        <v>43.6</v>
      </c>
      <c r="P13">
        <v>43.6</v>
      </c>
    </row>
    <row r="14" spans="1:16" x14ac:dyDescent="0.3">
      <c r="A14" t="s">
        <v>30</v>
      </c>
      <c r="B14" t="s">
        <v>31</v>
      </c>
      <c r="C14">
        <f t="shared" si="2"/>
        <v>1030</v>
      </c>
      <c r="D14">
        <f t="shared" si="3"/>
        <v>1036</v>
      </c>
      <c r="E14">
        <f t="shared" si="4"/>
        <v>1045</v>
      </c>
      <c r="F14">
        <f t="shared" si="5"/>
        <v>1059</v>
      </c>
      <c r="G14">
        <f t="shared" si="6"/>
        <v>1080</v>
      </c>
      <c r="H14">
        <f t="shared" si="7"/>
        <v>1101</v>
      </c>
      <c r="J14" t="s">
        <v>147</v>
      </c>
      <c r="K14">
        <v>103</v>
      </c>
      <c r="L14">
        <v>103.6</v>
      </c>
      <c r="M14">
        <v>104.5</v>
      </c>
      <c r="N14">
        <v>105.9</v>
      </c>
      <c r="O14">
        <v>108</v>
      </c>
      <c r="P14">
        <v>110.1</v>
      </c>
    </row>
    <row r="15" spans="1:16" x14ac:dyDescent="0.3">
      <c r="A15" t="s">
        <v>32</v>
      </c>
      <c r="B15" t="s">
        <v>33</v>
      </c>
      <c r="C15">
        <f t="shared" si="2"/>
        <v>80</v>
      </c>
      <c r="D15">
        <f t="shared" si="3"/>
        <v>80</v>
      </c>
      <c r="E15">
        <f t="shared" si="4"/>
        <v>78</v>
      </c>
      <c r="F15">
        <f t="shared" si="5"/>
        <v>78</v>
      </c>
      <c r="G15">
        <f t="shared" si="6"/>
        <v>76</v>
      </c>
      <c r="H15">
        <f t="shared" si="7"/>
        <v>76</v>
      </c>
      <c r="J15" t="s">
        <v>148</v>
      </c>
      <c r="K15">
        <v>8</v>
      </c>
      <c r="L15">
        <v>8</v>
      </c>
      <c r="M15">
        <v>7.8</v>
      </c>
      <c r="N15">
        <v>7.8</v>
      </c>
      <c r="O15">
        <v>7.6</v>
      </c>
      <c r="P15">
        <v>7.6</v>
      </c>
    </row>
    <row r="16" spans="1:16" x14ac:dyDescent="0.3">
      <c r="A16" t="s">
        <v>34</v>
      </c>
      <c r="B16" t="s">
        <v>35</v>
      </c>
      <c r="C16">
        <f t="shared" si="2"/>
        <v>72</v>
      </c>
      <c r="D16">
        <f t="shared" si="3"/>
        <v>87</v>
      </c>
      <c r="E16">
        <f t="shared" si="4"/>
        <v>106</v>
      </c>
      <c r="F16">
        <f t="shared" si="5"/>
        <v>126</v>
      </c>
      <c r="G16">
        <f t="shared" si="6"/>
        <v>151</v>
      </c>
      <c r="H16">
        <f t="shared" si="7"/>
        <v>178</v>
      </c>
      <c r="J16" t="s">
        <v>152</v>
      </c>
      <c r="K16">
        <v>7.2</v>
      </c>
      <c r="L16">
        <v>8.6999999999999993</v>
      </c>
      <c r="M16">
        <v>10.6</v>
      </c>
      <c r="N16">
        <v>12.6</v>
      </c>
      <c r="O16">
        <v>15.1</v>
      </c>
      <c r="P16">
        <v>17.8</v>
      </c>
    </row>
    <row r="17" spans="1:16" x14ac:dyDescent="0.3">
      <c r="A17" t="s">
        <v>36</v>
      </c>
      <c r="B17" t="s">
        <v>37</v>
      </c>
      <c r="C17">
        <f t="shared" si="2"/>
        <v>95</v>
      </c>
      <c r="D17">
        <f t="shared" si="3"/>
        <v>112</v>
      </c>
      <c r="E17">
        <f t="shared" si="4"/>
        <v>131</v>
      </c>
      <c r="F17">
        <f t="shared" si="5"/>
        <v>151</v>
      </c>
      <c r="G17">
        <f t="shared" si="6"/>
        <v>176</v>
      </c>
      <c r="H17">
        <f t="shared" si="7"/>
        <v>203</v>
      </c>
      <c r="J17" t="s">
        <v>153</v>
      </c>
      <c r="K17">
        <v>9.5</v>
      </c>
      <c r="L17">
        <v>11.2</v>
      </c>
      <c r="M17">
        <v>13.1</v>
      </c>
      <c r="N17">
        <v>15.1</v>
      </c>
      <c r="O17">
        <v>17.600000000000001</v>
      </c>
      <c r="P17">
        <v>20.3</v>
      </c>
    </row>
    <row r="18" spans="1:16" x14ac:dyDescent="0.3">
      <c r="A18" t="s">
        <v>38</v>
      </c>
      <c r="B18" t="s">
        <v>39</v>
      </c>
      <c r="C18">
        <f t="shared" si="2"/>
        <v>713</v>
      </c>
      <c r="D18">
        <f t="shared" si="3"/>
        <v>729</v>
      </c>
      <c r="E18">
        <f t="shared" si="4"/>
        <v>755</v>
      </c>
      <c r="F18">
        <f t="shared" si="5"/>
        <v>786</v>
      </c>
      <c r="G18">
        <f t="shared" si="6"/>
        <v>825</v>
      </c>
      <c r="H18">
        <f t="shared" si="7"/>
        <v>863</v>
      </c>
      <c r="J18" t="s">
        <v>149</v>
      </c>
      <c r="K18">
        <v>71.3</v>
      </c>
      <c r="L18">
        <v>72.900000000000006</v>
      </c>
      <c r="M18">
        <v>75.5</v>
      </c>
      <c r="N18">
        <v>78.599999999999994</v>
      </c>
      <c r="O18">
        <v>82.5</v>
      </c>
      <c r="P18">
        <v>86.3</v>
      </c>
    </row>
    <row r="19" spans="1:16" x14ac:dyDescent="0.3">
      <c r="A19" t="s">
        <v>40</v>
      </c>
      <c r="B19" t="s">
        <v>41</v>
      </c>
      <c r="C19">
        <f t="shared" si="2"/>
        <v>425</v>
      </c>
      <c r="D19">
        <f t="shared" si="3"/>
        <v>425</v>
      </c>
      <c r="E19">
        <f t="shared" si="4"/>
        <v>425</v>
      </c>
      <c r="F19">
        <f t="shared" si="5"/>
        <v>425</v>
      </c>
      <c r="G19">
        <f t="shared" si="6"/>
        <v>425</v>
      </c>
      <c r="H19">
        <f t="shared" si="7"/>
        <v>425</v>
      </c>
      <c r="J19" t="s">
        <v>154</v>
      </c>
      <c r="K19">
        <v>42.5</v>
      </c>
      <c r="L19">
        <v>42.5</v>
      </c>
      <c r="M19">
        <v>42.5</v>
      </c>
      <c r="N19">
        <v>42.5</v>
      </c>
      <c r="O19">
        <v>42.5</v>
      </c>
      <c r="P19">
        <v>42.5</v>
      </c>
    </row>
    <row r="20" spans="1:16" x14ac:dyDescent="0.3">
      <c r="A20" t="s">
        <v>42</v>
      </c>
      <c r="B20" t="s">
        <v>43</v>
      </c>
      <c r="C20">
        <f t="shared" si="2"/>
        <v>54</v>
      </c>
      <c r="D20">
        <f t="shared" si="3"/>
        <v>54</v>
      </c>
      <c r="E20">
        <f t="shared" si="4"/>
        <v>48</v>
      </c>
      <c r="F20">
        <f t="shared" si="5"/>
        <v>48</v>
      </c>
      <c r="G20">
        <f t="shared" si="6"/>
        <v>48</v>
      </c>
      <c r="H20">
        <f t="shared" si="7"/>
        <v>48</v>
      </c>
      <c r="J20" t="s">
        <v>155</v>
      </c>
      <c r="K20">
        <v>5.4</v>
      </c>
      <c r="L20">
        <v>5.4</v>
      </c>
      <c r="M20">
        <v>4.8</v>
      </c>
      <c r="N20">
        <v>4.8</v>
      </c>
      <c r="O20">
        <v>4.8</v>
      </c>
      <c r="P20">
        <v>4.8</v>
      </c>
    </row>
    <row r="21" spans="1:16" x14ac:dyDescent="0.3">
      <c r="A21" t="s">
        <v>44</v>
      </c>
      <c r="B21" t="s">
        <v>45</v>
      </c>
      <c r="C21">
        <f t="shared" si="2"/>
        <v>86</v>
      </c>
      <c r="D21">
        <f t="shared" si="3"/>
        <v>76</v>
      </c>
      <c r="E21">
        <f t="shared" si="4"/>
        <v>79</v>
      </c>
      <c r="F21">
        <f t="shared" si="5"/>
        <v>75</v>
      </c>
      <c r="G21">
        <f t="shared" si="6"/>
        <v>75</v>
      </c>
      <c r="H21">
        <f t="shared" si="7"/>
        <v>75</v>
      </c>
      <c r="J21" t="s">
        <v>156</v>
      </c>
      <c r="K21">
        <v>8.6</v>
      </c>
      <c r="L21">
        <v>7.6</v>
      </c>
      <c r="M21">
        <v>7.9</v>
      </c>
      <c r="N21">
        <v>7.5</v>
      </c>
      <c r="O21">
        <v>7.5</v>
      </c>
      <c r="P21">
        <v>7.5</v>
      </c>
    </row>
    <row r="22" spans="1:16" x14ac:dyDescent="0.3">
      <c r="A22" t="s">
        <v>46</v>
      </c>
      <c r="B22" t="s">
        <v>47</v>
      </c>
      <c r="C22">
        <f t="shared" si="2"/>
        <v>520</v>
      </c>
      <c r="D22">
        <f t="shared" si="3"/>
        <v>540</v>
      </c>
      <c r="E22">
        <f t="shared" si="4"/>
        <v>561</v>
      </c>
      <c r="F22">
        <f t="shared" si="5"/>
        <v>582</v>
      </c>
      <c r="G22">
        <f t="shared" si="6"/>
        <v>603</v>
      </c>
      <c r="H22">
        <f t="shared" si="7"/>
        <v>629</v>
      </c>
      <c r="J22" t="s">
        <v>157</v>
      </c>
      <c r="K22">
        <v>52</v>
      </c>
      <c r="L22">
        <v>54</v>
      </c>
      <c r="M22">
        <v>56.1</v>
      </c>
      <c r="N22">
        <v>58.2</v>
      </c>
      <c r="O22">
        <v>60.3</v>
      </c>
      <c r="P22">
        <v>62.9</v>
      </c>
    </row>
    <row r="23" spans="1:16" x14ac:dyDescent="0.3">
      <c r="A23" t="s">
        <v>48</v>
      </c>
      <c r="B23" t="s">
        <v>49</v>
      </c>
      <c r="C23">
        <f t="shared" si="2"/>
        <v>543</v>
      </c>
      <c r="D23">
        <f t="shared" si="3"/>
        <v>564</v>
      </c>
      <c r="E23">
        <f t="shared" si="4"/>
        <v>585</v>
      </c>
      <c r="F23">
        <f t="shared" si="5"/>
        <v>606</v>
      </c>
      <c r="G23">
        <f t="shared" si="6"/>
        <v>627</v>
      </c>
      <c r="H23">
        <f t="shared" si="7"/>
        <v>653</v>
      </c>
      <c r="J23" t="s">
        <v>158</v>
      </c>
      <c r="K23">
        <v>54.3</v>
      </c>
      <c r="L23">
        <v>56.4</v>
      </c>
      <c r="M23">
        <v>58.5</v>
      </c>
      <c r="N23">
        <v>60.6</v>
      </c>
      <c r="O23">
        <v>62.7</v>
      </c>
      <c r="P23">
        <v>65.3</v>
      </c>
    </row>
    <row r="24" spans="1:16" x14ac:dyDescent="0.3">
      <c r="A24" t="s">
        <v>50</v>
      </c>
      <c r="B24" t="s">
        <v>51</v>
      </c>
      <c r="C24">
        <f t="shared" si="2"/>
        <v>370</v>
      </c>
      <c r="D24">
        <f t="shared" si="3"/>
        <v>382</v>
      </c>
      <c r="E24">
        <f t="shared" si="4"/>
        <v>394</v>
      </c>
      <c r="F24">
        <f t="shared" si="5"/>
        <v>406</v>
      </c>
      <c r="G24">
        <f t="shared" si="6"/>
        <v>418</v>
      </c>
      <c r="H24">
        <f t="shared" si="7"/>
        <v>430</v>
      </c>
      <c r="J24" t="s">
        <v>159</v>
      </c>
      <c r="K24">
        <v>37</v>
      </c>
      <c r="L24">
        <v>38.200000000000003</v>
      </c>
      <c r="M24">
        <v>39.4</v>
      </c>
      <c r="N24">
        <v>40.6</v>
      </c>
      <c r="O24">
        <v>41.8</v>
      </c>
      <c r="P24">
        <v>43</v>
      </c>
    </row>
    <row r="25" spans="1:16" x14ac:dyDescent="0.3">
      <c r="A25" t="s">
        <v>52</v>
      </c>
      <c r="B25" t="s">
        <v>53</v>
      </c>
      <c r="C25">
        <f t="shared" si="2"/>
        <v>361</v>
      </c>
      <c r="D25">
        <f t="shared" si="3"/>
        <v>373</v>
      </c>
      <c r="E25">
        <f t="shared" si="4"/>
        <v>386</v>
      </c>
      <c r="F25">
        <f t="shared" si="5"/>
        <v>398</v>
      </c>
      <c r="G25">
        <f t="shared" si="6"/>
        <v>410</v>
      </c>
      <c r="H25">
        <f t="shared" si="7"/>
        <v>422</v>
      </c>
      <c r="J25" t="s">
        <v>160</v>
      </c>
      <c r="K25">
        <v>36.1</v>
      </c>
      <c r="L25">
        <v>37.299999999999997</v>
      </c>
      <c r="M25">
        <v>38.6</v>
      </c>
      <c r="N25">
        <v>39.799999999999997</v>
      </c>
      <c r="O25">
        <v>41</v>
      </c>
      <c r="P25">
        <v>42.2</v>
      </c>
    </row>
    <row r="26" spans="1:16" x14ac:dyDescent="0.3">
      <c r="A26" t="s">
        <v>54</v>
      </c>
      <c r="B26" t="s">
        <v>55</v>
      </c>
      <c r="C26">
        <f t="shared" si="2"/>
        <v>590</v>
      </c>
      <c r="D26">
        <f t="shared" si="3"/>
        <v>605</v>
      </c>
      <c r="E26">
        <f t="shared" si="4"/>
        <v>630</v>
      </c>
      <c r="F26">
        <f t="shared" si="5"/>
        <v>665</v>
      </c>
      <c r="G26">
        <f t="shared" si="6"/>
        <v>710</v>
      </c>
      <c r="H26">
        <f t="shared" si="7"/>
        <v>755</v>
      </c>
      <c r="J26" t="s">
        <v>150</v>
      </c>
      <c r="K26">
        <v>59</v>
      </c>
      <c r="L26">
        <v>60.5</v>
      </c>
      <c r="M26">
        <v>63</v>
      </c>
      <c r="N26">
        <v>66.5</v>
      </c>
      <c r="O26">
        <v>71</v>
      </c>
      <c r="P26">
        <v>75.5</v>
      </c>
    </row>
    <row r="27" spans="1:16" x14ac:dyDescent="0.3">
      <c r="A27" t="s">
        <v>56</v>
      </c>
      <c r="B27" t="s">
        <v>57</v>
      </c>
      <c r="C27">
        <f t="shared" si="2"/>
        <v>790</v>
      </c>
      <c r="D27">
        <f t="shared" si="3"/>
        <v>805</v>
      </c>
      <c r="E27">
        <f t="shared" si="4"/>
        <v>830</v>
      </c>
      <c r="F27">
        <f t="shared" si="5"/>
        <v>865</v>
      </c>
      <c r="G27">
        <f t="shared" si="6"/>
        <v>910</v>
      </c>
      <c r="H27">
        <f t="shared" si="7"/>
        <v>955</v>
      </c>
      <c r="J27" t="s">
        <v>151</v>
      </c>
      <c r="K27">
        <v>79</v>
      </c>
      <c r="L27">
        <v>80.5</v>
      </c>
      <c r="M27">
        <v>83</v>
      </c>
      <c r="N27">
        <v>86.5</v>
      </c>
      <c r="O27">
        <v>91</v>
      </c>
      <c r="P27">
        <v>95.5</v>
      </c>
    </row>
    <row r="28" spans="1:16" x14ac:dyDescent="0.3">
      <c r="A28" t="s">
        <v>58</v>
      </c>
      <c r="B28" t="s">
        <v>58</v>
      </c>
    </row>
    <row r="29" spans="1:16" x14ac:dyDescent="0.3">
      <c r="A29" t="s">
        <v>59</v>
      </c>
      <c r="B29" t="s">
        <v>59</v>
      </c>
      <c r="C29">
        <v>60</v>
      </c>
      <c r="D29">
        <v>70</v>
      </c>
      <c r="E29">
        <v>80</v>
      </c>
      <c r="F29">
        <v>90</v>
      </c>
      <c r="G29">
        <v>100</v>
      </c>
      <c r="H29">
        <v>110</v>
      </c>
      <c r="J29" s="1" t="s">
        <v>161</v>
      </c>
      <c r="K29">
        <f>K22/TAN(K10*PI()/180)</f>
        <v>13.448114386506299</v>
      </c>
      <c r="L29">
        <f t="shared" ref="L29:P29" si="8">L22/TAN(L10*PI()/180)</f>
        <v>14.570318222166927</v>
      </c>
      <c r="M29">
        <f t="shared" si="8"/>
        <v>15.768998826048744</v>
      </c>
      <c r="N29">
        <f t="shared" si="8"/>
        <v>17.018871010363355</v>
      </c>
      <c r="O29">
        <f t="shared" si="8"/>
        <v>18.320540767865218</v>
      </c>
      <c r="P29">
        <f t="shared" si="8"/>
        <v>19.832293820488072</v>
      </c>
    </row>
    <row r="30" spans="1:16" x14ac:dyDescent="0.3">
      <c r="A30" t="s">
        <v>60</v>
      </c>
      <c r="B30" t="s">
        <v>60</v>
      </c>
      <c r="J30" s="1" t="s">
        <v>162</v>
      </c>
      <c r="K30">
        <f>K29+K24</f>
        <v>50.448114386506298</v>
      </c>
      <c r="L30">
        <f t="shared" ref="L30:P30" si="9">L29+L24</f>
        <v>52.770318222166928</v>
      </c>
      <c r="M30">
        <f t="shared" si="9"/>
        <v>55.168998826048743</v>
      </c>
      <c r="N30">
        <f t="shared" si="9"/>
        <v>57.618871010363357</v>
      </c>
      <c r="O30">
        <f t="shared" si="9"/>
        <v>60.120540767865215</v>
      </c>
      <c r="P30">
        <f t="shared" si="9"/>
        <v>62.832293820488076</v>
      </c>
    </row>
    <row r="31" spans="1:16" x14ac:dyDescent="0.3">
      <c r="A31" t="s">
        <v>61</v>
      </c>
      <c r="B31" t="s">
        <v>61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  <c r="J31" s="1" t="s">
        <v>163</v>
      </c>
      <c r="K31">
        <f>K12</f>
        <v>50.7</v>
      </c>
      <c r="L31">
        <f t="shared" ref="L31:P31" si="10">L12</f>
        <v>53</v>
      </c>
      <c r="M31">
        <f t="shared" si="10"/>
        <v>55.3</v>
      </c>
      <c r="N31">
        <f t="shared" si="10"/>
        <v>57.7</v>
      </c>
      <c r="O31">
        <f t="shared" si="10"/>
        <v>60.2</v>
      </c>
      <c r="P31">
        <f t="shared" si="10"/>
        <v>62.9</v>
      </c>
    </row>
    <row r="32" spans="1:16" x14ac:dyDescent="0.3">
      <c r="A32" t="s">
        <v>62</v>
      </c>
      <c r="B32" t="s">
        <v>62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 x14ac:dyDescent="0.3">
      <c r="A33" t="s">
        <v>63</v>
      </c>
      <c r="B33" t="s">
        <v>63</v>
      </c>
      <c r="C33">
        <v>57</v>
      </c>
      <c r="D33">
        <v>57</v>
      </c>
      <c r="E33">
        <v>57</v>
      </c>
      <c r="F33">
        <v>57</v>
      </c>
      <c r="G33">
        <v>57</v>
      </c>
      <c r="H33">
        <v>57</v>
      </c>
    </row>
    <row r="34" spans="1:8" x14ac:dyDescent="0.3">
      <c r="A34" t="s">
        <v>64</v>
      </c>
      <c r="B34" t="s">
        <v>64</v>
      </c>
      <c r="C34">
        <v>152</v>
      </c>
      <c r="D34">
        <v>160</v>
      </c>
      <c r="E34">
        <v>170</v>
      </c>
      <c r="F34">
        <v>176</v>
      </c>
      <c r="G34">
        <v>180</v>
      </c>
      <c r="H34">
        <v>195</v>
      </c>
    </row>
    <row r="35" spans="1:8" x14ac:dyDescent="0.3">
      <c r="A35" t="s">
        <v>65</v>
      </c>
      <c r="B35" t="s">
        <v>65</v>
      </c>
      <c r="C35">
        <v>160</v>
      </c>
      <c r="D35">
        <v>170</v>
      </c>
      <c r="E35">
        <v>176</v>
      </c>
      <c r="F35">
        <v>180</v>
      </c>
      <c r="G35">
        <v>195</v>
      </c>
      <c r="H35">
        <v>200</v>
      </c>
    </row>
    <row r="37" spans="1:8" x14ac:dyDescent="0.3">
      <c r="A37" t="s">
        <v>66</v>
      </c>
      <c r="B37" t="s">
        <v>67</v>
      </c>
      <c r="C37" t="s">
        <v>50</v>
      </c>
    </row>
    <row r="38" spans="1:8" x14ac:dyDescent="0.3">
      <c r="A38" t="s">
        <v>119</v>
      </c>
      <c r="B38" t="s">
        <v>120</v>
      </c>
    </row>
    <row r="39" spans="1:8" x14ac:dyDescent="0.3">
      <c r="A39" t="s">
        <v>121</v>
      </c>
      <c r="B39" t="s">
        <v>122</v>
      </c>
    </row>
    <row r="40" spans="1:8" x14ac:dyDescent="0.3">
      <c r="A40" t="s">
        <v>123</v>
      </c>
      <c r="B40" t="s">
        <v>124</v>
      </c>
    </row>
    <row r="41" spans="1:8" x14ac:dyDescent="0.3">
      <c r="A41" t="s">
        <v>68</v>
      </c>
      <c r="B41" t="s">
        <v>69</v>
      </c>
    </row>
    <row r="42" spans="1:8" x14ac:dyDescent="0.3">
      <c r="A42" t="s">
        <v>70</v>
      </c>
      <c r="B42" t="s">
        <v>71</v>
      </c>
    </row>
    <row r="43" spans="1:8" x14ac:dyDescent="0.3">
      <c r="A43" t="s">
        <v>72</v>
      </c>
      <c r="B43" t="s">
        <v>73</v>
      </c>
    </row>
    <row r="44" spans="1:8" x14ac:dyDescent="0.3">
      <c r="A44" t="s">
        <v>74</v>
      </c>
      <c r="B44" t="s">
        <v>75</v>
      </c>
    </row>
    <row r="45" spans="1:8" x14ac:dyDescent="0.3">
      <c r="A45" t="s">
        <v>76</v>
      </c>
    </row>
    <row r="46" spans="1:8" x14ac:dyDescent="0.3">
      <c r="A46" t="s">
        <v>77</v>
      </c>
      <c r="B46" t="s">
        <v>78</v>
      </c>
    </row>
    <row r="47" spans="1:8" x14ac:dyDescent="0.3">
      <c r="A47" t="s">
        <v>79</v>
      </c>
    </row>
    <row r="48" spans="1:8" x14ac:dyDescent="0.3">
      <c r="A48" t="s">
        <v>81</v>
      </c>
    </row>
    <row r="49" spans="1:2" x14ac:dyDescent="0.3">
      <c r="A49" t="s">
        <v>82</v>
      </c>
    </row>
    <row r="50" spans="1:2" x14ac:dyDescent="0.3">
      <c r="A50" t="s">
        <v>83</v>
      </c>
      <c r="B50" t="s">
        <v>84</v>
      </c>
    </row>
    <row r="51" spans="1:2" x14ac:dyDescent="0.3">
      <c r="A51" t="s">
        <v>85</v>
      </c>
      <c r="B51" t="s">
        <v>86</v>
      </c>
    </row>
    <row r="52" spans="1:2" x14ac:dyDescent="0.3">
      <c r="A52" t="s">
        <v>129</v>
      </c>
    </row>
    <row r="53" spans="1:2" x14ac:dyDescent="0.3">
      <c r="A53" t="s">
        <v>130</v>
      </c>
    </row>
    <row r="54" spans="1:2" x14ac:dyDescent="0.3">
      <c r="A54" t="s">
        <v>131</v>
      </c>
    </row>
    <row r="55" spans="1:2" x14ac:dyDescent="0.3">
      <c r="A55" t="s">
        <v>132</v>
      </c>
    </row>
    <row r="56" spans="1:2" x14ac:dyDescent="0.3">
      <c r="A56" t="s">
        <v>133</v>
      </c>
    </row>
    <row r="57" spans="1:2" x14ac:dyDescent="0.3">
      <c r="A57" t="s">
        <v>134</v>
      </c>
    </row>
    <row r="58" spans="1:2" x14ac:dyDescent="0.3">
      <c r="A58" t="s">
        <v>87</v>
      </c>
      <c r="B58" t="s">
        <v>88</v>
      </c>
    </row>
    <row r="59" spans="1:2" x14ac:dyDescent="0.3">
      <c r="A59" t="s">
        <v>89</v>
      </c>
    </row>
    <row r="60" spans="1:2" x14ac:dyDescent="0.3">
      <c r="A60" t="s">
        <v>90</v>
      </c>
      <c r="B60" t="s">
        <v>91</v>
      </c>
    </row>
    <row r="61" spans="1:2" x14ac:dyDescent="0.3">
      <c r="A61" t="s">
        <v>92</v>
      </c>
      <c r="B61" t="s">
        <v>71</v>
      </c>
    </row>
    <row r="62" spans="1:2" x14ac:dyDescent="0.3">
      <c r="A62" t="s">
        <v>93</v>
      </c>
      <c r="B62" t="s">
        <v>94</v>
      </c>
    </row>
    <row r="63" spans="1:2" x14ac:dyDescent="0.3">
      <c r="A63" t="s">
        <v>95</v>
      </c>
      <c r="B63" t="s">
        <v>96</v>
      </c>
    </row>
    <row r="64" spans="1:2" x14ac:dyDescent="0.3">
      <c r="A64" t="s">
        <v>97</v>
      </c>
    </row>
    <row r="65" spans="1:2" x14ac:dyDescent="0.3">
      <c r="A65" t="s">
        <v>98</v>
      </c>
    </row>
    <row r="66" spans="1:2" x14ac:dyDescent="0.3">
      <c r="A66" t="s">
        <v>99</v>
      </c>
    </row>
    <row r="67" spans="1:2" x14ac:dyDescent="0.3">
      <c r="A67" t="s">
        <v>100</v>
      </c>
      <c r="B67" t="s">
        <v>101</v>
      </c>
    </row>
    <row r="68" spans="1:2" x14ac:dyDescent="0.3">
      <c r="A68" t="s">
        <v>102</v>
      </c>
      <c r="B68" t="s">
        <v>101</v>
      </c>
    </row>
    <row r="69" spans="1:2" x14ac:dyDescent="0.3">
      <c r="A69" t="s">
        <v>103</v>
      </c>
      <c r="B69" t="s">
        <v>71</v>
      </c>
    </row>
    <row r="70" spans="1:2" x14ac:dyDescent="0.3">
      <c r="A70" t="s">
        <v>104</v>
      </c>
      <c r="B70" t="s">
        <v>80</v>
      </c>
    </row>
    <row r="71" spans="1:2" x14ac:dyDescent="0.3">
      <c r="A71" t="s">
        <v>105</v>
      </c>
      <c r="B71" t="s">
        <v>106</v>
      </c>
    </row>
    <row r="72" spans="1:2" x14ac:dyDescent="0.3">
      <c r="A72" t="s">
        <v>107</v>
      </c>
      <c r="B72" t="s">
        <v>108</v>
      </c>
    </row>
    <row r="73" spans="1:2" x14ac:dyDescent="0.3">
      <c r="A73" t="s">
        <v>109</v>
      </c>
      <c r="B73" t="s">
        <v>71</v>
      </c>
    </row>
    <row r="74" spans="1:2" x14ac:dyDescent="0.3">
      <c r="A74" t="s">
        <v>110</v>
      </c>
      <c r="B74" t="s">
        <v>71</v>
      </c>
    </row>
    <row r="75" spans="1:2" x14ac:dyDescent="0.3">
      <c r="A75" t="s">
        <v>111</v>
      </c>
      <c r="B75" t="s">
        <v>71</v>
      </c>
    </row>
    <row r="76" spans="1:2" x14ac:dyDescent="0.3">
      <c r="A76" t="s">
        <v>112</v>
      </c>
    </row>
    <row r="77" spans="1:2" x14ac:dyDescent="0.3">
      <c r="A77" t="s">
        <v>113</v>
      </c>
      <c r="B77" t="s">
        <v>71</v>
      </c>
    </row>
    <row r="78" spans="1:2" x14ac:dyDescent="0.3">
      <c r="A78" t="s">
        <v>114</v>
      </c>
    </row>
    <row r="79" spans="1:2" x14ac:dyDescent="0.3">
      <c r="A79" t="s">
        <v>115</v>
      </c>
      <c r="B79" t="s">
        <v>116</v>
      </c>
    </row>
    <row r="80" spans="1:2" x14ac:dyDescent="0.3">
      <c r="A80" t="s">
        <v>117</v>
      </c>
    </row>
    <row r="81" spans="1:2" x14ac:dyDescent="0.3">
      <c r="A81" t="s">
        <v>118</v>
      </c>
      <c r="B81" s="1" t="s">
        <v>126</v>
      </c>
    </row>
    <row r="82" spans="1:2" x14ac:dyDescent="0.3">
      <c r="A82" t="s">
        <v>127</v>
      </c>
      <c r="B82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2025-11-18T20:16:37Z</dcterms:modified>
</cp:coreProperties>
</file>