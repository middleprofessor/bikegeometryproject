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001FA0F-2ECA-3640-BEB1-93FE6500460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D35" i="1" s="1"/>
  <c r="F34" i="1"/>
  <c r="E35" i="1" s="1"/>
  <c r="D34" i="1"/>
  <c r="C35" i="1" s="1"/>
  <c r="F35" i="1"/>
  <c r="C34" i="1"/>
</calcChain>
</file>

<file path=xl/sharedStrings.xml><?xml version="1.0" encoding="utf-8"?>
<sst xmlns="http://schemas.openxmlformats.org/spreadsheetml/2006/main" count="134" uniqueCount="127">
  <si>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</si>
  <si>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</si>
  <si>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</si>
  <si>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</si>
  <si>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</si>
  <si>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</si>
  <si>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</si>
  <si>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</si>
  <si>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</si>
  <si>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</si>
  <si>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</si>
  <si>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</si>
  <si>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</si>
  <si>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</si>
  <si>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</si>
  <si>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</si>
  <si>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</si>
  <si>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</si>
  <si>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</si>
  <si>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</si>
  <si>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</si>
  <si>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</si>
  <si>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</si>
  <si>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</si>
  <si>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</si>
  <si>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</si>
  <si>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</si>
  <si>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</si>
  <si>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</si>
  <si>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</si>
  <si>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</si>
  <si>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</si>
  <si>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</si>
  <si>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</si>
  <si>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</si>
  <si>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</si>
  <si>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</si>
  <si>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</si>
  <si>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</si>
  <si>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</si>
  <si>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</si>
  <si>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</si>
  <si>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</si>
  <si>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</si>
  <si>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</si>
  <si>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</si>
  <si>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</si>
  <si>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</si>
  <si>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</si>
  <si>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</si>
  <si>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</si>
  <si>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</si>
  <si>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</si>
  <si>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</si>
  <si>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</si>
  <si>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</si>
  <si>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</si>
  <si>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</si>
  <si>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</si>
  <si>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</si>
  <si>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</si>
  <si>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</si>
  <si>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</si>
  <si>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</si>
  <si>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</si>
  <si>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</si>
  <si>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</si>
  <si>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</si>
  <si>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</si>
  <si>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</si>
  <si>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</si>
  <si>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</si>
  <si>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</si>
  <si>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rider_min_spec</t>
  </si>
  <si>
    <t>rider_max_spec</t>
  </si>
  <si>
    <t>carbon</t>
  </si>
  <si>
    <t>trail</t>
  </si>
  <si>
    <t>front_center</t>
  </si>
  <si>
    <t>S</t>
  </si>
  <si>
    <t>M</t>
  </si>
  <si>
    <t>L</t>
  </si>
  <si>
    <t>REACH (L)</t>
  </si>
  <si>
    <t>STACK (M)</t>
  </si>
  <si>
    <t>TRAIL (N)</t>
  </si>
  <si>
    <t>STAND OVER (Q)</t>
  </si>
  <si>
    <t>MMR</t>
  </si>
  <si>
    <t>top_tube_actual</t>
  </si>
  <si>
    <t>seat_tube_length_c_c</t>
  </si>
  <si>
    <t>a8:f37</t>
  </si>
  <si>
    <t>trail_mechanical</t>
  </si>
  <si>
    <t>integrated</t>
  </si>
  <si>
    <t>Simun</t>
  </si>
  <si>
    <t>https://mmrbikes.com/en/products/new-simun?variant=55610492813686</t>
  </si>
  <si>
    <t>XS</t>
  </si>
  <si>
    <t>L INSEAM (CM)</t>
  </si>
  <si>
    <t>&lt;76</t>
  </si>
  <si>
    <t>75-84</t>
  </si>
  <si>
    <t>83-86</t>
  </si>
  <si>
    <t>85-100*</t>
  </si>
  <si>
    <t>HEIGHT (CM)</t>
  </si>
  <si>
    <t>&lt;165</t>
  </si>
  <si>
    <t>164-175</t>
  </si>
  <si>
    <t>173-180</t>
  </si>
  <si>
    <t>178-195*</t>
  </si>
  <si>
    <t>L WHEELBASE (A)</t>
  </si>
  <si>
    <t>L TOP TUBE (B)</t>
  </si>
  <si>
    <t>L VIRTUAL TUBE (C)</t>
  </si>
  <si>
    <t>L HEAD TUBE (D)</t>
  </si>
  <si>
    <t>L CENTRE/CENTRE (E)</t>
  </si>
  <si>
    <t>L SEAT/TUBE (F)</t>
  </si>
  <si>
    <t>L CHAINSTAY (G)</t>
  </si>
  <si>
    <t>L TRAIL (H)</t>
  </si>
  <si>
    <t>BB DROP (I)</t>
  </si>
  <si>
    <t>SS HEAD ANGLE (J)</t>
  </si>
  <si>
    <t>SEAT ANGLE (K)</t>
  </si>
  <si>
    <t>L STEM (O)</t>
  </si>
  <si>
    <t>L CRANK (P)</t>
  </si>
  <si>
    <t>https://mmrbikes.com/cdn/shop/files/080888_SIMUN_STEELGREY_00_01_compressed.jpg?v=1737388681&amp;width=1100</t>
  </si>
  <si>
    <t>USD</t>
  </si>
  <si>
    <t>location</t>
  </si>
  <si>
    <t>Avilés, Asturias, Spain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</si>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</sst>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4"/>
      <color rgb="FF000000"/>
      <name val="Futura"/>
    </font>
    <font>
      <sz val="14"/>
      <color rgb="FF2B3136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"/>
  <sheetViews>
    <sheetView tabSelected="1" topLeftCell="A57" workbookViewId="0">
      <selection activeCell="A78" sqref="A78:B78"/>
    </sheetView>
  </sheetViews>
  <sheetFormatPr baseColWidth="10" defaultRowHeight="20" x14ac:dyDescent="0.3"/>
  <cols>
    <col min="1" max="2" width="19.6640625" style="2" customWidth="1"/>
    <col min="3" max="16384" width="10.77734375" style="2"/>
  </cols>
  <sheetData>
    <row r="1" spans="1:6" x14ac:dyDescent="0.3">
      <c r="A1" s="2" t="s">
        <v>0</v>
      </c>
      <c r="B1" s="1" t="s">
        <v>85</v>
      </c>
    </row>
    <row r="2" spans="1:6" x14ac:dyDescent="0.3">
      <c r="A2" s="2" t="s">
        <v>1</v>
      </c>
      <c r="B2" s="2" t="s">
        <v>91</v>
      </c>
    </row>
    <row r="3" spans="1:6" x14ac:dyDescent="0.3">
      <c r="A3" s="2" t="s">
        <v>2</v>
      </c>
      <c r="B3" s="2">
        <v>2025</v>
      </c>
    </row>
    <row r="4" spans="1:6" x14ac:dyDescent="0.3">
      <c r="A4" s="2" t="s">
        <v>3</v>
      </c>
      <c r="B4" s="3">
        <v>45906</v>
      </c>
    </row>
    <row r="5" spans="1:6" x14ac:dyDescent="0.3">
      <c r="A5" s="2" t="s">
        <v>4</v>
      </c>
      <c r="B5" s="2" t="s">
        <v>92</v>
      </c>
    </row>
    <row r="6" spans="1:6" x14ac:dyDescent="0.3">
      <c r="B6" s="2" t="s">
        <v>117</v>
      </c>
    </row>
    <row r="7" spans="1:6" x14ac:dyDescent="0.3">
      <c r="A7" s="2" t="s">
        <v>5</v>
      </c>
      <c r="B7" s="2" t="s">
        <v>88</v>
      </c>
    </row>
    <row r="8" spans="1:6" x14ac:dyDescent="0.3">
      <c r="A8" s="2" t="s">
        <v>6</v>
      </c>
      <c r="C8" s="2" t="s">
        <v>93</v>
      </c>
      <c r="D8" s="2" t="s">
        <v>78</v>
      </c>
      <c r="E8" s="2" t="s">
        <v>79</v>
      </c>
      <c r="F8" s="2" t="s">
        <v>80</v>
      </c>
    </row>
    <row r="9" spans="1:6" x14ac:dyDescent="0.3">
      <c r="A9" s="2" t="s">
        <v>19</v>
      </c>
      <c r="B9" s="2" t="s">
        <v>104</v>
      </c>
      <c r="C9" s="2">
        <v>998</v>
      </c>
      <c r="D9" s="2">
        <v>1007</v>
      </c>
      <c r="E9" s="2">
        <v>1026</v>
      </c>
      <c r="F9" s="2">
        <v>1039</v>
      </c>
    </row>
    <row r="10" spans="1:6" x14ac:dyDescent="0.3">
      <c r="A10" s="2" t="s">
        <v>86</v>
      </c>
      <c r="B10" s="2" t="s">
        <v>105</v>
      </c>
      <c r="C10" s="2">
        <v>496</v>
      </c>
      <c r="D10" s="2">
        <v>509</v>
      </c>
      <c r="E10" s="2">
        <v>529</v>
      </c>
      <c r="F10" s="2">
        <v>556</v>
      </c>
    </row>
    <row r="11" spans="1:6" x14ac:dyDescent="0.3">
      <c r="A11" s="2" t="s">
        <v>11</v>
      </c>
      <c r="B11" s="2" t="s">
        <v>106</v>
      </c>
      <c r="C11" s="2">
        <v>513</v>
      </c>
      <c r="D11" s="2">
        <v>526</v>
      </c>
      <c r="E11" s="2">
        <v>548</v>
      </c>
      <c r="F11" s="2">
        <v>576</v>
      </c>
    </row>
    <row r="12" spans="1:6" x14ac:dyDescent="0.3">
      <c r="A12" s="2" t="s">
        <v>9</v>
      </c>
      <c r="B12" s="2" t="s">
        <v>107</v>
      </c>
      <c r="C12" s="2">
        <v>87</v>
      </c>
      <c r="D12" s="2">
        <v>95</v>
      </c>
      <c r="E12" s="2">
        <v>121</v>
      </c>
      <c r="F12" s="2">
        <v>146</v>
      </c>
    </row>
    <row r="13" spans="1:6" x14ac:dyDescent="0.3">
      <c r="A13" s="2" t="s">
        <v>87</v>
      </c>
      <c r="B13" s="2" t="s">
        <v>108</v>
      </c>
    </row>
    <row r="14" spans="1:6" x14ac:dyDescent="0.3">
      <c r="A14" s="2" t="s">
        <v>10</v>
      </c>
      <c r="B14" s="2" t="s">
        <v>109</v>
      </c>
      <c r="C14" s="2">
        <v>440</v>
      </c>
      <c r="D14" s="2">
        <v>460</v>
      </c>
      <c r="E14" s="2">
        <v>480</v>
      </c>
      <c r="F14" s="2">
        <v>510</v>
      </c>
    </row>
    <row r="15" spans="1:6" x14ac:dyDescent="0.3">
      <c r="A15" s="2" t="s">
        <v>14</v>
      </c>
      <c r="B15" s="2" t="s">
        <v>110</v>
      </c>
      <c r="C15" s="2">
        <v>425</v>
      </c>
      <c r="D15" s="2">
        <v>425</v>
      </c>
      <c r="E15" s="2">
        <v>425</v>
      </c>
      <c r="F15" s="2">
        <v>425</v>
      </c>
    </row>
    <row r="16" spans="1:6" x14ac:dyDescent="0.3">
      <c r="A16" s="2" t="s">
        <v>89</v>
      </c>
      <c r="B16" s="2" t="s">
        <v>111</v>
      </c>
      <c r="C16" s="2">
        <v>50</v>
      </c>
      <c r="D16" s="2">
        <v>50</v>
      </c>
      <c r="E16" s="2">
        <v>50</v>
      </c>
      <c r="F16" s="2">
        <v>50</v>
      </c>
    </row>
    <row r="17" spans="1:6" x14ac:dyDescent="0.3">
      <c r="A17" s="2" t="s">
        <v>18</v>
      </c>
      <c r="B17" s="2" t="s">
        <v>112</v>
      </c>
      <c r="C17" s="2">
        <v>73</v>
      </c>
      <c r="D17" s="2">
        <v>73</v>
      </c>
      <c r="E17" s="2">
        <v>73</v>
      </c>
      <c r="F17" s="2">
        <v>73</v>
      </c>
    </row>
    <row r="18" spans="1:6" x14ac:dyDescent="0.3">
      <c r="A18" s="2" t="s">
        <v>7</v>
      </c>
      <c r="B18" s="2" t="s">
        <v>113</v>
      </c>
      <c r="C18" s="2">
        <v>70.5</v>
      </c>
      <c r="D18" s="2">
        <v>71</v>
      </c>
      <c r="E18" s="2">
        <v>71</v>
      </c>
      <c r="F18" s="2">
        <v>71.5</v>
      </c>
    </row>
    <row r="19" spans="1:6" x14ac:dyDescent="0.3">
      <c r="A19" s="2" t="s">
        <v>8</v>
      </c>
      <c r="B19" s="2" t="s">
        <v>114</v>
      </c>
      <c r="C19" s="2">
        <v>74.5</v>
      </c>
      <c r="D19" s="2">
        <v>74.5</v>
      </c>
      <c r="E19" s="2">
        <v>74</v>
      </c>
      <c r="F19" s="2">
        <v>73</v>
      </c>
    </row>
    <row r="20" spans="1:6" x14ac:dyDescent="0.3">
      <c r="A20" s="2" t="s">
        <v>13</v>
      </c>
      <c r="B20" s="2" t="s">
        <v>81</v>
      </c>
      <c r="C20" s="2">
        <v>370</v>
      </c>
      <c r="D20" s="2">
        <v>380</v>
      </c>
      <c r="E20" s="2">
        <v>390</v>
      </c>
      <c r="F20" s="2">
        <v>400</v>
      </c>
    </row>
    <row r="21" spans="1:6" x14ac:dyDescent="0.3">
      <c r="A21" s="2" t="s">
        <v>12</v>
      </c>
      <c r="B21" s="2" t="s">
        <v>82</v>
      </c>
      <c r="C21" s="2">
        <v>515</v>
      </c>
      <c r="D21" s="2">
        <v>525</v>
      </c>
      <c r="E21" s="2">
        <v>550</v>
      </c>
      <c r="F21" s="2">
        <v>575</v>
      </c>
    </row>
    <row r="22" spans="1:6" x14ac:dyDescent="0.3">
      <c r="A22" s="2" t="s">
        <v>76</v>
      </c>
      <c r="B22" s="2" t="s">
        <v>83</v>
      </c>
      <c r="C22" s="2">
        <v>73.5</v>
      </c>
      <c r="D22" s="2">
        <v>70.2</v>
      </c>
      <c r="E22" s="2">
        <v>70</v>
      </c>
      <c r="F22" s="2">
        <v>67</v>
      </c>
    </row>
    <row r="23" spans="1:6" x14ac:dyDescent="0.3">
      <c r="A23" s="2" t="s">
        <v>21</v>
      </c>
      <c r="B23" s="2" t="s">
        <v>115</v>
      </c>
      <c r="C23" s="2">
        <v>90</v>
      </c>
      <c r="D23" s="2">
        <v>100</v>
      </c>
      <c r="E23" s="2">
        <v>100</v>
      </c>
      <c r="F23" s="2">
        <v>110</v>
      </c>
    </row>
    <row r="24" spans="1:6" x14ac:dyDescent="0.3">
      <c r="A24" s="2" t="s">
        <v>22</v>
      </c>
      <c r="B24" s="2" t="s">
        <v>116</v>
      </c>
      <c r="C24" s="2">
        <v>170</v>
      </c>
      <c r="D24" s="2">
        <v>170</v>
      </c>
      <c r="E24" s="2">
        <v>172.5</v>
      </c>
      <c r="F24" s="2">
        <v>172.5</v>
      </c>
    </row>
    <row r="25" spans="1:6" x14ac:dyDescent="0.3">
      <c r="A25" s="2" t="s">
        <v>17</v>
      </c>
      <c r="B25" s="2" t="s">
        <v>84</v>
      </c>
      <c r="C25" s="2">
        <v>754</v>
      </c>
      <c r="D25" s="2">
        <v>759</v>
      </c>
      <c r="E25" s="2">
        <v>791</v>
      </c>
      <c r="F25" s="2">
        <v>818</v>
      </c>
    </row>
    <row r="26" spans="1:6" x14ac:dyDescent="0.3">
      <c r="A26" s="2" t="s">
        <v>16</v>
      </c>
    </row>
    <row r="27" spans="1:6" x14ac:dyDescent="0.3">
      <c r="A27" s="2" t="s">
        <v>77</v>
      </c>
    </row>
    <row r="28" spans="1:6" x14ac:dyDescent="0.3">
      <c r="A28" s="2" t="s">
        <v>15</v>
      </c>
    </row>
    <row r="29" spans="1:6" x14ac:dyDescent="0.3">
      <c r="A29" s="2" t="s">
        <v>20</v>
      </c>
    </row>
    <row r="30" spans="1:6" x14ac:dyDescent="0.3">
      <c r="A30" s="2" t="s">
        <v>23</v>
      </c>
    </row>
    <row r="31" spans="1:6" x14ac:dyDescent="0.3">
      <c r="A31" s="2" t="s">
        <v>24</v>
      </c>
      <c r="B31" s="2" t="s">
        <v>24</v>
      </c>
      <c r="C31" s="2">
        <v>700</v>
      </c>
      <c r="D31" s="2">
        <v>700</v>
      </c>
      <c r="E31" s="2">
        <v>700</v>
      </c>
      <c r="F31" s="2">
        <v>700</v>
      </c>
    </row>
    <row r="32" spans="1:6" x14ac:dyDescent="0.3">
      <c r="A32" s="2" t="s">
        <v>25</v>
      </c>
      <c r="B32" s="2" t="s">
        <v>25</v>
      </c>
      <c r="C32" s="2">
        <v>40</v>
      </c>
      <c r="D32" s="2">
        <v>40</v>
      </c>
      <c r="E32" s="2">
        <v>40</v>
      </c>
      <c r="F32" s="2">
        <v>40</v>
      </c>
    </row>
    <row r="33" spans="1:7" x14ac:dyDescent="0.3">
      <c r="A33" s="2" t="s">
        <v>26</v>
      </c>
      <c r="B33" s="2" t="s">
        <v>26</v>
      </c>
      <c r="C33" s="2">
        <v>45</v>
      </c>
      <c r="D33" s="2">
        <v>45</v>
      </c>
      <c r="E33" s="2">
        <v>45</v>
      </c>
      <c r="F33" s="2">
        <v>45</v>
      </c>
    </row>
    <row r="34" spans="1:7" x14ac:dyDescent="0.3">
      <c r="A34" s="2" t="s">
        <v>27</v>
      </c>
      <c r="B34" s="2" t="s">
        <v>27</v>
      </c>
      <c r="C34" s="4">
        <f>C36</f>
        <v>158</v>
      </c>
      <c r="D34" s="4">
        <f>AVERAGE(D36,C37)</f>
        <v>169.5</v>
      </c>
      <c r="E34" s="4">
        <f t="shared" ref="E34:F34" si="0">AVERAGE(E36,D37)</f>
        <v>174</v>
      </c>
      <c r="F34" s="4">
        <f t="shared" si="0"/>
        <v>183.5</v>
      </c>
      <c r="G34" s="4"/>
    </row>
    <row r="35" spans="1:7" x14ac:dyDescent="0.3">
      <c r="A35" s="2" t="s">
        <v>28</v>
      </c>
      <c r="B35" s="2" t="s">
        <v>28</v>
      </c>
      <c r="C35" s="4">
        <f>D34</f>
        <v>169.5</v>
      </c>
      <c r="D35" s="4">
        <f t="shared" ref="D35:E35" si="1">E34</f>
        <v>174</v>
      </c>
      <c r="E35" s="4">
        <f t="shared" si="1"/>
        <v>183.5</v>
      </c>
      <c r="F35" s="4">
        <f t="shared" ref="F35" si="2">F37</f>
        <v>200</v>
      </c>
      <c r="G35" s="4"/>
    </row>
    <row r="36" spans="1:7" x14ac:dyDescent="0.3">
      <c r="A36" s="2" t="s">
        <v>73</v>
      </c>
      <c r="C36" s="2">
        <v>158</v>
      </c>
      <c r="D36" s="2">
        <v>169</v>
      </c>
      <c r="E36" s="2">
        <v>173</v>
      </c>
      <c r="F36" s="2">
        <v>183</v>
      </c>
    </row>
    <row r="37" spans="1:7" x14ac:dyDescent="0.3">
      <c r="A37" s="2" t="s">
        <v>74</v>
      </c>
      <c r="C37" s="2">
        <v>170</v>
      </c>
      <c r="D37" s="2">
        <v>175</v>
      </c>
      <c r="E37" s="2">
        <v>184</v>
      </c>
      <c r="F37" s="2">
        <v>200</v>
      </c>
    </row>
    <row r="38" spans="1:7" x14ac:dyDescent="0.3">
      <c r="C38" s="2" t="s">
        <v>95</v>
      </c>
      <c r="D38" s="2" t="s">
        <v>96</v>
      </c>
      <c r="E38" s="2" t="s">
        <v>97</v>
      </c>
      <c r="F38" s="2" t="s">
        <v>98</v>
      </c>
      <c r="G38" s="2" t="s">
        <v>94</v>
      </c>
    </row>
    <row r="39" spans="1:7" x14ac:dyDescent="0.3">
      <c r="A39" s="2" t="s">
        <v>29</v>
      </c>
      <c r="B39" s="2" t="s">
        <v>30</v>
      </c>
      <c r="C39" s="2" t="s">
        <v>100</v>
      </c>
      <c r="D39" s="2" t="s">
        <v>101</v>
      </c>
      <c r="E39" s="2" t="s">
        <v>102</v>
      </c>
      <c r="F39" s="2" t="s">
        <v>103</v>
      </c>
      <c r="G39" s="2" t="s">
        <v>99</v>
      </c>
    </row>
    <row r="40" spans="1:7" x14ac:dyDescent="0.3">
      <c r="A40" s="2" t="s">
        <v>66</v>
      </c>
      <c r="B40" s="2" t="s">
        <v>67</v>
      </c>
    </row>
    <row r="41" spans="1:7" x14ac:dyDescent="0.3">
      <c r="A41" s="2" t="s">
        <v>68</v>
      </c>
      <c r="B41" s="2" t="s">
        <v>69</v>
      </c>
    </row>
    <row r="42" spans="1:7" x14ac:dyDescent="0.3">
      <c r="A42" s="2" t="s">
        <v>70</v>
      </c>
      <c r="B42" s="2" t="s">
        <v>71</v>
      </c>
    </row>
    <row r="43" spans="1:7" x14ac:dyDescent="0.3">
      <c r="A43" s="2" t="s">
        <v>31</v>
      </c>
      <c r="B43" s="2" t="s">
        <v>75</v>
      </c>
    </row>
    <row r="44" spans="1:7" x14ac:dyDescent="0.3">
      <c r="A44" s="2" t="s">
        <v>32</v>
      </c>
      <c r="B44" s="2" t="s">
        <v>72</v>
      </c>
    </row>
    <row r="45" spans="1:7" x14ac:dyDescent="0.3">
      <c r="A45" s="2" t="s">
        <v>33</v>
      </c>
    </row>
    <row r="46" spans="1:7" x14ac:dyDescent="0.3">
      <c r="A46" s="2" t="s">
        <v>34</v>
      </c>
      <c r="B46" s="2">
        <v>45</v>
      </c>
    </row>
    <row r="47" spans="1:7" x14ac:dyDescent="0.3">
      <c r="A47" s="2" t="s">
        <v>35</v>
      </c>
    </row>
    <row r="48" spans="1:7" x14ac:dyDescent="0.3">
      <c r="A48" s="2" t="s">
        <v>36</v>
      </c>
    </row>
    <row r="49" spans="1:2" x14ac:dyDescent="0.3">
      <c r="A49" s="2" t="s">
        <v>37</v>
      </c>
    </row>
    <row r="50" spans="1:2" x14ac:dyDescent="0.3">
      <c r="A50" s="2" t="s">
        <v>38</v>
      </c>
    </row>
    <row r="51" spans="1:2" x14ac:dyDescent="0.3">
      <c r="A51" s="2" t="s">
        <v>39</v>
      </c>
    </row>
    <row r="52" spans="1:2" x14ac:dyDescent="0.3">
      <c r="A52" s="2" t="s">
        <v>40</v>
      </c>
      <c r="B52" s="2">
        <v>142</v>
      </c>
    </row>
    <row r="53" spans="1:2" x14ac:dyDescent="0.3">
      <c r="A53" s="2" t="s">
        <v>41</v>
      </c>
      <c r="B53" s="2">
        <v>100</v>
      </c>
    </row>
    <row r="54" spans="1:2" x14ac:dyDescent="0.3">
      <c r="A54" s="2" t="s">
        <v>121</v>
      </c>
    </row>
    <row r="55" spans="1:2" x14ac:dyDescent="0.3">
      <c r="A55" s="2" t="s">
        <v>122</v>
      </c>
    </row>
    <row r="56" spans="1:2" x14ac:dyDescent="0.3">
      <c r="A56" s="2" t="s">
        <v>123</v>
      </c>
    </row>
    <row r="57" spans="1:2" x14ac:dyDescent="0.3">
      <c r="A57" s="2" t="s">
        <v>124</v>
      </c>
    </row>
    <row r="58" spans="1:2" x14ac:dyDescent="0.3">
      <c r="A58" s="2" t="s">
        <v>125</v>
      </c>
    </row>
    <row r="59" spans="1:2" x14ac:dyDescent="0.3">
      <c r="A59" s="2" t="s">
        <v>126</v>
      </c>
    </row>
    <row r="60" spans="1:2" x14ac:dyDescent="0.3">
      <c r="A60" s="2" t="s">
        <v>42</v>
      </c>
    </row>
    <row r="61" spans="1:2" x14ac:dyDescent="0.3">
      <c r="A61" s="2" t="s">
        <v>43</v>
      </c>
    </row>
    <row r="62" spans="1:2" x14ac:dyDescent="0.3">
      <c r="A62" s="2" t="s">
        <v>44</v>
      </c>
    </row>
    <row r="63" spans="1:2" x14ac:dyDescent="0.3">
      <c r="A63" s="2" t="s">
        <v>45</v>
      </c>
      <c r="B63" s="2" t="s">
        <v>72</v>
      </c>
    </row>
    <row r="64" spans="1:2" x14ac:dyDescent="0.3">
      <c r="A64" s="2" t="s">
        <v>46</v>
      </c>
    </row>
    <row r="65" spans="1:2" x14ac:dyDescent="0.3">
      <c r="A65" s="2" t="s">
        <v>47</v>
      </c>
    </row>
    <row r="66" spans="1:2" x14ac:dyDescent="0.3">
      <c r="A66" s="2" t="s">
        <v>48</v>
      </c>
    </row>
    <row r="67" spans="1:2" x14ac:dyDescent="0.3">
      <c r="A67" s="2" t="s">
        <v>49</v>
      </c>
    </row>
    <row r="68" spans="1:2" x14ac:dyDescent="0.3">
      <c r="A68" s="2" t="s">
        <v>50</v>
      </c>
    </row>
    <row r="69" spans="1:2" x14ac:dyDescent="0.3">
      <c r="A69" s="2" t="s">
        <v>51</v>
      </c>
      <c r="B69" s="2" t="s">
        <v>90</v>
      </c>
    </row>
    <row r="70" spans="1:2" x14ac:dyDescent="0.3">
      <c r="A70" s="2" t="s">
        <v>52</v>
      </c>
    </row>
    <row r="71" spans="1:2" x14ac:dyDescent="0.3">
      <c r="A71" s="2" t="s">
        <v>53</v>
      </c>
    </row>
    <row r="72" spans="1:2" x14ac:dyDescent="0.3">
      <c r="A72" s="2" t="s">
        <v>54</v>
      </c>
      <c r="B72" s="2" t="s">
        <v>72</v>
      </c>
    </row>
    <row r="73" spans="1:2" x14ac:dyDescent="0.3">
      <c r="A73" s="2" t="s">
        <v>55</v>
      </c>
      <c r="B73" s="2">
        <v>2</v>
      </c>
    </row>
    <row r="74" spans="1:2" x14ac:dyDescent="0.3">
      <c r="A74" s="2" t="s">
        <v>56</v>
      </c>
    </row>
    <row r="75" spans="1:2" x14ac:dyDescent="0.3">
      <c r="A75" s="2" t="s">
        <v>57</v>
      </c>
    </row>
    <row r="76" spans="1:2" x14ac:dyDescent="0.3">
      <c r="A76" s="2" t="s">
        <v>58</v>
      </c>
    </row>
    <row r="77" spans="1:2" x14ac:dyDescent="0.3">
      <c r="A77" s="2" t="s">
        <v>59</v>
      </c>
    </row>
    <row r="78" spans="1:2" x14ac:dyDescent="0.3">
      <c r="A78" s="2" t="s">
        <v>60</v>
      </c>
    </row>
    <row r="79" spans="1:2" x14ac:dyDescent="0.3">
      <c r="A79" s="2" t="s">
        <v>61</v>
      </c>
    </row>
    <row r="80" spans="1:2" x14ac:dyDescent="0.3">
      <c r="A80" s="2" t="s">
        <v>62</v>
      </c>
    </row>
    <row r="81" spans="1:2" x14ac:dyDescent="0.3">
      <c r="A81" s="2" t="s">
        <v>63</v>
      </c>
      <c r="B81" s="2">
        <v>3107</v>
      </c>
    </row>
    <row r="82" spans="1:2" x14ac:dyDescent="0.3">
      <c r="A82" s="2" t="s">
        <v>64</v>
      </c>
    </row>
    <row r="83" spans="1:2" x14ac:dyDescent="0.3">
      <c r="A83" s="2" t="s">
        <v>65</v>
      </c>
      <c r="B83" s="2" t="s">
        <v>118</v>
      </c>
    </row>
    <row r="84" spans="1:2" x14ac:dyDescent="0.3">
      <c r="A84" s="2" t="s">
        <v>119</v>
      </c>
      <c r="B84" s="2" t="s">
        <v>120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2025-11-07T14:44:45Z</dcterms:modified>
</cp:coreProperties>
</file>