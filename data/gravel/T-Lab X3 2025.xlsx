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89314C0-88A6-5845-A7AE-A16B62736660}" xr6:coauthVersionLast="47" xr6:coauthVersionMax="47" xr10:uidLastSave="{00000000-0000-0000-0000-000000000000}"/>
  <bookViews>
    <workbookView xWindow="19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F32" i="1" s="1"/>
  <c r="G34" i="1"/>
  <c r="G32" i="1" s="1"/>
  <c r="H34" i="1"/>
  <c r="H32" i="1" s="1"/>
  <c r="D33" i="1"/>
  <c r="D31" i="1" s="1"/>
  <c r="C32" i="1" s="1"/>
  <c r="E33" i="1"/>
  <c r="E31" i="1" s="1"/>
  <c r="D32" i="1" s="1"/>
  <c r="F33" i="1"/>
  <c r="G33" i="1"/>
  <c r="G31" i="1" s="1"/>
  <c r="H33" i="1"/>
  <c r="C33" i="1"/>
  <c r="C31" i="1" s="1"/>
  <c r="F31" i="1" l="1"/>
  <c r="E32" i="1" s="1"/>
  <c r="H31" i="1"/>
</calcChain>
</file>

<file path=xl/sharedStrings.xml><?xml version="1.0" encoding="utf-8"?>
<sst xmlns="http://schemas.openxmlformats.org/spreadsheetml/2006/main" count="112" uniqueCount="110">
  <si>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</si>
  <si>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</si>
  <si>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</si>
  <si>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</si>
  <si>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</si>
  <si>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</si>
  <si>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</si>
  <si>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</si>
  <si>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</si>
  <si>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</si>
  <si>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</si>
  <si>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</si>
  <si>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</si>
  <si>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</si>
  <si>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</si>
  <si>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</si>
  <si>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</si>
  <si>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</si>
  <si>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</si>
  <si>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</si>
  <si>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</si>
  <si>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</si>
  <si>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</si>
  <si>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</si>
  <si>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</si>
  <si>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</si>
  <si>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</si>
  <si>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</si>
  <si>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</si>
  <si>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</si>
  <si>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</si>
  <si>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</si>
  <si>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</si>
  <si>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</si>
  <si>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</si>
  <si>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</si>
  <si>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</si>
  <si>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</si>
  <si>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</si>
  <si>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</si>
  <si>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</si>
  <si>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</si>
  <si>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</si>
  <si>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</si>
  <si>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</si>
  <si>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</si>
  <si>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</si>
  <si>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</si>
  <si>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</si>
  <si>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</si>
  <si>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</si>
  <si>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</si>
  <si>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</si>
  <si>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</si>
  <si>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</si>
  <si>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</si>
  <si>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</si>
  <si>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</si>
  <si>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</si>
  <si>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</si>
  <si>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</si>
  <si>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</si>
  <si>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</si>
  <si>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</si>
  <si>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</si>
  <si>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</si>
  <si>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</si>
  <si>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</si>
  <si>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</si>
  <si>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</si>
  <si>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</si>
  <si>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</si>
  <si>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</si>
  <si>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</si>
  <si>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</si>
  <si>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</si>
  <si>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</si>
  <si>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</si>
  <si>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</si>
  <si>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</si>
  <si>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</si>
  <si>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X3</t>
  </si>
  <si>
    <t>titanium</t>
  </si>
  <si>
    <t>press fit</t>
  </si>
  <si>
    <t>Frame Size</t>
  </si>
  <si>
    <t>XXS</t>
  </si>
  <si>
    <t>XL</t>
  </si>
  <si>
    <t>(50): 5’ to 5’-4”</t>
  </si>
  <si>
    <t>(52): 5’-4” to 5’-6”</t>
  </si>
  <si>
    <t>(54): 5’-6” to 5’-8”</t>
  </si>
  <si>
    <t>(56): 5’-10” to 6’-0”</t>
  </si>
  <si>
    <t>(58): 6’-2” to 6’-4”</t>
  </si>
  <si>
    <t>(60): 6’-4” to 6’-6”</t>
  </si>
  <si>
    <t>Seat Tube Length (center-to-top)</t>
  </si>
  <si>
    <t>Top Tube Length (horizontal)</t>
  </si>
  <si>
    <t>Head Tube Length*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</si>
  <si>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</si>
  <si>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</si>
  <si>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</si>
  <si>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</si>
  <si>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</si>
  <si>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</si>
  <si>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</si>
  <si>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a8:h34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</si>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</sst>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31" workbookViewId="0">
      <selection activeCell="B55" sqref="B55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80</v>
      </c>
    </row>
    <row r="2" spans="1:8" x14ac:dyDescent="0.3">
      <c r="A2" s="1" t="s">
        <v>1</v>
      </c>
      <c r="B2" s="1" t="s">
        <v>81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45879</v>
      </c>
    </row>
    <row r="5" spans="1:8" x14ac:dyDescent="0.3">
      <c r="A5" s="1" t="s">
        <v>4</v>
      </c>
      <c r="B5" s="1" t="s">
        <v>79</v>
      </c>
    </row>
    <row r="7" spans="1:8" x14ac:dyDescent="0.3">
      <c r="A7" s="1" t="s">
        <v>5</v>
      </c>
      <c r="B7" s="1" t="s">
        <v>103</v>
      </c>
    </row>
    <row r="8" spans="1:8" x14ac:dyDescent="0.3">
      <c r="A8" s="1" t="s">
        <v>6</v>
      </c>
      <c r="B8" s="3" t="s">
        <v>84</v>
      </c>
      <c r="C8" s="3" t="s">
        <v>85</v>
      </c>
      <c r="D8" s="3" t="s">
        <v>70</v>
      </c>
      <c r="E8" s="3" t="s">
        <v>71</v>
      </c>
      <c r="F8" s="3" t="s">
        <v>72</v>
      </c>
      <c r="G8" s="3" t="s">
        <v>73</v>
      </c>
      <c r="H8" s="3" t="s">
        <v>86</v>
      </c>
    </row>
    <row r="9" spans="1:8" x14ac:dyDescent="0.3">
      <c r="A9" s="1" t="s">
        <v>19</v>
      </c>
      <c r="B9" s="4" t="s">
        <v>77</v>
      </c>
      <c r="C9" s="4">
        <v>721</v>
      </c>
      <c r="D9" s="4">
        <v>739</v>
      </c>
      <c r="E9" s="4">
        <v>765</v>
      </c>
      <c r="F9" s="4">
        <v>793</v>
      </c>
      <c r="G9" s="4">
        <v>819</v>
      </c>
      <c r="H9" s="4">
        <v>836</v>
      </c>
    </row>
    <row r="10" spans="1:8" x14ac:dyDescent="0.3">
      <c r="A10" s="1" t="s">
        <v>8</v>
      </c>
      <c r="B10" s="4" t="s">
        <v>76</v>
      </c>
      <c r="C10" s="4">
        <v>74</v>
      </c>
      <c r="D10" s="4">
        <v>73.5</v>
      </c>
      <c r="E10" s="4">
        <v>73.5</v>
      </c>
      <c r="F10" s="4">
        <v>73.5</v>
      </c>
      <c r="G10" s="4">
        <v>73.5</v>
      </c>
      <c r="H10" s="4">
        <v>73.5</v>
      </c>
    </row>
    <row r="11" spans="1:8" x14ac:dyDescent="0.3">
      <c r="A11" s="1" t="s">
        <v>7</v>
      </c>
      <c r="B11" s="4" t="s">
        <v>93</v>
      </c>
      <c r="C11" s="4">
        <v>450</v>
      </c>
      <c r="D11" s="4">
        <v>470</v>
      </c>
      <c r="E11" s="4">
        <v>500</v>
      </c>
      <c r="F11" s="4">
        <v>530</v>
      </c>
      <c r="G11" s="4">
        <v>560</v>
      </c>
      <c r="H11" s="4">
        <v>580</v>
      </c>
    </row>
    <row r="12" spans="1:8" x14ac:dyDescent="0.3">
      <c r="A12" s="1" t="s">
        <v>9</v>
      </c>
      <c r="B12" s="4" t="s">
        <v>94</v>
      </c>
      <c r="C12" s="4">
        <v>505</v>
      </c>
      <c r="D12" s="4">
        <v>519</v>
      </c>
      <c r="E12" s="4">
        <v>536</v>
      </c>
      <c r="F12" s="4">
        <v>554</v>
      </c>
      <c r="G12" s="4">
        <v>578</v>
      </c>
      <c r="H12" s="4">
        <v>598</v>
      </c>
    </row>
    <row r="13" spans="1:8" x14ac:dyDescent="0.3">
      <c r="A13" s="1" t="s">
        <v>11</v>
      </c>
      <c r="B13" s="4" t="s">
        <v>75</v>
      </c>
      <c r="C13" s="4">
        <v>70.5</v>
      </c>
      <c r="D13" s="4">
        <v>71</v>
      </c>
      <c r="E13" s="4">
        <v>71.25</v>
      </c>
      <c r="F13" s="4">
        <v>71.5</v>
      </c>
      <c r="G13" s="4">
        <v>71.5</v>
      </c>
      <c r="H13" s="4">
        <v>71.5</v>
      </c>
    </row>
    <row r="14" spans="1:8" x14ac:dyDescent="0.3">
      <c r="A14" s="1" t="s">
        <v>10</v>
      </c>
      <c r="B14" s="4" t="s">
        <v>95</v>
      </c>
      <c r="C14" s="4">
        <v>100</v>
      </c>
      <c r="D14" s="4">
        <v>120</v>
      </c>
      <c r="E14" s="4">
        <v>140</v>
      </c>
      <c r="F14" s="4">
        <v>160</v>
      </c>
      <c r="G14" s="4">
        <v>180</v>
      </c>
      <c r="H14" s="4">
        <v>200</v>
      </c>
    </row>
    <row r="15" spans="1:8" x14ac:dyDescent="0.3">
      <c r="A15" s="1" t="s">
        <v>17</v>
      </c>
      <c r="B15" s="4" t="s">
        <v>96</v>
      </c>
      <c r="C15" s="4">
        <v>524</v>
      </c>
      <c r="D15" s="4">
        <v>545</v>
      </c>
      <c r="E15" s="4">
        <v>565</v>
      </c>
      <c r="F15" s="4">
        <v>585</v>
      </c>
      <c r="G15" s="4">
        <v>604</v>
      </c>
      <c r="H15" s="4">
        <v>623</v>
      </c>
    </row>
    <row r="16" spans="1:8" x14ac:dyDescent="0.3">
      <c r="A16" s="1" t="s">
        <v>18</v>
      </c>
      <c r="B16" s="4" t="s">
        <v>97</v>
      </c>
      <c r="C16" s="4">
        <v>356</v>
      </c>
      <c r="D16" s="4">
        <v>366</v>
      </c>
      <c r="E16" s="4">
        <v>377</v>
      </c>
      <c r="F16" s="4">
        <v>389</v>
      </c>
      <c r="G16" s="4">
        <v>407</v>
      </c>
      <c r="H16" s="4">
        <v>422</v>
      </c>
    </row>
    <row r="17" spans="1:8" x14ac:dyDescent="0.3">
      <c r="A17" s="1" t="s">
        <v>16</v>
      </c>
      <c r="B17" s="4" t="s">
        <v>98</v>
      </c>
      <c r="C17" s="4">
        <v>76</v>
      </c>
      <c r="D17" s="4">
        <v>76</v>
      </c>
      <c r="E17" s="4">
        <v>76</v>
      </c>
      <c r="F17" s="4">
        <v>76</v>
      </c>
      <c r="G17" s="4">
        <v>76</v>
      </c>
      <c r="H17" s="4">
        <v>76</v>
      </c>
    </row>
    <row r="18" spans="1:8" x14ac:dyDescent="0.3">
      <c r="A18" s="1" t="s">
        <v>12</v>
      </c>
      <c r="B18" s="4" t="s">
        <v>99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 x14ac:dyDescent="0.3">
      <c r="A19" s="1" t="s">
        <v>66</v>
      </c>
      <c r="B19" s="4" t="s">
        <v>100</v>
      </c>
      <c r="C19" s="4">
        <v>573</v>
      </c>
      <c r="D19" s="4">
        <v>586</v>
      </c>
      <c r="E19" s="4">
        <v>601</v>
      </c>
      <c r="F19" s="4">
        <v>617</v>
      </c>
      <c r="G19" s="4">
        <v>641</v>
      </c>
      <c r="H19" s="4">
        <v>662</v>
      </c>
    </row>
    <row r="20" spans="1:8" x14ac:dyDescent="0.3">
      <c r="A20" s="1" t="s">
        <v>13</v>
      </c>
      <c r="B20" s="4" t="s">
        <v>101</v>
      </c>
      <c r="C20" s="4">
        <v>74</v>
      </c>
      <c r="D20" s="4">
        <v>71</v>
      </c>
      <c r="E20" s="4">
        <v>67</v>
      </c>
      <c r="F20" s="4">
        <v>67</v>
      </c>
      <c r="G20" s="4">
        <v>67</v>
      </c>
      <c r="H20" s="4">
        <v>67</v>
      </c>
    </row>
    <row r="21" spans="1:8" x14ac:dyDescent="0.3">
      <c r="A21" s="1" t="s">
        <v>15</v>
      </c>
      <c r="B21" s="4" t="s">
        <v>102</v>
      </c>
      <c r="C21" s="4">
        <v>428</v>
      </c>
      <c r="D21" s="4">
        <v>428</v>
      </c>
      <c r="E21" s="4">
        <v>428</v>
      </c>
      <c r="F21" s="4">
        <v>428</v>
      </c>
      <c r="G21" s="4">
        <v>428</v>
      </c>
      <c r="H21" s="4">
        <v>428</v>
      </c>
    </row>
    <row r="22" spans="1:8" x14ac:dyDescent="0.3">
      <c r="A22" s="1" t="s">
        <v>14</v>
      </c>
      <c r="B22" s="4" t="s">
        <v>68</v>
      </c>
      <c r="C22" s="4">
        <v>996</v>
      </c>
      <c r="D22" s="4">
        <v>1009</v>
      </c>
      <c r="E22" s="4">
        <v>1024</v>
      </c>
      <c r="F22" s="4">
        <v>1040</v>
      </c>
      <c r="G22" s="4">
        <v>1065</v>
      </c>
      <c r="H22" s="4">
        <v>1085</v>
      </c>
    </row>
    <row r="23" spans="1:8" x14ac:dyDescent="0.3">
      <c r="A23" s="1" t="s">
        <v>24</v>
      </c>
      <c r="C23" s="1">
        <v>395</v>
      </c>
      <c r="D23" s="1">
        <v>395</v>
      </c>
      <c r="E23" s="1">
        <v>395</v>
      </c>
      <c r="F23" s="1">
        <v>395</v>
      </c>
      <c r="G23" s="1">
        <v>395</v>
      </c>
      <c r="H23" s="1">
        <v>395</v>
      </c>
    </row>
    <row r="24" spans="1:8" x14ac:dyDescent="0.3">
      <c r="A24" s="1" t="s">
        <v>69</v>
      </c>
      <c r="E24" s="1">
        <v>1375</v>
      </c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</row>
    <row r="31" spans="1:8" x14ac:dyDescent="0.3">
      <c r="A31" s="1" t="s">
        <v>27</v>
      </c>
      <c r="C31" s="1">
        <f>C33</f>
        <v>152.4</v>
      </c>
      <c r="D31" s="1">
        <f>AVERAGE(D33,C34)</f>
        <v>162.56</v>
      </c>
      <c r="E31" s="1">
        <f>AVERAGE(E33,D34)</f>
        <v>167.64000000000001</v>
      </c>
      <c r="F31" s="1">
        <f>AVERAGE(F33,E34)</f>
        <v>175.26</v>
      </c>
      <c r="G31" s="1">
        <f>AVERAGE(G33,F34)</f>
        <v>185.42000000000002</v>
      </c>
      <c r="H31" s="1">
        <f>AVERAGE(H33,G34)</f>
        <v>193.04</v>
      </c>
    </row>
    <row r="32" spans="1:8" x14ac:dyDescent="0.3">
      <c r="A32" s="1" t="s">
        <v>28</v>
      </c>
      <c r="C32" s="1">
        <f>D31</f>
        <v>162.56</v>
      </c>
      <c r="D32" s="1">
        <f t="shared" ref="D32" si="0">E31</f>
        <v>167.64000000000001</v>
      </c>
      <c r="E32" s="1">
        <f t="shared" ref="E32" si="1">F31</f>
        <v>175.26</v>
      </c>
      <c r="F32" s="1">
        <f>F34</f>
        <v>182.88</v>
      </c>
      <c r="G32" s="1">
        <f>G34</f>
        <v>193.04</v>
      </c>
      <c r="H32" s="1">
        <f>H34</f>
        <v>198.12</v>
      </c>
    </row>
    <row r="33" spans="1:8" x14ac:dyDescent="0.3">
      <c r="A33" s="1" t="s">
        <v>74</v>
      </c>
      <c r="C33" s="1">
        <f>C35*2.54</f>
        <v>152.4</v>
      </c>
      <c r="D33" s="1">
        <f t="shared" ref="D33:H34" si="2">D35*2.54</f>
        <v>162.56</v>
      </c>
      <c r="E33" s="1">
        <f t="shared" si="2"/>
        <v>167.64000000000001</v>
      </c>
      <c r="F33" s="1">
        <f t="shared" si="2"/>
        <v>177.8</v>
      </c>
      <c r="G33" s="1">
        <f t="shared" si="2"/>
        <v>187.96</v>
      </c>
      <c r="H33" s="1">
        <f t="shared" si="2"/>
        <v>193.04</v>
      </c>
    </row>
    <row r="34" spans="1:8" x14ac:dyDescent="0.3">
      <c r="A34" s="1" t="s">
        <v>78</v>
      </c>
      <c r="C34" s="1">
        <f>C36*2.54</f>
        <v>162.56</v>
      </c>
      <c r="D34" s="1">
        <f t="shared" si="2"/>
        <v>167.64000000000001</v>
      </c>
      <c r="E34" s="1">
        <f t="shared" si="2"/>
        <v>172.72</v>
      </c>
      <c r="F34" s="1">
        <f t="shared" si="2"/>
        <v>182.88</v>
      </c>
      <c r="G34" s="1">
        <f t="shared" si="2"/>
        <v>193.04</v>
      </c>
      <c r="H34" s="1">
        <f t="shared" si="2"/>
        <v>198.12</v>
      </c>
    </row>
    <row r="35" spans="1:8" x14ac:dyDescent="0.3">
      <c r="C35" s="5">
        <v>60</v>
      </c>
      <c r="D35" s="5">
        <v>64</v>
      </c>
      <c r="E35" s="5">
        <v>66</v>
      </c>
      <c r="F35" s="5">
        <v>70</v>
      </c>
      <c r="G35" s="1">
        <v>74</v>
      </c>
      <c r="H35" s="1">
        <v>76</v>
      </c>
    </row>
    <row r="36" spans="1:8" x14ac:dyDescent="0.3">
      <c r="A36" s="1" t="s">
        <v>29</v>
      </c>
      <c r="B36" s="1" t="s">
        <v>30</v>
      </c>
      <c r="C36" s="1">
        <v>64</v>
      </c>
      <c r="D36" s="1">
        <v>66</v>
      </c>
      <c r="E36" s="1">
        <v>68</v>
      </c>
      <c r="F36" s="1">
        <v>72</v>
      </c>
      <c r="G36" s="1">
        <v>76</v>
      </c>
      <c r="H36" s="1">
        <v>78</v>
      </c>
    </row>
    <row r="37" spans="1:8" x14ac:dyDescent="0.3">
      <c r="A37" s="1" t="s">
        <v>104</v>
      </c>
      <c r="B37" s="1" t="s">
        <v>105</v>
      </c>
      <c r="C37" s="4" t="s">
        <v>87</v>
      </c>
      <c r="D37" s="4" t="s">
        <v>88</v>
      </c>
      <c r="E37" s="4" t="s">
        <v>89</v>
      </c>
      <c r="F37" s="4" t="s">
        <v>90</v>
      </c>
      <c r="G37" s="4" t="s">
        <v>91</v>
      </c>
      <c r="H37" s="4" t="s">
        <v>92</v>
      </c>
    </row>
    <row r="38" spans="1:8" x14ac:dyDescent="0.3">
      <c r="A38" s="1" t="s">
        <v>106</v>
      </c>
      <c r="B38" s="1" t="s">
        <v>107</v>
      </c>
    </row>
    <row r="39" spans="1:8" x14ac:dyDescent="0.3">
      <c r="A39" s="1" t="s">
        <v>108</v>
      </c>
      <c r="B39" s="1" t="s">
        <v>109</v>
      </c>
    </row>
    <row r="40" spans="1:8" x14ac:dyDescent="0.3">
      <c r="A40" s="1" t="s">
        <v>31</v>
      </c>
      <c r="B40" s="1" t="s">
        <v>82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42</v>
      </c>
      <c r="B51" s="1" t="s">
        <v>83</v>
      </c>
    </row>
    <row r="52" spans="1:2" x14ac:dyDescent="0.3">
      <c r="A52" s="1" t="s">
        <v>43</v>
      </c>
    </row>
    <row r="53" spans="1:2" x14ac:dyDescent="0.3">
      <c r="A53" s="1" t="s">
        <v>44</v>
      </c>
    </row>
    <row r="54" spans="1:2" x14ac:dyDescent="0.3">
      <c r="A54" s="1" t="s">
        <v>45</v>
      </c>
      <c r="B54" s="1" t="s">
        <v>67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</row>
    <row r="66" spans="1:2" x14ac:dyDescent="0.3">
      <c r="A66" s="1" t="s">
        <v>57</v>
      </c>
    </row>
    <row r="67" spans="1:2" x14ac:dyDescent="0.3">
      <c r="A67" s="1" t="s">
        <v>58</v>
      </c>
      <c r="B67" s="1" t="s">
        <v>67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  <c r="B71" s="1">
        <v>3550</v>
      </c>
    </row>
    <row r="72" spans="1:2" x14ac:dyDescent="0.3">
      <c r="A72" s="1" t="s">
        <v>63</v>
      </c>
      <c r="B72" s="1">
        <v>4600</v>
      </c>
    </row>
    <row r="73" spans="1:2" x14ac:dyDescent="0.3">
      <c r="A73" s="1" t="s">
        <v>64</v>
      </c>
    </row>
    <row r="74" spans="1:2" x14ac:dyDescent="0.3">
      <c r="A74" s="1" t="s">
        <v>65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2025-08-19T01:36:21Z</dcterms:modified>
</cp:coreProperties>
</file>