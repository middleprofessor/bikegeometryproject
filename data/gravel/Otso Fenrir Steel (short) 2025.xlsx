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18AA5872-FBB4-9644-A0D8-F856EDC2DF5B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1" l="1"/>
  <c r="E9" i="1"/>
  <c r="F9" i="1"/>
  <c r="G9" i="1"/>
  <c r="D10" i="1"/>
  <c r="D11" i="1" s="1"/>
  <c r="E10" i="1"/>
  <c r="E11" i="1" s="1"/>
  <c r="F10" i="1"/>
  <c r="F11" i="1" s="1"/>
  <c r="G10" i="1"/>
  <c r="G11" i="1" s="1"/>
  <c r="D13" i="1"/>
  <c r="E13" i="1"/>
  <c r="F13" i="1"/>
  <c r="G13" i="1"/>
  <c r="D14" i="1"/>
  <c r="E14" i="1"/>
  <c r="F14" i="1"/>
  <c r="G14" i="1"/>
  <c r="D15" i="1"/>
  <c r="E15" i="1"/>
  <c r="F15" i="1"/>
  <c r="G15" i="1"/>
  <c r="D16" i="1"/>
  <c r="E16" i="1"/>
  <c r="F16" i="1"/>
  <c r="G16" i="1"/>
  <c r="D17" i="1"/>
  <c r="E17" i="1"/>
  <c r="F17" i="1"/>
  <c r="G17" i="1"/>
  <c r="D18" i="1"/>
  <c r="E18" i="1"/>
  <c r="F18" i="1"/>
  <c r="G18" i="1"/>
  <c r="D19" i="1"/>
  <c r="E19" i="1"/>
  <c r="F19" i="1"/>
  <c r="G19" i="1"/>
  <c r="D20" i="1"/>
  <c r="E20" i="1"/>
  <c r="F20" i="1"/>
  <c r="G20" i="1"/>
  <c r="D21" i="1"/>
  <c r="E21" i="1"/>
  <c r="F21" i="1"/>
  <c r="G21" i="1"/>
  <c r="D22" i="1"/>
  <c r="E22" i="1"/>
  <c r="F22" i="1"/>
  <c r="G22" i="1"/>
  <c r="D23" i="1"/>
  <c r="E23" i="1"/>
  <c r="F23" i="1"/>
  <c r="G23" i="1"/>
  <c r="D24" i="1"/>
  <c r="E24" i="1"/>
  <c r="F24" i="1"/>
  <c r="G24" i="1"/>
  <c r="D25" i="1"/>
  <c r="E25" i="1"/>
  <c r="F25" i="1"/>
  <c r="G25" i="1"/>
  <c r="C21" i="1"/>
  <c r="C22" i="1"/>
  <c r="C23" i="1"/>
  <c r="C24" i="1"/>
  <c r="C25" i="1"/>
  <c r="C20" i="1"/>
  <c r="C19" i="1"/>
  <c r="C18" i="1"/>
  <c r="C17" i="1"/>
  <c r="C16" i="1"/>
  <c r="C14" i="1"/>
  <c r="C15" i="1" s="1"/>
  <c r="C13" i="1"/>
  <c r="C10" i="1"/>
  <c r="C11" i="1" s="1"/>
  <c r="C9" i="1"/>
  <c r="G36" i="1"/>
  <c r="F36" i="1"/>
  <c r="E36" i="1"/>
  <c r="D36" i="1"/>
  <c r="C36" i="1"/>
  <c r="G35" i="1"/>
  <c r="F35" i="1"/>
  <c r="E35" i="1"/>
  <c r="D35" i="1"/>
  <c r="C35" i="1"/>
</calcChain>
</file>

<file path=xl/sharedStrings.xml><?xml version="1.0" encoding="utf-8"?>
<sst xmlns="http://schemas.openxmlformats.org/spreadsheetml/2006/main" count="175" uniqueCount="133">
  <si>
    <t>brand</t>
  </si>
  <si>
    <t>Otso</t>
  </si>
  <si>
    <t>model</t>
  </si>
  <si>
    <t>model_year</t>
  </si>
  <si>
    <t>input_date</t>
  </si>
  <si>
    <t>url</t>
  </si>
  <si>
    <t>data_range</t>
  </si>
  <si>
    <t>frame_size</t>
  </si>
  <si>
    <t>XS</t>
  </si>
  <si>
    <t>S</t>
  </si>
  <si>
    <t>M</t>
  </si>
  <si>
    <t>L</t>
  </si>
  <si>
    <t>XL</t>
  </si>
  <si>
    <t>top_tube_effective_length</t>
  </si>
  <si>
    <t>Effective top tube</t>
  </si>
  <si>
    <t>head_tube_angle</t>
  </si>
  <si>
    <t>Nominal head tube angle</t>
  </si>
  <si>
    <t>delta_head_angle</t>
  </si>
  <si>
    <t>head_tube_length</t>
  </si>
  <si>
    <t>Head tube length</t>
  </si>
  <si>
    <t>seat_tube_angle</t>
  </si>
  <si>
    <t>Nominal seat tube angle</t>
  </si>
  <si>
    <t>seat_tube_length</t>
  </si>
  <si>
    <t>Seat tube length</t>
  </si>
  <si>
    <t>bottom_bracket_drop</t>
  </si>
  <si>
    <t>Bottom bracket drop</t>
  </si>
  <si>
    <t>Chainstay length</t>
  </si>
  <si>
    <t>wheelbase</t>
  </si>
  <si>
    <t>Wheelbase</t>
  </si>
  <si>
    <t>trail</t>
  </si>
  <si>
    <t>Trail</t>
  </si>
  <si>
    <t>fork_offset_rake</t>
  </si>
  <si>
    <t>Fork offset</t>
  </si>
  <si>
    <t>axle_crown</t>
  </si>
  <si>
    <t>Rigid fork axle to crown length</t>
  </si>
  <si>
    <t>stack</t>
  </si>
  <si>
    <t>Stack</t>
  </si>
  <si>
    <t>reach</t>
  </si>
  <si>
    <t>Reach</t>
  </si>
  <si>
    <t>standover</t>
  </si>
  <si>
    <t>Standover</t>
  </si>
  <si>
    <t>chainstay_length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</si>
  <si>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</si>
  <si>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</si>
  <si>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</si>
  <si>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</si>
  <si>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</si>
  <si>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</si>
  <si>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</si>
  <si>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</si>
  <si>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</si>
  <si>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</si>
  <si>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</si>
  <si>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</si>
  <si>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</si>
  <si>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</si>
  <si>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</si>
  <si>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</si>
  <si>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</si>
  <si>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</si>
  <si>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</si>
  <si>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</si>
  <si>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</si>
  <si>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</si>
  <si>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</si>
  <si>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</si>
  <si>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</si>
  <si>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</si>
  <si>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</si>
  <si>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</si>
  <si>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</si>
  <si>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</si>
  <si>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</si>
  <si>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</si>
  <si>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</si>
  <si>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</si>
  <si>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</si>
  <si>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</si>
  <si>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</si>
  <si>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</si>
  <si>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</si>
  <si>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</si>
  <si>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</si>
  <si>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</si>
  <si>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</si>
  <si>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</si>
  <si>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</si>
  <si>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</si>
  <si>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</si>
  <si>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Fenrir Stainless (short)</t>
  </si>
  <si>
    <t>no</t>
  </si>
  <si>
    <t>yes</t>
  </si>
  <si>
    <t>https://otsocycles.com/collections/fenrir-stainless</t>
  </si>
  <si>
    <t>class</t>
  </si>
  <si>
    <t>hardtail</t>
  </si>
  <si>
    <t>handlebar</t>
  </si>
  <si>
    <t>fork</t>
  </si>
  <si>
    <t>rigid</t>
  </si>
  <si>
    <t>both</t>
  </si>
  <si>
    <t>https://otsocycles.com/cdn/shop/files/fenrir_stainless_slider_1.jpg?v=1725541452&amp;width=1800</t>
  </si>
  <si>
    <t>USD</t>
  </si>
  <si>
    <t>location</t>
  </si>
  <si>
    <t>Burnsville, Minnesota, USA</t>
  </si>
  <si>
    <t>Measurement (units)</t>
  </si>
  <si>
    <t>nominal_head_tube_angle</t>
  </si>
  <si>
    <t>nominal_seat_tube_angle</t>
  </si>
  <si>
    <t>68–72</t>
  </si>
  <si>
    <t>430–450</t>
  </si>
  <si>
    <t>1090–1110</t>
  </si>
  <si>
    <t>1110–1120</t>
  </si>
  <si>
    <t>1130–1150</t>
  </si>
  <si>
    <t>1150–1170</t>
  </si>
  <si>
    <t>1170–1190</t>
  </si>
  <si>
    <t>4'10"–5'4"</t>
  </si>
  <si>
    <t>Recommended rider height</t>
  </si>
  <si>
    <t>5'3"–5'7"</t>
  </si>
  <si>
    <t>5'7"–5'11"</t>
  </si>
  <si>
    <t>5'11"–6'3"</t>
  </si>
  <si>
    <t>6'3"–6'6"</t>
  </si>
  <si>
    <t>Tuning Chip–induced head/seat tube angle change from middle position</t>
  </si>
  <si>
    <t>±0.25</t>
  </si>
  <si>
    <t>threaded 73</t>
  </si>
  <si>
    <t>2.6 at long</t>
  </si>
  <si>
    <t>2.8 at long</t>
  </si>
  <si>
    <t>head_tube_d</t>
  </si>
  <si>
    <t>headset_upper</t>
  </si>
  <si>
    <t>headset_lower</t>
  </si>
  <si>
    <t>fork_steerer</t>
  </si>
  <si>
    <t>fork_steerer_d</t>
  </si>
  <si>
    <t>fork_material</t>
  </si>
  <si>
    <t>a8:g36</t>
  </si>
  <si>
    <t>fork_travel</t>
  </si>
  <si>
    <t>fork_sag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</si>
</sst>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4"/>
      <color rgb="FF000000"/>
      <name val="Futura"/>
    </font>
    <font>
      <sz val="14"/>
      <color rgb="FF000000"/>
      <name val="Futura"/>
      <family val="2"/>
    </font>
    <font>
      <sz val="16"/>
      <color rgb="FF171717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83"/>
  <sheetViews>
    <sheetView tabSelected="1" topLeftCell="A3" workbookViewId="0">
      <selection activeCell="H28" sqref="H28"/>
    </sheetView>
  </sheetViews>
  <sheetFormatPr baseColWidth="10" defaultRowHeight="20" x14ac:dyDescent="0.3"/>
  <cols>
    <col min="1" max="2" width="19.6640625" customWidth="1"/>
  </cols>
  <sheetData>
    <row r="1" spans="1:13" x14ac:dyDescent="0.3">
      <c r="A1" t="s">
        <v>0</v>
      </c>
      <c r="B1" t="s">
        <v>1</v>
      </c>
    </row>
    <row r="2" spans="1:13" x14ac:dyDescent="0.3">
      <c r="A2" t="s">
        <v>2</v>
      </c>
      <c r="B2" s="1" t="s">
        <v>89</v>
      </c>
    </row>
    <row r="3" spans="1:13" x14ac:dyDescent="0.3">
      <c r="A3" t="s">
        <v>3</v>
      </c>
      <c r="B3">
        <v>2025</v>
      </c>
    </row>
    <row r="4" spans="1:13" x14ac:dyDescent="0.3">
      <c r="A4" t="s">
        <v>4</v>
      </c>
      <c r="B4" s="3">
        <v>45880</v>
      </c>
    </row>
    <row r="5" spans="1:13" x14ac:dyDescent="0.3">
      <c r="A5" t="s">
        <v>5</v>
      </c>
      <c r="B5" t="s">
        <v>92</v>
      </c>
    </row>
    <row r="6" spans="1:13" x14ac:dyDescent="0.3">
      <c r="B6" t="s">
        <v>99</v>
      </c>
    </row>
    <row r="7" spans="1:13" x14ac:dyDescent="0.3">
      <c r="A7" t="s">
        <v>6</v>
      </c>
      <c r="B7" s="1" t="s">
        <v>130</v>
      </c>
    </row>
    <row r="8" spans="1:13" x14ac:dyDescent="0.3">
      <c r="A8" t="s">
        <v>7</v>
      </c>
      <c r="B8" t="s">
        <v>103</v>
      </c>
      <c r="C8" t="s">
        <v>8</v>
      </c>
      <c r="D8" t="s">
        <v>9</v>
      </c>
      <c r="E8" t="s">
        <v>10</v>
      </c>
      <c r="F8" t="s">
        <v>11</v>
      </c>
      <c r="G8" t="s">
        <v>12</v>
      </c>
      <c r="H8" t="s">
        <v>103</v>
      </c>
      <c r="I8" t="s">
        <v>8</v>
      </c>
      <c r="J8" t="s">
        <v>9</v>
      </c>
      <c r="K8" t="s">
        <v>10</v>
      </c>
      <c r="L8" t="s">
        <v>11</v>
      </c>
      <c r="M8" t="s">
        <v>12</v>
      </c>
    </row>
    <row r="9" spans="1:13" x14ac:dyDescent="0.3">
      <c r="A9" t="s">
        <v>13</v>
      </c>
      <c r="B9" t="s">
        <v>14</v>
      </c>
      <c r="C9">
        <f>I9</f>
        <v>547</v>
      </c>
      <c r="D9">
        <f t="shared" ref="D9:G10" si="0">J9</f>
        <v>565</v>
      </c>
      <c r="E9">
        <f t="shared" si="0"/>
        <v>583</v>
      </c>
      <c r="F9">
        <f t="shared" si="0"/>
        <v>600</v>
      </c>
      <c r="G9">
        <f t="shared" si="0"/>
        <v>618</v>
      </c>
      <c r="H9" t="s">
        <v>14</v>
      </c>
      <c r="I9">
        <v>547</v>
      </c>
      <c r="J9">
        <v>565</v>
      </c>
      <c r="K9">
        <v>583</v>
      </c>
      <c r="L9">
        <v>600</v>
      </c>
      <c r="M9">
        <v>618</v>
      </c>
    </row>
    <row r="10" spans="1:13" x14ac:dyDescent="0.3">
      <c r="A10" s="1" t="s">
        <v>104</v>
      </c>
      <c r="B10" t="s">
        <v>16</v>
      </c>
      <c r="C10">
        <f>I10</f>
        <v>68</v>
      </c>
      <c r="D10">
        <f t="shared" si="0"/>
        <v>68</v>
      </c>
      <c r="E10">
        <f t="shared" si="0"/>
        <v>68</v>
      </c>
      <c r="F10">
        <f t="shared" si="0"/>
        <v>68</v>
      </c>
      <c r="G10">
        <f t="shared" si="0"/>
        <v>68</v>
      </c>
      <c r="H10" t="s">
        <v>16</v>
      </c>
      <c r="I10">
        <v>68</v>
      </c>
      <c r="J10">
        <v>68</v>
      </c>
      <c r="K10">
        <v>68</v>
      </c>
      <c r="L10">
        <v>68</v>
      </c>
      <c r="M10">
        <v>68</v>
      </c>
    </row>
    <row r="11" spans="1:13" x14ac:dyDescent="0.3">
      <c r="A11" s="1" t="s">
        <v>15</v>
      </c>
      <c r="C11">
        <f>C10+C12</f>
        <v>68.25</v>
      </c>
      <c r="D11">
        <f t="shared" ref="D11:G11" si="1">D10+D12</f>
        <v>68.25</v>
      </c>
      <c r="E11">
        <f t="shared" si="1"/>
        <v>68.25</v>
      </c>
      <c r="F11">
        <f t="shared" si="1"/>
        <v>68.25</v>
      </c>
      <c r="G11">
        <f t="shared" si="1"/>
        <v>68.25</v>
      </c>
    </row>
    <row r="12" spans="1:13" x14ac:dyDescent="0.3">
      <c r="A12" t="s">
        <v>17</v>
      </c>
      <c r="B12" s="1" t="s">
        <v>119</v>
      </c>
      <c r="C12">
        <v>0.25</v>
      </c>
      <c r="D12">
        <v>0.25</v>
      </c>
      <c r="E12">
        <v>0.25</v>
      </c>
      <c r="F12">
        <v>0.25</v>
      </c>
      <c r="G12">
        <v>0.25</v>
      </c>
      <c r="H12" s="1" t="s">
        <v>119</v>
      </c>
      <c r="I12" s="1" t="s">
        <v>120</v>
      </c>
      <c r="J12" s="1" t="s">
        <v>120</v>
      </c>
      <c r="K12" s="1" t="s">
        <v>120</v>
      </c>
      <c r="L12" s="1" t="s">
        <v>120</v>
      </c>
      <c r="M12" t="s">
        <v>120</v>
      </c>
    </row>
    <row r="13" spans="1:13" x14ac:dyDescent="0.3">
      <c r="A13" t="s">
        <v>18</v>
      </c>
      <c r="B13" t="s">
        <v>19</v>
      </c>
      <c r="C13">
        <f>I13</f>
        <v>90</v>
      </c>
      <c r="D13">
        <f t="shared" ref="D13:G14" si="2">J13</f>
        <v>100</v>
      </c>
      <c r="E13">
        <f t="shared" si="2"/>
        <v>120</v>
      </c>
      <c r="F13">
        <f t="shared" si="2"/>
        <v>140</v>
      </c>
      <c r="G13">
        <f t="shared" si="2"/>
        <v>160</v>
      </c>
      <c r="H13" t="s">
        <v>19</v>
      </c>
      <c r="I13">
        <v>90</v>
      </c>
      <c r="J13">
        <v>100</v>
      </c>
      <c r="K13">
        <v>120</v>
      </c>
      <c r="L13">
        <v>140</v>
      </c>
      <c r="M13">
        <v>160</v>
      </c>
    </row>
    <row r="14" spans="1:13" x14ac:dyDescent="0.3">
      <c r="A14" s="1" t="s">
        <v>105</v>
      </c>
      <c r="B14" t="s">
        <v>21</v>
      </c>
      <c r="C14">
        <f>I14</f>
        <v>75</v>
      </c>
      <c r="D14">
        <f t="shared" si="2"/>
        <v>75</v>
      </c>
      <c r="E14">
        <f t="shared" si="2"/>
        <v>75</v>
      </c>
      <c r="F14">
        <f t="shared" si="2"/>
        <v>75</v>
      </c>
      <c r="G14">
        <f t="shared" si="2"/>
        <v>75</v>
      </c>
      <c r="H14" t="s">
        <v>21</v>
      </c>
      <c r="I14">
        <v>75</v>
      </c>
      <c r="J14">
        <v>75</v>
      </c>
      <c r="K14">
        <v>75</v>
      </c>
      <c r="L14">
        <v>75</v>
      </c>
      <c r="M14">
        <v>75</v>
      </c>
    </row>
    <row r="15" spans="1:13" x14ac:dyDescent="0.3">
      <c r="A15" t="s">
        <v>20</v>
      </c>
      <c r="C15">
        <f>C14+C12</f>
        <v>75.25</v>
      </c>
      <c r="D15">
        <f t="shared" ref="D15:G15" si="3">D14+D12</f>
        <v>75.25</v>
      </c>
      <c r="E15">
        <f t="shared" si="3"/>
        <v>75.25</v>
      </c>
      <c r="F15">
        <f t="shared" si="3"/>
        <v>75.25</v>
      </c>
      <c r="G15">
        <f t="shared" si="3"/>
        <v>75.25</v>
      </c>
    </row>
    <row r="16" spans="1:13" x14ac:dyDescent="0.3">
      <c r="A16" t="s">
        <v>22</v>
      </c>
      <c r="B16" t="s">
        <v>23</v>
      </c>
      <c r="C16">
        <f>I16</f>
        <v>360</v>
      </c>
      <c r="D16">
        <f t="shared" ref="D16:G16" si="4">J16</f>
        <v>400</v>
      </c>
      <c r="E16">
        <f t="shared" si="4"/>
        <v>450</v>
      </c>
      <c r="F16">
        <f t="shared" si="4"/>
        <v>490</v>
      </c>
      <c r="G16">
        <f t="shared" si="4"/>
        <v>530</v>
      </c>
      <c r="H16" t="s">
        <v>23</v>
      </c>
      <c r="I16">
        <v>360</v>
      </c>
      <c r="J16">
        <v>400</v>
      </c>
      <c r="K16">
        <v>450</v>
      </c>
      <c r="L16">
        <v>490</v>
      </c>
      <c r="M16">
        <v>530</v>
      </c>
    </row>
    <row r="17" spans="1:13" x14ac:dyDescent="0.3">
      <c r="A17" t="s">
        <v>24</v>
      </c>
      <c r="B17" t="s">
        <v>25</v>
      </c>
      <c r="C17">
        <f>VALUE(LEFT(I17,2))</f>
        <v>68</v>
      </c>
      <c r="D17">
        <f t="shared" ref="D17:G17" si="5">VALUE(LEFT(J17,2))</f>
        <v>68</v>
      </c>
      <c r="E17">
        <f t="shared" si="5"/>
        <v>68</v>
      </c>
      <c r="F17">
        <f t="shared" si="5"/>
        <v>68</v>
      </c>
      <c r="G17">
        <f t="shared" si="5"/>
        <v>68</v>
      </c>
      <c r="H17" t="s">
        <v>25</v>
      </c>
      <c r="I17" t="s">
        <v>106</v>
      </c>
      <c r="J17" t="s">
        <v>106</v>
      </c>
      <c r="K17" t="s">
        <v>106</v>
      </c>
      <c r="L17" t="s">
        <v>106</v>
      </c>
      <c r="M17" t="s">
        <v>106</v>
      </c>
    </row>
    <row r="18" spans="1:13" x14ac:dyDescent="0.3">
      <c r="A18" t="s">
        <v>41</v>
      </c>
      <c r="B18" t="s">
        <v>26</v>
      </c>
      <c r="C18">
        <f>VALUE(LEFT(I18,3))</f>
        <v>430</v>
      </c>
      <c r="D18">
        <f t="shared" ref="D18:G18" si="6">VALUE(LEFT(J18,3))</f>
        <v>430</v>
      </c>
      <c r="E18">
        <f t="shared" si="6"/>
        <v>430</v>
      </c>
      <c r="F18">
        <f t="shared" si="6"/>
        <v>430</v>
      </c>
      <c r="G18">
        <f t="shared" si="6"/>
        <v>430</v>
      </c>
      <c r="H18" t="s">
        <v>26</v>
      </c>
      <c r="I18" t="s">
        <v>107</v>
      </c>
      <c r="J18" t="s">
        <v>107</v>
      </c>
      <c r="K18" t="s">
        <v>107</v>
      </c>
      <c r="L18" t="s">
        <v>107</v>
      </c>
      <c r="M18" t="s">
        <v>107</v>
      </c>
    </row>
    <row r="19" spans="1:13" x14ac:dyDescent="0.3">
      <c r="A19" t="s">
        <v>27</v>
      </c>
      <c r="B19" t="s">
        <v>28</v>
      </c>
      <c r="C19">
        <f>VALUE(LEFT(I19,4))</f>
        <v>1090</v>
      </c>
      <c r="D19">
        <f t="shared" ref="D19:G19" si="7">VALUE(LEFT(J19,4))</f>
        <v>1110</v>
      </c>
      <c r="E19">
        <f t="shared" si="7"/>
        <v>1130</v>
      </c>
      <c r="F19">
        <f t="shared" si="7"/>
        <v>1150</v>
      </c>
      <c r="G19">
        <f t="shared" si="7"/>
        <v>1170</v>
      </c>
      <c r="H19" t="s">
        <v>28</v>
      </c>
      <c r="I19" t="s">
        <v>108</v>
      </c>
      <c r="J19" t="s">
        <v>109</v>
      </c>
      <c r="K19" t="s">
        <v>110</v>
      </c>
      <c r="L19" t="s">
        <v>111</v>
      </c>
      <c r="M19" t="s">
        <v>112</v>
      </c>
    </row>
    <row r="20" spans="1:13" x14ac:dyDescent="0.3">
      <c r="A20" t="s">
        <v>29</v>
      </c>
      <c r="B20" t="s">
        <v>30</v>
      </c>
      <c r="C20">
        <f>I20</f>
        <v>88</v>
      </c>
      <c r="D20">
        <f t="shared" ref="D20:G25" si="8">J20</f>
        <v>88</v>
      </c>
      <c r="E20">
        <f t="shared" si="8"/>
        <v>88</v>
      </c>
      <c r="F20">
        <f t="shared" si="8"/>
        <v>88</v>
      </c>
      <c r="G20">
        <f t="shared" si="8"/>
        <v>88</v>
      </c>
      <c r="H20" t="s">
        <v>30</v>
      </c>
      <c r="I20">
        <v>88</v>
      </c>
      <c r="J20">
        <v>88</v>
      </c>
      <c r="K20">
        <v>88</v>
      </c>
      <c r="L20">
        <v>88</v>
      </c>
      <c r="M20">
        <v>88</v>
      </c>
    </row>
    <row r="21" spans="1:13" x14ac:dyDescent="0.3">
      <c r="A21" t="s">
        <v>31</v>
      </c>
      <c r="B21" t="s">
        <v>32</v>
      </c>
      <c r="C21">
        <f t="shared" ref="C21:C25" si="9">I21</f>
        <v>51</v>
      </c>
      <c r="D21">
        <f t="shared" si="8"/>
        <v>51</v>
      </c>
      <c r="E21">
        <f t="shared" si="8"/>
        <v>51</v>
      </c>
      <c r="F21">
        <f t="shared" si="8"/>
        <v>51</v>
      </c>
      <c r="G21">
        <f t="shared" si="8"/>
        <v>51</v>
      </c>
      <c r="H21" t="s">
        <v>32</v>
      </c>
      <c r="I21">
        <v>51</v>
      </c>
      <c r="J21">
        <v>51</v>
      </c>
      <c r="K21">
        <v>51</v>
      </c>
      <c r="L21">
        <v>51</v>
      </c>
      <c r="M21">
        <v>51</v>
      </c>
    </row>
    <row r="22" spans="1:13" x14ac:dyDescent="0.3">
      <c r="A22" s="1" t="s">
        <v>33</v>
      </c>
      <c r="B22" t="s">
        <v>34</v>
      </c>
      <c r="C22">
        <f t="shared" si="9"/>
        <v>495</v>
      </c>
      <c r="D22">
        <f t="shared" si="8"/>
        <v>495</v>
      </c>
      <c r="E22">
        <f t="shared" si="8"/>
        <v>495</v>
      </c>
      <c r="F22">
        <f t="shared" si="8"/>
        <v>495</v>
      </c>
      <c r="G22">
        <f t="shared" si="8"/>
        <v>495</v>
      </c>
      <c r="H22" t="s">
        <v>34</v>
      </c>
      <c r="I22">
        <v>495</v>
      </c>
      <c r="J22">
        <v>495</v>
      </c>
      <c r="K22">
        <v>495</v>
      </c>
      <c r="L22">
        <v>495</v>
      </c>
      <c r="M22">
        <v>495</v>
      </c>
    </row>
    <row r="23" spans="1:13" x14ac:dyDescent="0.3">
      <c r="A23" t="s">
        <v>35</v>
      </c>
      <c r="B23" t="s">
        <v>36</v>
      </c>
      <c r="C23">
        <f t="shared" si="9"/>
        <v>595</v>
      </c>
      <c r="D23">
        <f t="shared" si="8"/>
        <v>605</v>
      </c>
      <c r="E23">
        <f t="shared" si="8"/>
        <v>623</v>
      </c>
      <c r="F23">
        <f t="shared" si="8"/>
        <v>642</v>
      </c>
      <c r="G23">
        <f t="shared" si="8"/>
        <v>660</v>
      </c>
      <c r="H23" t="s">
        <v>36</v>
      </c>
      <c r="I23">
        <v>595</v>
      </c>
      <c r="J23">
        <v>605</v>
      </c>
      <c r="K23">
        <v>623</v>
      </c>
      <c r="L23">
        <v>642</v>
      </c>
      <c r="M23">
        <v>660</v>
      </c>
    </row>
    <row r="24" spans="1:13" x14ac:dyDescent="0.3">
      <c r="A24" t="s">
        <v>37</v>
      </c>
      <c r="B24" t="s">
        <v>38</v>
      </c>
      <c r="C24">
        <f t="shared" si="9"/>
        <v>387</v>
      </c>
      <c r="D24">
        <f t="shared" si="8"/>
        <v>403</v>
      </c>
      <c r="E24">
        <f t="shared" si="8"/>
        <v>416</v>
      </c>
      <c r="F24">
        <f t="shared" si="8"/>
        <v>428</v>
      </c>
      <c r="G24">
        <f t="shared" si="8"/>
        <v>441</v>
      </c>
      <c r="H24" t="s">
        <v>38</v>
      </c>
      <c r="I24">
        <v>387</v>
      </c>
      <c r="J24">
        <v>403</v>
      </c>
      <c r="K24">
        <v>416</v>
      </c>
      <c r="L24">
        <v>428</v>
      </c>
      <c r="M24">
        <v>441</v>
      </c>
    </row>
    <row r="25" spans="1:13" x14ac:dyDescent="0.3">
      <c r="A25" t="s">
        <v>39</v>
      </c>
      <c r="B25" t="s">
        <v>40</v>
      </c>
      <c r="C25">
        <f t="shared" si="9"/>
        <v>754</v>
      </c>
      <c r="D25">
        <f t="shared" si="8"/>
        <v>777</v>
      </c>
      <c r="E25">
        <f t="shared" si="8"/>
        <v>810</v>
      </c>
      <c r="F25">
        <f t="shared" si="8"/>
        <v>838</v>
      </c>
      <c r="G25">
        <f t="shared" si="8"/>
        <v>866</v>
      </c>
      <c r="H25" t="s">
        <v>40</v>
      </c>
      <c r="I25">
        <v>754</v>
      </c>
      <c r="J25">
        <v>777</v>
      </c>
      <c r="K25">
        <v>810</v>
      </c>
      <c r="L25">
        <v>838</v>
      </c>
      <c r="M25">
        <v>866</v>
      </c>
    </row>
    <row r="26" spans="1:13" x14ac:dyDescent="0.3">
      <c r="A26" s="1" t="s">
        <v>131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13" x14ac:dyDescent="0.3">
      <c r="A27" s="1" t="s">
        <v>132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13" x14ac:dyDescent="0.3">
      <c r="A28" t="s">
        <v>42</v>
      </c>
    </row>
    <row r="29" spans="1:13" x14ac:dyDescent="0.3">
      <c r="A29" t="s">
        <v>43</v>
      </c>
    </row>
    <row r="30" spans="1:13" x14ac:dyDescent="0.3">
      <c r="A30" t="s">
        <v>44</v>
      </c>
    </row>
    <row r="31" spans="1:13" x14ac:dyDescent="0.3">
      <c r="A31" t="s">
        <v>45</v>
      </c>
      <c r="F31">
        <v>2580</v>
      </c>
    </row>
    <row r="32" spans="1:13" x14ac:dyDescent="0.3">
      <c r="A32" t="s">
        <v>46</v>
      </c>
      <c r="B32" t="s">
        <v>46</v>
      </c>
      <c r="C32">
        <v>700</v>
      </c>
      <c r="D32">
        <v>700</v>
      </c>
      <c r="E32">
        <v>700</v>
      </c>
      <c r="F32">
        <v>700</v>
      </c>
      <c r="G32">
        <v>700</v>
      </c>
    </row>
    <row r="33" spans="1:8" x14ac:dyDescent="0.3">
      <c r="A33" t="s">
        <v>47</v>
      </c>
      <c r="B33" t="s">
        <v>47</v>
      </c>
      <c r="C33">
        <v>2.35</v>
      </c>
      <c r="D33">
        <v>2.35</v>
      </c>
      <c r="E33">
        <v>2.35</v>
      </c>
      <c r="F33">
        <v>2.35</v>
      </c>
      <c r="G33">
        <v>2.35</v>
      </c>
    </row>
    <row r="34" spans="1:8" x14ac:dyDescent="0.3">
      <c r="A34" t="s">
        <v>48</v>
      </c>
      <c r="B34" t="s">
        <v>48</v>
      </c>
      <c r="C34">
        <v>2.2999999999999998</v>
      </c>
      <c r="D34">
        <v>2.2999999999999998</v>
      </c>
      <c r="E34">
        <v>2.2999999999999998</v>
      </c>
      <c r="F34">
        <v>2.2999999999999998</v>
      </c>
      <c r="G34">
        <v>2.2999999999999998</v>
      </c>
    </row>
    <row r="35" spans="1:8" x14ac:dyDescent="0.3">
      <c r="A35" t="s">
        <v>49</v>
      </c>
      <c r="C35">
        <f>C37*2.54</f>
        <v>147.32</v>
      </c>
      <c r="D35">
        <f t="shared" ref="D35:G36" si="10">D37*2.54</f>
        <v>160.02000000000001</v>
      </c>
      <c r="E35">
        <f t="shared" si="10"/>
        <v>170.18</v>
      </c>
      <c r="F35">
        <f t="shared" si="10"/>
        <v>180.34</v>
      </c>
      <c r="G35">
        <f t="shared" si="10"/>
        <v>190.5</v>
      </c>
    </row>
    <row r="36" spans="1:8" x14ac:dyDescent="0.3">
      <c r="A36" t="s">
        <v>50</v>
      </c>
      <c r="C36">
        <f>C38*2.54</f>
        <v>162.56</v>
      </c>
      <c r="D36">
        <f t="shared" si="10"/>
        <v>170.18</v>
      </c>
      <c r="E36">
        <f t="shared" si="10"/>
        <v>180.34</v>
      </c>
      <c r="F36">
        <f t="shared" si="10"/>
        <v>190.5</v>
      </c>
      <c r="G36">
        <f t="shared" si="10"/>
        <v>198.12</v>
      </c>
    </row>
    <row r="37" spans="1:8" ht="22" x14ac:dyDescent="0.3">
      <c r="C37" s="2">
        <v>58</v>
      </c>
      <c r="D37" s="2">
        <v>63</v>
      </c>
      <c r="E37" s="2">
        <v>67</v>
      </c>
      <c r="F37" s="2">
        <v>71</v>
      </c>
      <c r="G37" s="2">
        <v>75</v>
      </c>
    </row>
    <row r="38" spans="1:8" x14ac:dyDescent="0.3">
      <c r="A38" t="s">
        <v>51</v>
      </c>
      <c r="B38" t="s">
        <v>52</v>
      </c>
      <c r="C38">
        <v>64</v>
      </c>
      <c r="D38">
        <v>67</v>
      </c>
      <c r="E38">
        <v>71</v>
      </c>
      <c r="F38">
        <v>75</v>
      </c>
      <c r="G38">
        <v>78</v>
      </c>
    </row>
    <row r="39" spans="1:8" x14ac:dyDescent="0.3">
      <c r="A39" t="s">
        <v>93</v>
      </c>
      <c r="B39" t="s">
        <v>94</v>
      </c>
      <c r="C39" t="s">
        <v>113</v>
      </c>
      <c r="D39" t="s">
        <v>115</v>
      </c>
      <c r="E39" t="s">
        <v>116</v>
      </c>
      <c r="F39" t="s">
        <v>117</v>
      </c>
      <c r="G39" t="s">
        <v>118</v>
      </c>
    </row>
    <row r="40" spans="1:8" x14ac:dyDescent="0.3">
      <c r="A40" t="s">
        <v>95</v>
      </c>
      <c r="B40" s="1" t="s">
        <v>98</v>
      </c>
      <c r="H40" t="s">
        <v>114</v>
      </c>
    </row>
    <row r="41" spans="1:8" x14ac:dyDescent="0.3">
      <c r="A41" t="s">
        <v>96</v>
      </c>
      <c r="B41" s="1" t="s">
        <v>97</v>
      </c>
    </row>
    <row r="42" spans="1:8" x14ac:dyDescent="0.3">
      <c r="A42" t="s">
        <v>53</v>
      </c>
      <c r="B42" t="s">
        <v>54</v>
      </c>
    </row>
    <row r="43" spans="1:8" x14ac:dyDescent="0.3">
      <c r="A43" t="s">
        <v>55</v>
      </c>
      <c r="B43" s="1" t="s">
        <v>90</v>
      </c>
    </row>
    <row r="44" spans="1:8" x14ac:dyDescent="0.3">
      <c r="A44" t="s">
        <v>56</v>
      </c>
      <c r="B44">
        <v>20</v>
      </c>
    </row>
    <row r="45" spans="1:8" x14ac:dyDescent="0.3">
      <c r="A45" t="s">
        <v>57</v>
      </c>
      <c r="B45">
        <v>2.2999999999999998</v>
      </c>
      <c r="C45" s="1" t="s">
        <v>122</v>
      </c>
    </row>
    <row r="46" spans="1:8" x14ac:dyDescent="0.3">
      <c r="A46" t="s">
        <v>58</v>
      </c>
      <c r="B46">
        <v>2.2999999999999998</v>
      </c>
      <c r="C46" s="1" t="s">
        <v>123</v>
      </c>
    </row>
    <row r="47" spans="1:8" x14ac:dyDescent="0.3">
      <c r="A47" t="s">
        <v>59</v>
      </c>
      <c r="B47">
        <v>120</v>
      </c>
    </row>
    <row r="48" spans="1:8" x14ac:dyDescent="0.3">
      <c r="A48" t="s">
        <v>60</v>
      </c>
      <c r="B48" s="1"/>
    </row>
    <row r="49" spans="1:2" x14ac:dyDescent="0.3">
      <c r="A49" t="s">
        <v>61</v>
      </c>
    </row>
    <row r="50" spans="1:2" x14ac:dyDescent="0.3">
      <c r="A50" t="s">
        <v>62</v>
      </c>
    </row>
    <row r="51" spans="1:2" x14ac:dyDescent="0.3">
      <c r="A51" t="s">
        <v>63</v>
      </c>
      <c r="B51">
        <v>148</v>
      </c>
    </row>
    <row r="52" spans="1:2" x14ac:dyDescent="0.3">
      <c r="A52" t="s">
        <v>64</v>
      </c>
      <c r="B52">
        <v>110</v>
      </c>
    </row>
    <row r="53" spans="1:2" x14ac:dyDescent="0.3">
      <c r="A53" t="s">
        <v>124</v>
      </c>
    </row>
    <row r="54" spans="1:2" x14ac:dyDescent="0.3">
      <c r="A54" t="s">
        <v>125</v>
      </c>
    </row>
    <row r="55" spans="1:2" x14ac:dyDescent="0.3">
      <c r="A55" t="s">
        <v>126</v>
      </c>
    </row>
    <row r="56" spans="1:2" x14ac:dyDescent="0.3">
      <c r="A56" t="s">
        <v>127</v>
      </c>
    </row>
    <row r="57" spans="1:2" x14ac:dyDescent="0.3">
      <c r="A57" t="s">
        <v>128</v>
      </c>
    </row>
    <row r="58" spans="1:2" x14ac:dyDescent="0.3">
      <c r="A58" t="s">
        <v>129</v>
      </c>
    </row>
    <row r="59" spans="1:2" x14ac:dyDescent="0.3">
      <c r="A59" t="s">
        <v>65</v>
      </c>
      <c r="B59" s="1" t="s">
        <v>121</v>
      </c>
    </row>
    <row r="60" spans="1:2" x14ac:dyDescent="0.3">
      <c r="A60" t="s">
        <v>66</v>
      </c>
    </row>
    <row r="61" spans="1:2" x14ac:dyDescent="0.3">
      <c r="A61" t="s">
        <v>67</v>
      </c>
      <c r="B61">
        <v>31.6</v>
      </c>
    </row>
    <row r="62" spans="1:2" x14ac:dyDescent="0.3">
      <c r="A62" t="s">
        <v>68</v>
      </c>
      <c r="B62" s="1" t="s">
        <v>90</v>
      </c>
    </row>
    <row r="63" spans="1:2" x14ac:dyDescent="0.3">
      <c r="A63" t="s">
        <v>69</v>
      </c>
      <c r="B63">
        <v>40</v>
      </c>
    </row>
    <row r="64" spans="1:2" x14ac:dyDescent="0.3">
      <c r="A64" t="s">
        <v>70</v>
      </c>
    </row>
    <row r="65" spans="1:2" x14ac:dyDescent="0.3">
      <c r="A65" t="s">
        <v>71</v>
      </c>
    </row>
    <row r="66" spans="1:2" x14ac:dyDescent="0.3">
      <c r="A66" t="s">
        <v>72</v>
      </c>
    </row>
    <row r="67" spans="1:2" x14ac:dyDescent="0.3">
      <c r="A67" t="s">
        <v>73</v>
      </c>
    </row>
    <row r="68" spans="1:2" x14ac:dyDescent="0.3">
      <c r="A68" t="s">
        <v>74</v>
      </c>
    </row>
    <row r="69" spans="1:2" x14ac:dyDescent="0.3">
      <c r="A69" t="s">
        <v>75</v>
      </c>
      <c r="B69" s="1" t="s">
        <v>91</v>
      </c>
    </row>
    <row r="70" spans="1:2" x14ac:dyDescent="0.3">
      <c r="A70" t="s">
        <v>76</v>
      </c>
    </row>
    <row r="71" spans="1:2" x14ac:dyDescent="0.3">
      <c r="A71" t="s">
        <v>77</v>
      </c>
    </row>
    <row r="72" spans="1:2" x14ac:dyDescent="0.3">
      <c r="A72" t="s">
        <v>78</v>
      </c>
      <c r="B72">
        <v>2</v>
      </c>
    </row>
    <row r="73" spans="1:2" x14ac:dyDescent="0.3">
      <c r="A73" t="s">
        <v>79</v>
      </c>
      <c r="B73">
        <v>1</v>
      </c>
    </row>
    <row r="74" spans="1:2" x14ac:dyDescent="0.3">
      <c r="A74" t="s">
        <v>80</v>
      </c>
      <c r="B74" s="1" t="s">
        <v>91</v>
      </c>
    </row>
    <row r="75" spans="1:2" x14ac:dyDescent="0.3">
      <c r="A75" t="s">
        <v>81</v>
      </c>
      <c r="B75" s="1" t="s">
        <v>91</v>
      </c>
    </row>
    <row r="76" spans="1:2" x14ac:dyDescent="0.3">
      <c r="A76" t="s">
        <v>82</v>
      </c>
      <c r="B76" s="1" t="s">
        <v>91</v>
      </c>
    </row>
    <row r="77" spans="1:2" x14ac:dyDescent="0.3">
      <c r="A77" t="s">
        <v>83</v>
      </c>
      <c r="B77" s="1" t="s">
        <v>91</v>
      </c>
    </row>
    <row r="78" spans="1:2" x14ac:dyDescent="0.3">
      <c r="A78" t="s">
        <v>84</v>
      </c>
      <c r="B78" s="1" t="s">
        <v>91</v>
      </c>
    </row>
    <row r="79" spans="1:2" x14ac:dyDescent="0.3">
      <c r="A79" t="s">
        <v>85</v>
      </c>
      <c r="B79">
        <v>2550</v>
      </c>
    </row>
    <row r="80" spans="1:2" x14ac:dyDescent="0.3">
      <c r="A80" t="s">
        <v>86</v>
      </c>
      <c r="B80">
        <v>3700</v>
      </c>
    </row>
    <row r="81" spans="1:2" x14ac:dyDescent="0.3">
      <c r="A81" t="s">
        <v>87</v>
      </c>
    </row>
    <row r="82" spans="1:2" x14ac:dyDescent="0.3">
      <c r="A82" t="s">
        <v>88</v>
      </c>
      <c r="B82" s="1" t="s">
        <v>100</v>
      </c>
    </row>
    <row r="83" spans="1:2" x14ac:dyDescent="0.3">
      <c r="A83" t="s">
        <v>101</v>
      </c>
      <c r="B83" t="s">
        <v>102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2025-11-30T01:35:17Z</dcterms:modified>
</cp:coreProperties>
</file>