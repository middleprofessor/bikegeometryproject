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8D53D53-B469-9C40-9967-21FD09784429}" xr6:coauthVersionLast="47" xr6:coauthVersionMax="47" xr10:uidLastSave="{00000000-0000-0000-0000-000000000000}"/>
  <bookViews>
    <workbookView xWindow="7300" yWindow="10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  <c r="D13" i="1"/>
  <c r="E13" i="1"/>
  <c r="F13" i="1"/>
  <c r="G13" i="1"/>
  <c r="C13" i="1"/>
  <c r="D10" i="1"/>
  <c r="E10" i="1"/>
  <c r="F10" i="1"/>
  <c r="G10" i="1"/>
  <c r="C10" i="1"/>
  <c r="B4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<sst xmlns="http://schemas.openxmlformats.org/spreadsheetml/2006/main" count="124" uniqueCount="112">
  <si>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</si>
  <si>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</si>
  <si>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</si>
  <si>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</si>
  <si>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</si>
  <si>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</si>
  <si>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</si>
  <si>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</si>
  <si>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</si>
  <si>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</si>
  <si>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</si>
  <si>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</si>
  <si>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</si>
  <si>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</si>
  <si>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</si>
  <si>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</si>
  <si>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Effective top tube</t>
  </si>
  <si>
    <t>head_tube_angle</t>
  </si>
  <si>
    <t>Nominal head tube angle</t>
  </si>
  <si>
    <t>delta_head_angle</t>
  </si>
  <si>
    <t>Tuning Chip induced head/seat tube angle change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</si>
  <si>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</si>
  <si>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</si>
  <si>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</si>
  <si>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</si>
  <si>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</si>
  <si>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</si>
  <si>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</si>
  <si>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</si>
  <si>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</si>
  <si>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</si>
  <si>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</si>
  <si>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</si>
  <si>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</si>
  <si>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</si>
  <si>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</si>
  <si>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</si>
  <si>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</si>
  <si>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</si>
  <si>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</si>
  <si>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</si>
  <si>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</si>
  <si>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</si>
  <si>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</si>
  <si>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</si>
  <si>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</si>
  <si>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</si>
  <si>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</si>
  <si>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</si>
  <si>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</si>
  <si>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</si>
  <si>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</si>
  <si>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</si>
  <si>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</si>
  <si>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</si>
  <si>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</si>
  <si>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</si>
  <si>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</si>
  <si>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</si>
  <si>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</si>
  <si>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</si>
  <si>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</si>
  <si>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</si>
  <si>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</si>
  <si>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</si>
  <si>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</si>
  <si>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</si>
  <si>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</si>
  <si>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</si>
  <si>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</si>
  <si>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</si>
  <si>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</si>
  <si>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</si>
  <si>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</si>
  <si>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</si>
  <si>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</si>
  <si>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</si>
  <si>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</si>
  <si>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</si>
  <si>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</si>
  <si>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</si>
  <si>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</si>
  <si>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</si>
  <si>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</si>
  <si>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</si>
  <si>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</si>
  <si>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</si>
  <si>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</si>
  <si>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</si>
  <si>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</si>
  <si>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</si>
  <si>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</si>
  <si>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Fenrir Stainless (short)</t>
  </si>
  <si>
    <t>a8:g32</t>
  </si>
  <si>
    <t>no</t>
  </si>
  <si>
    <t>yes</t>
  </si>
  <si>
    <t>4'10"-5'4"</t>
  </si>
  <si>
    <t>5'3"-5'7"</t>
  </si>
  <si>
    <t>5'7"-5'11"</t>
  </si>
  <si>
    <t>5'11"-6'3"</t>
  </si>
  <si>
    <t>6'3"-6'6"</t>
  </si>
  <si>
    <t>https://otsocycles.com/collections/fenrir-stainless</t>
  </si>
  <si>
    <t>class</t>
  </si>
  <si>
    <t>hardtail</t>
  </si>
  <si>
    <t>handlebar</t>
  </si>
  <si>
    <t>fork</t>
  </si>
  <si>
    <t>rigid</t>
  </si>
  <si>
    <t>both</t>
  </si>
  <si>
    <t>https://otsocycles.com/cdn/shop/files/fenrir_stainless_slider_1.jpg?v=1725541452&amp;width=1800</t>
  </si>
  <si>
    <t>USD</t>
  </si>
  <si>
    <t>location</t>
  </si>
  <si>
    <t>Burnsville,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</si>
</sst>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6" workbookViewId="0">
      <selection activeCell="A69" sqref="A69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92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3">
        <v>45880</v>
      </c>
    </row>
    <row r="5" spans="1:7" x14ac:dyDescent="0.3">
      <c r="A5" t="s">
        <v>6</v>
      </c>
      <c r="B5" t="s">
        <v>101</v>
      </c>
    </row>
    <row r="6" spans="1:7" x14ac:dyDescent="0.3">
      <c r="B6" t="s">
        <v>108</v>
      </c>
    </row>
    <row r="7" spans="1:7" x14ac:dyDescent="0.3">
      <c r="A7" t="s">
        <v>7</v>
      </c>
      <c r="B7" s="1" t="s">
        <v>93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7" x14ac:dyDescent="0.3">
      <c r="A10" t="s">
        <v>17</v>
      </c>
      <c r="B10" t="s">
        <v>18</v>
      </c>
      <c r="C10">
        <f>68+C11</f>
        <v>68.25</v>
      </c>
      <c r="D10">
        <f t="shared" ref="D10:G10" si="0">68+D11</f>
        <v>68.25</v>
      </c>
      <c r="E10">
        <f t="shared" si="0"/>
        <v>68.25</v>
      </c>
      <c r="F10">
        <f t="shared" si="0"/>
        <v>68.25</v>
      </c>
      <c r="G10">
        <f t="shared" si="0"/>
        <v>68.25</v>
      </c>
    </row>
    <row r="11" spans="1:7" x14ac:dyDescent="0.3">
      <c r="A11" t="s">
        <v>19</v>
      </c>
      <c r="B11" t="s">
        <v>20</v>
      </c>
      <c r="C11">
        <v>0.25</v>
      </c>
      <c r="D11">
        <v>0.25</v>
      </c>
      <c r="E11">
        <v>0.25</v>
      </c>
      <c r="F11">
        <v>0.25</v>
      </c>
      <c r="G11">
        <v>0.25</v>
      </c>
    </row>
    <row r="12" spans="1:7" x14ac:dyDescent="0.3">
      <c r="A12" t="s">
        <v>21</v>
      </c>
      <c r="B12" t="s">
        <v>22</v>
      </c>
      <c r="C12">
        <v>90</v>
      </c>
      <c r="D12">
        <v>100</v>
      </c>
      <c r="E12">
        <v>120</v>
      </c>
      <c r="F12">
        <v>140</v>
      </c>
      <c r="G12">
        <v>160</v>
      </c>
    </row>
    <row r="13" spans="1:7" x14ac:dyDescent="0.3">
      <c r="A13" t="s">
        <v>23</v>
      </c>
      <c r="B13" t="s">
        <v>24</v>
      </c>
      <c r="C13">
        <f>75+C11</f>
        <v>75.25</v>
      </c>
      <c r="D13">
        <f t="shared" ref="D13:G13" si="1">75+D11</f>
        <v>75.25</v>
      </c>
      <c r="E13">
        <f t="shared" si="1"/>
        <v>75.25</v>
      </c>
      <c r="F13">
        <f t="shared" si="1"/>
        <v>75.25</v>
      </c>
      <c r="G13">
        <f t="shared" si="1"/>
        <v>75.25</v>
      </c>
    </row>
    <row r="14" spans="1:7" x14ac:dyDescent="0.3">
      <c r="A14" t="s">
        <v>25</v>
      </c>
      <c r="B14" t="s">
        <v>26</v>
      </c>
      <c r="C14">
        <v>360</v>
      </c>
      <c r="D14">
        <v>400</v>
      </c>
      <c r="E14">
        <v>450</v>
      </c>
      <c r="F14">
        <v>490</v>
      </c>
      <c r="G14">
        <v>530</v>
      </c>
    </row>
    <row r="15" spans="1:7" x14ac:dyDescent="0.3">
      <c r="A15" t="s">
        <v>27</v>
      </c>
      <c r="B15" t="s">
        <v>28</v>
      </c>
      <c r="C15">
        <v>72</v>
      </c>
      <c r="D15">
        <v>72</v>
      </c>
      <c r="E15">
        <v>72</v>
      </c>
      <c r="F15">
        <v>72</v>
      </c>
      <c r="G15">
        <v>72</v>
      </c>
    </row>
    <row r="16" spans="1:7" x14ac:dyDescent="0.3">
      <c r="A16" t="s">
        <v>44</v>
      </c>
      <c r="B16" t="s">
        <v>29</v>
      </c>
      <c r="C16">
        <v>430</v>
      </c>
      <c r="D16">
        <v>430</v>
      </c>
      <c r="E16">
        <v>430</v>
      </c>
      <c r="F16">
        <v>430</v>
      </c>
      <c r="G16">
        <v>430</v>
      </c>
    </row>
    <row r="17" spans="1:7" x14ac:dyDescent="0.3">
      <c r="A17" t="s">
        <v>30</v>
      </c>
      <c r="B17" t="s">
        <v>31</v>
      </c>
      <c r="C17">
        <v>1090</v>
      </c>
      <c r="D17">
        <v>1110</v>
      </c>
      <c r="E17">
        <v>1130</v>
      </c>
      <c r="F17">
        <v>1150</v>
      </c>
      <c r="G17">
        <v>1170</v>
      </c>
    </row>
    <row r="18" spans="1:7" x14ac:dyDescent="0.3">
      <c r="A18" t="s">
        <v>32</v>
      </c>
      <c r="B18" t="s">
        <v>33</v>
      </c>
      <c r="C18">
        <v>88</v>
      </c>
      <c r="D18">
        <v>88</v>
      </c>
      <c r="E18">
        <v>88</v>
      </c>
      <c r="F18">
        <v>88</v>
      </c>
      <c r="G18">
        <v>88</v>
      </c>
    </row>
    <row r="19" spans="1:7" x14ac:dyDescent="0.3">
      <c r="A19" t="s">
        <v>34</v>
      </c>
      <c r="B19" t="s">
        <v>35</v>
      </c>
      <c r="C19">
        <v>51</v>
      </c>
      <c r="D19">
        <v>51</v>
      </c>
      <c r="E19">
        <v>51</v>
      </c>
      <c r="F19">
        <v>51</v>
      </c>
      <c r="G19">
        <v>51</v>
      </c>
    </row>
    <row r="20" spans="1:7" x14ac:dyDescent="0.3">
      <c r="A20" s="1" t="s">
        <v>36</v>
      </c>
      <c r="B20" t="s">
        <v>37</v>
      </c>
      <c r="C20">
        <v>495</v>
      </c>
      <c r="D20">
        <v>495</v>
      </c>
      <c r="E20">
        <v>495</v>
      </c>
      <c r="F20">
        <v>495</v>
      </c>
      <c r="G20">
        <v>495</v>
      </c>
    </row>
    <row r="21" spans="1:7" x14ac:dyDescent="0.3">
      <c r="A21" t="s">
        <v>38</v>
      </c>
      <c r="B21" t="s">
        <v>39</v>
      </c>
      <c r="C21">
        <v>595</v>
      </c>
      <c r="D21">
        <v>605</v>
      </c>
      <c r="E21">
        <v>623</v>
      </c>
      <c r="F21">
        <v>642</v>
      </c>
      <c r="G21">
        <v>660</v>
      </c>
    </row>
    <row r="22" spans="1:7" x14ac:dyDescent="0.3">
      <c r="A22" t="s">
        <v>40</v>
      </c>
      <c r="B22" t="s">
        <v>41</v>
      </c>
      <c r="C22">
        <v>387</v>
      </c>
      <c r="D22">
        <v>403</v>
      </c>
      <c r="E22">
        <v>416</v>
      </c>
      <c r="F22">
        <v>428</v>
      </c>
      <c r="G22">
        <v>441</v>
      </c>
    </row>
    <row r="23" spans="1:7" x14ac:dyDescent="0.3">
      <c r="A23" t="s">
        <v>42</v>
      </c>
      <c r="B23" t="s">
        <v>43</v>
      </c>
      <c r="C23">
        <v>754</v>
      </c>
      <c r="D23">
        <v>777</v>
      </c>
      <c r="E23">
        <v>810</v>
      </c>
      <c r="F23">
        <v>838</v>
      </c>
      <c r="G23">
        <v>866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  <c r="C26">
        <v>50</v>
      </c>
      <c r="D26">
        <v>50</v>
      </c>
      <c r="E26">
        <v>50</v>
      </c>
      <c r="F26">
        <v>50</v>
      </c>
      <c r="G26">
        <v>50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50</v>
      </c>
      <c r="B29" t="s">
        <v>50</v>
      </c>
      <c r="C29">
        <v>60.96</v>
      </c>
      <c r="D29">
        <v>60.96</v>
      </c>
      <c r="E29">
        <v>60.96</v>
      </c>
      <c r="F29">
        <v>60.96</v>
      </c>
      <c r="G29">
        <v>60.96</v>
      </c>
    </row>
    <row r="30" spans="1:7" x14ac:dyDescent="0.3">
      <c r="A30" t="s">
        <v>51</v>
      </c>
      <c r="B30" t="s">
        <v>51</v>
      </c>
      <c r="C30">
        <f>2.8*25.4</f>
        <v>71.11999999999999</v>
      </c>
      <c r="D30">
        <f t="shared" ref="D30:G30" si="2">2.8*25.4</f>
        <v>71.11999999999999</v>
      </c>
      <c r="E30">
        <f t="shared" si="2"/>
        <v>71.11999999999999</v>
      </c>
      <c r="F30">
        <f t="shared" si="2"/>
        <v>71.11999999999999</v>
      </c>
      <c r="G30">
        <f t="shared" si="2"/>
        <v>71.11999999999999</v>
      </c>
    </row>
    <row r="31" spans="1:7" x14ac:dyDescent="0.3">
      <c r="A31" t="s">
        <v>52</v>
      </c>
      <c r="C31">
        <f>C33*2.54</f>
        <v>147.32</v>
      </c>
      <c r="D31">
        <f t="shared" ref="D31:G32" si="3">D33*2.54</f>
        <v>160.02000000000001</v>
      </c>
      <c r="E31">
        <f t="shared" si="3"/>
        <v>170.18</v>
      </c>
      <c r="F31">
        <f t="shared" si="3"/>
        <v>180.34</v>
      </c>
      <c r="G31">
        <f t="shared" si="3"/>
        <v>190.5</v>
      </c>
    </row>
    <row r="32" spans="1:7" x14ac:dyDescent="0.3">
      <c r="A32" t="s">
        <v>53</v>
      </c>
      <c r="C32">
        <f>C34*2.54</f>
        <v>162.56</v>
      </c>
      <c r="D32">
        <f t="shared" si="3"/>
        <v>170.18</v>
      </c>
      <c r="E32">
        <f t="shared" si="3"/>
        <v>180.34</v>
      </c>
      <c r="F32">
        <f t="shared" si="3"/>
        <v>190.5</v>
      </c>
      <c r="G32">
        <f t="shared" si="3"/>
        <v>198.12</v>
      </c>
    </row>
    <row r="33" spans="1:7" ht="22" x14ac:dyDescent="0.3">
      <c r="C33" s="2">
        <v>58</v>
      </c>
      <c r="D33" s="2">
        <v>63</v>
      </c>
      <c r="E33" s="2">
        <v>67</v>
      </c>
      <c r="F33" s="2">
        <v>71</v>
      </c>
      <c r="G33" s="2">
        <v>75</v>
      </c>
    </row>
    <row r="34" spans="1:7" x14ac:dyDescent="0.3">
      <c r="A34" t="s">
        <v>54</v>
      </c>
      <c r="B34" t="s">
        <v>55</v>
      </c>
      <c r="C34">
        <v>64</v>
      </c>
      <c r="D34">
        <v>67</v>
      </c>
      <c r="E34">
        <v>71</v>
      </c>
      <c r="F34">
        <v>75</v>
      </c>
      <c r="G34">
        <v>78</v>
      </c>
    </row>
    <row r="35" spans="1:7" ht="22" x14ac:dyDescent="0.3">
      <c r="A35" t="s">
        <v>102</v>
      </c>
      <c r="B35" t="s">
        <v>103</v>
      </c>
      <c r="C35" s="2" t="s">
        <v>96</v>
      </c>
      <c r="D35" s="2" t="s">
        <v>97</v>
      </c>
      <c r="E35" s="2" t="s">
        <v>98</v>
      </c>
      <c r="F35" s="2" t="s">
        <v>99</v>
      </c>
      <c r="G35" s="2" t="s">
        <v>100</v>
      </c>
    </row>
    <row r="36" spans="1:7" x14ac:dyDescent="0.3">
      <c r="A36" t="s">
        <v>104</v>
      </c>
      <c r="B36" s="1" t="s">
        <v>107</v>
      </c>
    </row>
    <row r="37" spans="1:7" x14ac:dyDescent="0.3">
      <c r="A37" t="s">
        <v>105</v>
      </c>
      <c r="B37" s="1" t="s">
        <v>106</v>
      </c>
    </row>
    <row r="38" spans="1:7" x14ac:dyDescent="0.3">
      <c r="A38" t="s">
        <v>56</v>
      </c>
      <c r="B38" t="s">
        <v>57</v>
      </c>
    </row>
    <row r="39" spans="1:7" x14ac:dyDescent="0.3">
      <c r="A39" t="s">
        <v>58</v>
      </c>
      <c r="B39" s="1" t="s">
        <v>94</v>
      </c>
    </row>
    <row r="40" spans="1:7" x14ac:dyDescent="0.3">
      <c r="A40" t="s">
        <v>59</v>
      </c>
      <c r="B40">
        <v>20</v>
      </c>
    </row>
    <row r="41" spans="1:7" x14ac:dyDescent="0.3">
      <c r="A41" t="s">
        <v>60</v>
      </c>
      <c r="B41">
        <f>2.8*25.4</f>
        <v>71.11999999999999</v>
      </c>
    </row>
    <row r="42" spans="1:7" x14ac:dyDescent="0.3">
      <c r="A42" t="s">
        <v>61</v>
      </c>
      <c r="B42">
        <v>3</v>
      </c>
    </row>
    <row r="43" spans="1:7" x14ac:dyDescent="0.3">
      <c r="A43" t="s">
        <v>62</v>
      </c>
      <c r="B43">
        <v>120</v>
      </c>
    </row>
    <row r="44" spans="1:7" x14ac:dyDescent="0.3">
      <c r="A44" t="s">
        <v>63</v>
      </c>
      <c r="B44" s="1"/>
    </row>
    <row r="45" spans="1:7" x14ac:dyDescent="0.3">
      <c r="A45" t="s">
        <v>64</v>
      </c>
    </row>
    <row r="46" spans="1:7" x14ac:dyDescent="0.3">
      <c r="A46" t="s">
        <v>65</v>
      </c>
    </row>
    <row r="47" spans="1:7" x14ac:dyDescent="0.3">
      <c r="A47" t="s">
        <v>66</v>
      </c>
      <c r="B47">
        <v>148</v>
      </c>
    </row>
    <row r="48" spans="1:7" x14ac:dyDescent="0.3">
      <c r="A48" t="s">
        <v>67</v>
      </c>
      <c r="B48">
        <v>110</v>
      </c>
    </row>
    <row r="49" spans="1:2" x14ac:dyDescent="0.3">
      <c r="A49" t="s">
        <v>68</v>
      </c>
    </row>
    <row r="50" spans="1:2" x14ac:dyDescent="0.3">
      <c r="A50" t="s">
        <v>69</v>
      </c>
    </row>
    <row r="51" spans="1:2" x14ac:dyDescent="0.3">
      <c r="A51" t="s">
        <v>70</v>
      </c>
      <c r="B51">
        <v>31.6</v>
      </c>
    </row>
    <row r="52" spans="1:2" x14ac:dyDescent="0.3">
      <c r="A52" t="s">
        <v>71</v>
      </c>
      <c r="B52" s="1" t="s">
        <v>94</v>
      </c>
    </row>
    <row r="53" spans="1:2" x14ac:dyDescent="0.3">
      <c r="A53" t="s">
        <v>72</v>
      </c>
      <c r="B53">
        <v>40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  <c r="B59" s="1" t="s">
        <v>95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  <c r="B64" s="1" t="s">
        <v>95</v>
      </c>
    </row>
    <row r="65" spans="1:2" x14ac:dyDescent="0.3">
      <c r="A65" t="s">
        <v>84</v>
      </c>
      <c r="B65" s="1" t="s">
        <v>95</v>
      </c>
    </row>
    <row r="66" spans="1:2" x14ac:dyDescent="0.3">
      <c r="A66" t="s">
        <v>85</v>
      </c>
      <c r="B66" s="1" t="s">
        <v>95</v>
      </c>
    </row>
    <row r="67" spans="1:2" x14ac:dyDescent="0.3">
      <c r="A67" t="s">
        <v>86</v>
      </c>
      <c r="B67" s="1" t="s">
        <v>95</v>
      </c>
    </row>
    <row r="68" spans="1:2" x14ac:dyDescent="0.3">
      <c r="A68" t="s">
        <v>87</v>
      </c>
      <c r="B68" s="1" t="s">
        <v>95</v>
      </c>
    </row>
    <row r="69" spans="1:2" x14ac:dyDescent="0.3">
      <c r="A69" t="s">
        <v>88</v>
      </c>
      <c r="B69">
        <v>2550</v>
      </c>
    </row>
    <row r="70" spans="1:2" x14ac:dyDescent="0.3">
      <c r="A70" t="s">
        <v>89</v>
      </c>
      <c r="B70">
        <v>3700</v>
      </c>
    </row>
    <row r="71" spans="1:2" x14ac:dyDescent="0.3">
      <c r="A71" t="s">
        <v>90</v>
      </c>
    </row>
    <row r="72" spans="1:2" x14ac:dyDescent="0.3">
      <c r="A72" t="s">
        <v>91</v>
      </c>
      <c r="B72" s="1" t="s">
        <v>109</v>
      </c>
    </row>
    <row r="73" spans="1:2" x14ac:dyDescent="0.3">
      <c r="A73" t="s">
        <v>110</v>
      </c>
      <c r="B73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2025-10-18T01:10:17Z</dcterms:modified>
</cp:coreProperties>
</file>