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897AB6D-B7C7-7849-B720-2FA4071BD63F}" xr6:coauthVersionLast="47" xr6:coauthVersionMax="47" xr10:uidLastSave="{00000000-0000-0000-0000-000000000000}"/>
  <bookViews>
    <workbookView xWindow="760" yWindow="580" windowWidth="28040" windowHeight="15660" xr2:uid="{AE0F04AA-80E5-8247-9791-D6B95FAD9AB5}"/>
  </bookViews>
  <sheets>
    <sheet name="Canyon Grail 2025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  <c r="E34" i="1"/>
  <c r="F34" i="1"/>
  <c r="G34" i="1"/>
  <c r="H34" i="1"/>
  <c r="C34" i="1"/>
  <c r="E33" i="1"/>
  <c r="F33" i="1"/>
  <c r="G33" i="1"/>
  <c r="H33" i="1"/>
  <c r="I33" i="1"/>
  <c r="D33" i="1"/>
  <c r="I34" i="1"/>
  <c r="C33" i="1"/>
  <c r="R17" i="1"/>
  <c r="Q17" i="1"/>
  <c r="P17" i="1"/>
  <c r="O17" i="1"/>
  <c r="N17" i="1"/>
</calcChain>
</file>

<file path=xl/sharedStrings.xml><?xml version="1.0" encoding="utf-8"?>
<sst xmlns="http://schemas.openxmlformats.org/spreadsheetml/2006/main" count="107" uniqueCount="94">
  <si>
    <t>brand</t>
  </si>
  <si>
    <t>model</t>
  </si>
  <si>
    <t>model year</t>
  </si>
  <si>
    <t>input date</t>
  </si>
  <si>
    <t>URL</t>
  </si>
  <si>
    <t>material</t>
  </si>
  <si>
    <t>carbon</t>
  </si>
  <si>
    <t>frame weight</t>
  </si>
  <si>
    <t>UDH</t>
  </si>
  <si>
    <t>yes</t>
  </si>
  <si>
    <t>measure range</t>
  </si>
  <si>
    <t>frame_size</t>
  </si>
  <si>
    <t>XS</t>
  </si>
  <si>
    <t>S</t>
  </si>
  <si>
    <t>M</t>
  </si>
  <si>
    <t>L</t>
  </si>
  <si>
    <t>XL</t>
  </si>
  <si>
    <t>seat_tube_length</t>
  </si>
  <si>
    <t>top_tube_effective_length</t>
  </si>
  <si>
    <t>head_tube_length</t>
  </si>
  <si>
    <t>chainstay_length</t>
  </si>
  <si>
    <t>bottom_bracket_drop</t>
  </si>
  <si>
    <t>wheelbase</t>
  </si>
  <si>
    <t>head_tube_angle</t>
  </si>
  <si>
    <t>seat_tube_angle</t>
  </si>
  <si>
    <t>fork_offset_rake</t>
  </si>
  <si>
    <t>standover</t>
  </si>
  <si>
    <t>reach</t>
  </si>
  <si>
    <t>stack</t>
  </si>
  <si>
    <t>axle_crown</t>
  </si>
  <si>
    <t>trail</t>
  </si>
  <si>
    <t>handlebar_width</t>
  </si>
  <si>
    <t>stem_length</t>
  </si>
  <si>
    <t>crank_length</t>
  </si>
  <si>
    <t>wheel_size</t>
  </si>
  <si>
    <t>tire_width_spec</t>
  </si>
  <si>
    <t>tire_width_max</t>
  </si>
  <si>
    <t>rider_min</t>
  </si>
  <si>
    <t>rider_max</t>
  </si>
  <si>
    <t>Canyon</t>
  </si>
  <si>
    <t>Grail</t>
  </si>
  <si>
    <t>2XS</t>
  </si>
  <si>
    <t>2XL</t>
  </si>
  <si>
    <t>Body Height in cm</t>
  </si>
  <si>
    <t>≤ 169</t>
  </si>
  <si>
    <t>167 - 175</t>
  </si>
  <si>
    <t>172 - 181</t>
  </si>
  <si>
    <t>179 - 187</t>
  </si>
  <si>
    <t>185 - 193</t>
  </si>
  <si>
    <t>190 - 199</t>
  </si>
  <si>
    <t>≥ 196</t>
  </si>
  <si>
    <t>Seat Height in mm (A)</t>
  </si>
  <si>
    <t>623 - 723</t>
  </si>
  <si>
    <t>653 - 753</t>
  </si>
  <si>
    <t>683 - 783</t>
  </si>
  <si>
    <t>713 - 813</t>
  </si>
  <si>
    <t>743 - 843</t>
  </si>
  <si>
    <t>773 - 873</t>
  </si>
  <si>
    <t>803 - 903</t>
  </si>
  <si>
    <t>Seat Tube Length in mm (B)</t>
  </si>
  <si>
    <t>Top Tube Length in mm (C)</t>
  </si>
  <si>
    <t>Head Tube Length in mm (D)</t>
  </si>
  <si>
    <t>Head Tube Angle(E)</t>
  </si>
  <si>
    <t>Seat Tube Angle(F)</t>
  </si>
  <si>
    <t>Chainstay Length in mm (G)</t>
  </si>
  <si>
    <t>Wheel Base in mm (H)</t>
  </si>
  <si>
    <t>Stack in mm (I)</t>
  </si>
  <si>
    <t>Reach in mm (J)</t>
  </si>
  <si>
    <t>Stand-over Height in mm (K)</t>
  </si>
  <si>
    <t>Bottom Bracket Offset in mm (L)</t>
  </si>
  <si>
    <t>Stack+ in mm</t>
  </si>
  <si>
    <t>Reach+ in mm</t>
  </si>
  <si>
    <t>stack_plus</t>
  </si>
  <si>
    <t>reach_plus</t>
  </si>
  <si>
    <t>size</t>
  </si>
  <si>
    <t>Seat Tube Length in mm (b)</t>
  </si>
  <si>
    <t>Top Tube Length in mm (c)</t>
  </si>
  <si>
    <t>Head Tube Length in mm (d)</t>
  </si>
  <si>
    <t>Head Tube Angle (e)</t>
  </si>
  <si>
    <t>Seat Tube Angle (f)</t>
  </si>
  <si>
    <t>Chainstay Length in mm (g)</t>
  </si>
  <si>
    <t>Wheel Base in mm (h)</t>
  </si>
  <si>
    <t>Stack in mm (i)</t>
  </si>
  <si>
    <t>Reach in mm (j)</t>
  </si>
  <si>
    <t>Stand-over Height in mm (k)</t>
  </si>
  <si>
    <t>Bottom Bracket Offset in mm (l)</t>
  </si>
  <si>
    <t>Spacer in mm</t>
  </si>
  <si>
    <t>Stem Length in mm</t>
  </si>
  <si>
    <t>Handlebar Width in mm</t>
  </si>
  <si>
    <t>Crank Length in mm</t>
  </si>
  <si>
    <t>old model</t>
  </si>
  <si>
    <t>https://www.canyon.com/en-us/gravel-bikes/race/grail/cf/grail-cf-sl-7-axs/3576.html?dwvar_3576_pv_rahmenfarbe=R119_P03</t>
  </si>
  <si>
    <t>bikeinsights</t>
  </si>
  <si>
    <t>a10:i34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</si>
</sst>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4"/>
      <color theme="1"/>
      <name val="Futura Medium"/>
    </font>
    <font>
      <sz val="14"/>
      <color rgb="FF333333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AF885-3999-4E4F-8F92-5857EF0F7F08}">
  <dimension ref="A1:R39"/>
  <sheetViews>
    <sheetView tabSelected="1" workbookViewId="0">
      <selection activeCell="C11" sqref="C11"/>
    </sheetView>
  </sheetViews>
  <sheetFormatPr baseColWidth="10" defaultRowHeight="20" x14ac:dyDescent="0.3"/>
  <cols>
    <col min="1" max="1" width="29.33203125" style="1" bestFit="1" customWidth="1"/>
    <col min="2" max="2" width="27.83203125" style="1" customWidth="1"/>
    <col min="3" max="8" width="11" style="1" bestFit="1" customWidth="1"/>
    <col min="9" max="9" width="10.83203125" style="1"/>
    <col min="10" max="10" width="19" style="1" customWidth="1"/>
    <col min="11" max="25" width="11" style="1" bestFit="1" customWidth="1"/>
    <col min="26" max="16384" width="10.83203125" style="1"/>
  </cols>
  <sheetData>
    <row r="1" spans="1:18" x14ac:dyDescent="0.3">
      <c r="A1" s="1" t="s">
        <v>0</v>
      </c>
      <c r="B1" s="1" t="s">
        <v>39</v>
      </c>
    </row>
    <row r="2" spans="1:18" x14ac:dyDescent="0.3">
      <c r="A2" s="1" t="s">
        <v>1</v>
      </c>
      <c r="B2" s="1" t="s">
        <v>40</v>
      </c>
    </row>
    <row r="3" spans="1:18" x14ac:dyDescent="0.3">
      <c r="A3" s="1" t="s">
        <v>2</v>
      </c>
      <c r="B3" s="1">
        <v>2025</v>
      </c>
    </row>
    <row r="4" spans="1:18" x14ac:dyDescent="0.3">
      <c r="A4" s="1" t="s">
        <v>3</v>
      </c>
      <c r="B4" s="2">
        <v>45853</v>
      </c>
    </row>
    <row r="5" spans="1:18" x14ac:dyDescent="0.3">
      <c r="A5" s="1" t="s">
        <v>4</v>
      </c>
      <c r="B5" s="1" t="s">
        <v>91</v>
      </c>
    </row>
    <row r="6" spans="1:18" x14ac:dyDescent="0.3">
      <c r="A6" s="1" t="s">
        <v>5</v>
      </c>
      <c r="B6" s="1" t="s">
        <v>6</v>
      </c>
    </row>
    <row r="7" spans="1:18" x14ac:dyDescent="0.3">
      <c r="A7" s="1" t="s">
        <v>7</v>
      </c>
    </row>
    <row r="8" spans="1:18" x14ac:dyDescent="0.3">
      <c r="A8" s="1" t="s">
        <v>8</v>
      </c>
      <c r="B8" s="1" t="s">
        <v>9</v>
      </c>
    </row>
    <row r="9" spans="1:18" x14ac:dyDescent="0.3">
      <c r="A9" s="1" t="s">
        <v>10</v>
      </c>
      <c r="B9" s="1" t="s">
        <v>93</v>
      </c>
      <c r="K9" s="1" t="s">
        <v>90</v>
      </c>
    </row>
    <row r="10" spans="1:18" x14ac:dyDescent="0.3">
      <c r="A10" s="1" t="s">
        <v>11</v>
      </c>
      <c r="B10" s="1" t="s">
        <v>11</v>
      </c>
      <c r="C10" s="1" t="s">
        <v>41</v>
      </c>
      <c r="D10" s="1" t="s">
        <v>12</v>
      </c>
      <c r="E10" s="1" t="s">
        <v>13</v>
      </c>
      <c r="F10" s="1" t="s">
        <v>14</v>
      </c>
      <c r="G10" s="1" t="s">
        <v>15</v>
      </c>
      <c r="H10" s="1" t="s">
        <v>16</v>
      </c>
      <c r="I10" s="1" t="s">
        <v>42</v>
      </c>
      <c r="K10" s="1" t="s">
        <v>74</v>
      </c>
      <c r="L10" s="3" t="s">
        <v>41</v>
      </c>
      <c r="M10" s="3" t="s">
        <v>12</v>
      </c>
      <c r="N10" s="3" t="s">
        <v>13</v>
      </c>
      <c r="O10" s="3" t="s">
        <v>14</v>
      </c>
      <c r="P10" s="3" t="s">
        <v>15</v>
      </c>
      <c r="Q10" s="3" t="s">
        <v>16</v>
      </c>
      <c r="R10" s="3" t="s">
        <v>42</v>
      </c>
    </row>
    <row r="11" spans="1:18" x14ac:dyDescent="0.3">
      <c r="A11" s="1" t="s">
        <v>17</v>
      </c>
      <c r="B11" s="1" t="s">
        <v>59</v>
      </c>
      <c r="C11" s="1">
        <v>420</v>
      </c>
      <c r="D11" s="1">
        <v>450</v>
      </c>
      <c r="E11" s="1">
        <v>480</v>
      </c>
      <c r="F11" s="1">
        <v>510</v>
      </c>
      <c r="G11" s="1">
        <v>540</v>
      </c>
      <c r="H11" s="1">
        <v>570</v>
      </c>
      <c r="I11" s="1">
        <v>600</v>
      </c>
      <c r="K11" s="3" t="s">
        <v>75</v>
      </c>
      <c r="L11" s="3">
        <v>432</v>
      </c>
      <c r="M11" s="3">
        <v>531</v>
      </c>
      <c r="N11" s="3">
        <v>492</v>
      </c>
      <c r="O11" s="3">
        <v>522</v>
      </c>
      <c r="P11" s="3">
        <v>552</v>
      </c>
      <c r="Q11" s="3">
        <v>582</v>
      </c>
      <c r="R11" s="3">
        <v>612</v>
      </c>
    </row>
    <row r="12" spans="1:18" x14ac:dyDescent="0.3">
      <c r="A12" s="1" t="s">
        <v>18</v>
      </c>
      <c r="B12" s="1" t="s">
        <v>60</v>
      </c>
      <c r="C12" s="1">
        <v>533</v>
      </c>
      <c r="D12" s="1">
        <v>550</v>
      </c>
      <c r="E12" s="1">
        <v>564</v>
      </c>
      <c r="F12" s="1">
        <v>586</v>
      </c>
      <c r="G12" s="1">
        <v>609</v>
      </c>
      <c r="H12" s="1">
        <v>623</v>
      </c>
      <c r="I12" s="1">
        <v>648</v>
      </c>
      <c r="K12" s="3" t="s">
        <v>76</v>
      </c>
      <c r="L12" s="3">
        <v>516</v>
      </c>
      <c r="M12" s="3">
        <v>531</v>
      </c>
      <c r="N12" s="3">
        <v>555</v>
      </c>
      <c r="O12" s="3">
        <v>577</v>
      </c>
      <c r="P12" s="3">
        <v>591</v>
      </c>
      <c r="Q12" s="3">
        <v>616</v>
      </c>
      <c r="R12" s="3">
        <v>631</v>
      </c>
    </row>
    <row r="13" spans="1:18" x14ac:dyDescent="0.3">
      <c r="A13" s="1" t="s">
        <v>19</v>
      </c>
      <c r="B13" s="1" t="s">
        <v>61</v>
      </c>
      <c r="C13" s="1">
        <v>123</v>
      </c>
      <c r="D13" s="1">
        <v>129</v>
      </c>
      <c r="E13" s="1">
        <v>145</v>
      </c>
      <c r="F13" s="1">
        <v>163</v>
      </c>
      <c r="G13" s="1">
        <v>187</v>
      </c>
      <c r="H13" s="1">
        <v>207</v>
      </c>
      <c r="I13" s="1">
        <v>230</v>
      </c>
      <c r="K13" s="3" t="s">
        <v>77</v>
      </c>
      <c r="L13" s="3">
        <v>117</v>
      </c>
      <c r="M13" s="3">
        <v>133</v>
      </c>
      <c r="N13" s="3">
        <v>124</v>
      </c>
      <c r="O13" s="3">
        <v>143</v>
      </c>
      <c r="P13" s="3">
        <v>169</v>
      </c>
      <c r="Q13" s="3">
        <v>190</v>
      </c>
      <c r="R13" s="3">
        <v>209</v>
      </c>
    </row>
    <row r="14" spans="1:18" x14ac:dyDescent="0.3">
      <c r="A14" s="1" t="s">
        <v>23</v>
      </c>
      <c r="B14" s="1" t="s">
        <v>62</v>
      </c>
      <c r="C14" s="1">
        <v>69.5</v>
      </c>
      <c r="D14" s="1">
        <v>71</v>
      </c>
      <c r="E14" s="1">
        <v>71.5</v>
      </c>
      <c r="F14" s="1">
        <v>71.5</v>
      </c>
      <c r="G14" s="1">
        <v>71.5</v>
      </c>
      <c r="H14" s="1">
        <v>71.8</v>
      </c>
      <c r="I14" s="1">
        <v>71.8</v>
      </c>
      <c r="K14" s="3" t="s">
        <v>78</v>
      </c>
      <c r="L14" s="3">
        <v>70</v>
      </c>
      <c r="M14" s="3">
        <v>71</v>
      </c>
      <c r="N14" s="3">
        <v>70.75</v>
      </c>
      <c r="O14" s="3">
        <v>72.25</v>
      </c>
      <c r="P14" s="3">
        <v>72.5</v>
      </c>
      <c r="Q14" s="3">
        <v>72.75</v>
      </c>
      <c r="R14" s="3">
        <v>72.75</v>
      </c>
    </row>
    <row r="15" spans="1:18" x14ac:dyDescent="0.3">
      <c r="A15" s="1" t="s">
        <v>24</v>
      </c>
      <c r="B15" s="1" t="s">
        <v>63</v>
      </c>
      <c r="C15" s="1">
        <v>73.5</v>
      </c>
      <c r="D15" s="1">
        <v>73.5</v>
      </c>
      <c r="E15" s="1">
        <v>73.5</v>
      </c>
      <c r="F15" s="1">
        <v>73.5</v>
      </c>
      <c r="G15" s="1">
        <v>73.5</v>
      </c>
      <c r="H15" s="1">
        <v>73.5</v>
      </c>
      <c r="I15" s="1">
        <v>73.5</v>
      </c>
      <c r="K15" s="3" t="s">
        <v>79</v>
      </c>
      <c r="L15" s="3">
        <v>73.5</v>
      </c>
      <c r="M15" s="3">
        <v>73.5</v>
      </c>
      <c r="N15" s="3">
        <v>73.5</v>
      </c>
      <c r="O15" s="3">
        <v>73.5</v>
      </c>
      <c r="P15" s="3">
        <v>73.5</v>
      </c>
      <c r="Q15" s="3">
        <v>73.5</v>
      </c>
      <c r="R15" s="3">
        <v>73.5</v>
      </c>
    </row>
    <row r="16" spans="1:18" x14ac:dyDescent="0.3">
      <c r="A16" s="1" t="s">
        <v>20</v>
      </c>
      <c r="B16" s="1" t="s">
        <v>64</v>
      </c>
      <c r="C16" s="1">
        <v>425</v>
      </c>
      <c r="D16" s="1">
        <v>425</v>
      </c>
      <c r="E16" s="1">
        <v>425</v>
      </c>
      <c r="F16" s="1">
        <v>425</v>
      </c>
      <c r="G16" s="1">
        <v>425</v>
      </c>
      <c r="H16" s="1">
        <v>425</v>
      </c>
      <c r="I16" s="1">
        <v>425</v>
      </c>
      <c r="K16" s="3" t="s">
        <v>80</v>
      </c>
      <c r="L16" s="3">
        <v>415</v>
      </c>
      <c r="M16" s="3">
        <v>415</v>
      </c>
      <c r="N16" s="3">
        <v>430</v>
      </c>
      <c r="O16" s="3">
        <v>430</v>
      </c>
      <c r="P16" s="3">
        <v>430</v>
      </c>
      <c r="Q16" s="3">
        <v>430</v>
      </c>
      <c r="R16" s="3">
        <v>430</v>
      </c>
    </row>
    <row r="17" spans="1:18" x14ac:dyDescent="0.3">
      <c r="A17" s="1" t="s">
        <v>22</v>
      </c>
      <c r="B17" s="1" t="s">
        <v>65</v>
      </c>
      <c r="C17" s="1">
        <v>1021</v>
      </c>
      <c r="D17" s="1">
        <v>1024</v>
      </c>
      <c r="E17" s="1">
        <v>1034</v>
      </c>
      <c r="F17" s="1">
        <v>1057</v>
      </c>
      <c r="G17" s="1">
        <v>1080</v>
      </c>
      <c r="H17" s="1">
        <v>1092</v>
      </c>
      <c r="I17" s="1">
        <v>1118</v>
      </c>
      <c r="K17" s="3" t="s">
        <v>81</v>
      </c>
      <c r="L17" s="3">
        <v>984</v>
      </c>
      <c r="M17" s="3">
        <v>990</v>
      </c>
      <c r="N17" s="3">
        <f>N42*1000</f>
        <v>0</v>
      </c>
      <c r="O17" s="3">
        <f t="shared" ref="O17:R17" si="0">O42*1000</f>
        <v>0</v>
      </c>
      <c r="P17" s="3">
        <f t="shared" si="0"/>
        <v>0</v>
      </c>
      <c r="Q17" s="3">
        <f t="shared" si="0"/>
        <v>0</v>
      </c>
      <c r="R17" s="3">
        <f t="shared" si="0"/>
        <v>0</v>
      </c>
    </row>
    <row r="18" spans="1:18" x14ac:dyDescent="0.3">
      <c r="A18" s="1" t="s">
        <v>28</v>
      </c>
      <c r="B18" s="1" t="s">
        <v>66</v>
      </c>
      <c r="C18" s="1">
        <v>545</v>
      </c>
      <c r="D18" s="1">
        <v>556</v>
      </c>
      <c r="E18" s="1">
        <v>573</v>
      </c>
      <c r="F18" s="1">
        <v>591</v>
      </c>
      <c r="G18" s="1">
        <v>613</v>
      </c>
      <c r="H18" s="1">
        <v>633</v>
      </c>
      <c r="I18" s="1">
        <v>655</v>
      </c>
      <c r="K18" s="3" t="s">
        <v>82</v>
      </c>
      <c r="L18" s="3">
        <v>514</v>
      </c>
      <c r="M18" s="3">
        <v>533</v>
      </c>
      <c r="N18" s="3">
        <v>556</v>
      </c>
      <c r="O18" s="3">
        <v>579</v>
      </c>
      <c r="P18" s="3">
        <v>605</v>
      </c>
      <c r="Q18" s="3">
        <v>626</v>
      </c>
      <c r="R18" s="3">
        <v>644</v>
      </c>
    </row>
    <row r="19" spans="1:18" x14ac:dyDescent="0.3">
      <c r="A19" s="1" t="s">
        <v>27</v>
      </c>
      <c r="B19" s="1" t="s">
        <v>67</v>
      </c>
      <c r="C19" s="1">
        <v>372</v>
      </c>
      <c r="D19" s="1">
        <v>385</v>
      </c>
      <c r="E19" s="1">
        <v>394</v>
      </c>
      <c r="F19" s="1">
        <v>411</v>
      </c>
      <c r="G19" s="1">
        <v>427</v>
      </c>
      <c r="H19" s="1">
        <v>435</v>
      </c>
      <c r="I19" s="1">
        <v>454</v>
      </c>
      <c r="K19" s="3" t="s">
        <v>83</v>
      </c>
      <c r="L19" s="3">
        <v>364</v>
      </c>
      <c r="M19" s="3">
        <v>373</v>
      </c>
      <c r="N19" s="3">
        <v>390</v>
      </c>
      <c r="O19" s="3">
        <v>405</v>
      </c>
      <c r="P19" s="3">
        <v>412</v>
      </c>
      <c r="Q19" s="3">
        <v>431</v>
      </c>
      <c r="R19" s="3">
        <v>440</v>
      </c>
    </row>
    <row r="20" spans="1:18" x14ac:dyDescent="0.3">
      <c r="A20" s="1" t="s">
        <v>26</v>
      </c>
      <c r="B20" s="1" t="s">
        <v>68</v>
      </c>
      <c r="C20" s="1">
        <v>745</v>
      </c>
      <c r="D20" s="1">
        <v>766</v>
      </c>
      <c r="E20" s="1">
        <v>789</v>
      </c>
      <c r="F20" s="1">
        <v>813</v>
      </c>
      <c r="G20" s="1">
        <v>838</v>
      </c>
      <c r="H20" s="1">
        <v>863</v>
      </c>
      <c r="I20" s="1">
        <v>901</v>
      </c>
      <c r="K20" s="3" t="s">
        <v>84</v>
      </c>
      <c r="L20" s="3">
        <v>725</v>
      </c>
      <c r="M20" s="3">
        <v>751</v>
      </c>
      <c r="N20" s="3">
        <v>781</v>
      </c>
      <c r="O20" s="3">
        <v>808</v>
      </c>
      <c r="P20" s="3">
        <v>834</v>
      </c>
      <c r="Q20" s="3">
        <v>859</v>
      </c>
      <c r="R20" s="3">
        <v>881</v>
      </c>
    </row>
    <row r="21" spans="1:18" x14ac:dyDescent="0.3">
      <c r="A21" s="1" t="s">
        <v>21</v>
      </c>
      <c r="B21" s="1" t="s">
        <v>69</v>
      </c>
      <c r="C21" s="1">
        <v>75</v>
      </c>
      <c r="D21" s="1">
        <v>75</v>
      </c>
      <c r="E21" s="1">
        <v>75</v>
      </c>
      <c r="F21" s="1">
        <v>75</v>
      </c>
      <c r="G21" s="1">
        <v>75</v>
      </c>
      <c r="H21" s="1">
        <v>75</v>
      </c>
      <c r="I21" s="1">
        <v>75</v>
      </c>
      <c r="K21" s="3" t="s">
        <v>85</v>
      </c>
      <c r="L21" s="3">
        <v>60</v>
      </c>
      <c r="M21" s="3">
        <v>60</v>
      </c>
      <c r="N21" s="3">
        <v>75</v>
      </c>
      <c r="O21" s="3">
        <v>75</v>
      </c>
      <c r="P21" s="3">
        <v>75</v>
      </c>
      <c r="Q21" s="3">
        <v>75</v>
      </c>
      <c r="R21" s="3">
        <v>75</v>
      </c>
    </row>
    <row r="22" spans="1:18" x14ac:dyDescent="0.3">
      <c r="A22" s="1" t="s">
        <v>72</v>
      </c>
      <c r="B22" s="1" t="s">
        <v>70</v>
      </c>
      <c r="C22" s="1">
        <v>625</v>
      </c>
      <c r="D22" s="1">
        <v>632</v>
      </c>
      <c r="E22" s="1">
        <v>652</v>
      </c>
      <c r="F22" s="1">
        <v>669</v>
      </c>
      <c r="G22" s="1">
        <v>692</v>
      </c>
      <c r="H22" s="1">
        <v>713</v>
      </c>
      <c r="I22" s="1">
        <v>735</v>
      </c>
      <c r="K22" s="3" t="s">
        <v>70</v>
      </c>
      <c r="L22" s="3">
        <v>603</v>
      </c>
      <c r="M22" s="3">
        <v>624</v>
      </c>
      <c r="N22" s="3">
        <v>647</v>
      </c>
      <c r="O22" s="3">
        <v>669</v>
      </c>
      <c r="P22" s="3">
        <v>696</v>
      </c>
      <c r="Q22" s="3">
        <v>709</v>
      </c>
      <c r="R22" s="3">
        <v>737</v>
      </c>
    </row>
    <row r="23" spans="1:18" x14ac:dyDescent="0.3">
      <c r="A23" s="1" t="s">
        <v>73</v>
      </c>
      <c r="B23" s="1" t="s">
        <v>71</v>
      </c>
      <c r="C23" s="1">
        <v>405</v>
      </c>
      <c r="D23" s="1">
        <v>420</v>
      </c>
      <c r="E23" s="1">
        <v>439</v>
      </c>
      <c r="F23" s="1">
        <v>456</v>
      </c>
      <c r="G23" s="1">
        <v>472</v>
      </c>
      <c r="H23" s="1">
        <v>489</v>
      </c>
      <c r="I23" s="1">
        <v>508</v>
      </c>
      <c r="K23" s="3" t="s">
        <v>71</v>
      </c>
      <c r="L23" s="3">
        <v>410</v>
      </c>
      <c r="M23" s="3">
        <v>430</v>
      </c>
      <c r="N23" s="3">
        <v>447</v>
      </c>
      <c r="O23" s="3">
        <v>464</v>
      </c>
      <c r="P23" s="3">
        <v>481</v>
      </c>
      <c r="Q23" s="3">
        <v>500</v>
      </c>
      <c r="R23" s="3">
        <v>519</v>
      </c>
    </row>
    <row r="24" spans="1:18" x14ac:dyDescent="0.3">
      <c r="A24" s="1" t="s">
        <v>25</v>
      </c>
      <c r="C24" s="1">
        <v>49.6</v>
      </c>
      <c r="D24" s="1">
        <v>52.1</v>
      </c>
      <c r="E24" s="1">
        <v>52.2</v>
      </c>
      <c r="F24" s="1">
        <v>52.2</v>
      </c>
      <c r="G24" s="1">
        <v>51.8</v>
      </c>
      <c r="H24" s="1">
        <v>52.5</v>
      </c>
      <c r="I24" s="1">
        <v>52.2</v>
      </c>
      <c r="J24" s="1" t="s">
        <v>92</v>
      </c>
      <c r="K24" s="1" t="s">
        <v>86</v>
      </c>
      <c r="L24" s="1">
        <v>27.5</v>
      </c>
      <c r="M24" s="1">
        <v>27.5</v>
      </c>
      <c r="N24" s="1">
        <v>27.5</v>
      </c>
      <c r="O24" s="1">
        <v>27.5</v>
      </c>
      <c r="P24" s="1">
        <v>27.5</v>
      </c>
      <c r="Q24" s="1">
        <v>27.5</v>
      </c>
      <c r="R24" s="1">
        <v>27.5</v>
      </c>
    </row>
    <row r="25" spans="1:18" x14ac:dyDescent="0.3">
      <c r="A25" s="1" t="s">
        <v>29</v>
      </c>
      <c r="K25" s="3" t="s">
        <v>87</v>
      </c>
      <c r="L25" s="3">
        <v>70</v>
      </c>
      <c r="M25" s="3">
        <v>80</v>
      </c>
      <c r="N25" s="3">
        <v>80</v>
      </c>
      <c r="O25" s="3">
        <v>80</v>
      </c>
      <c r="P25" s="3">
        <v>90</v>
      </c>
      <c r="Q25" s="3">
        <v>90</v>
      </c>
      <c r="R25" s="3">
        <v>100</v>
      </c>
    </row>
    <row r="26" spans="1:18" x14ac:dyDescent="0.3">
      <c r="A26" s="1" t="s">
        <v>30</v>
      </c>
      <c r="K26" s="3" t="s">
        <v>88</v>
      </c>
      <c r="L26" s="3">
        <v>400</v>
      </c>
      <c r="M26" s="3">
        <v>400</v>
      </c>
      <c r="N26" s="3">
        <v>420</v>
      </c>
      <c r="O26" s="3">
        <v>440</v>
      </c>
      <c r="P26" s="3">
        <v>440</v>
      </c>
      <c r="Q26" s="3">
        <v>460</v>
      </c>
      <c r="R26" s="3">
        <v>460</v>
      </c>
    </row>
    <row r="27" spans="1:18" x14ac:dyDescent="0.3">
      <c r="A27" s="1" t="s">
        <v>31</v>
      </c>
      <c r="K27" s="3" t="s">
        <v>89</v>
      </c>
      <c r="L27" s="3">
        <v>165</v>
      </c>
      <c r="M27" s="3">
        <v>165</v>
      </c>
      <c r="N27" s="3">
        <v>170</v>
      </c>
      <c r="O27" s="3">
        <v>172.5</v>
      </c>
      <c r="P27" s="3">
        <v>172.5</v>
      </c>
      <c r="Q27" s="3">
        <v>175</v>
      </c>
      <c r="R27" s="3">
        <v>175</v>
      </c>
    </row>
    <row r="28" spans="1:18" x14ac:dyDescent="0.3">
      <c r="A28" s="1" t="s">
        <v>32</v>
      </c>
      <c r="C28" s="1">
        <v>60</v>
      </c>
      <c r="D28" s="1">
        <v>60</v>
      </c>
      <c r="E28" s="1">
        <v>70</v>
      </c>
      <c r="F28" s="1">
        <v>70</v>
      </c>
      <c r="G28" s="1">
        <v>70</v>
      </c>
      <c r="H28" s="1">
        <v>80</v>
      </c>
      <c r="I28" s="1">
        <v>80</v>
      </c>
      <c r="J28" s="1" t="s">
        <v>92</v>
      </c>
      <c r="K28" s="1" t="s">
        <v>34</v>
      </c>
      <c r="L28" s="1">
        <v>650</v>
      </c>
      <c r="M28" s="1">
        <v>650</v>
      </c>
      <c r="N28" s="1">
        <v>700</v>
      </c>
      <c r="O28" s="1">
        <v>700</v>
      </c>
      <c r="P28" s="1">
        <v>700</v>
      </c>
      <c r="Q28" s="1">
        <v>700</v>
      </c>
      <c r="R28" s="1">
        <v>700</v>
      </c>
    </row>
    <row r="29" spans="1:18" x14ac:dyDescent="0.3">
      <c r="A29" s="1" t="s">
        <v>33</v>
      </c>
      <c r="K29" s="1" t="s">
        <v>35</v>
      </c>
      <c r="L29" s="1">
        <v>40</v>
      </c>
      <c r="M29" s="1">
        <v>40</v>
      </c>
      <c r="N29" s="1">
        <v>40</v>
      </c>
      <c r="O29" s="1">
        <v>40</v>
      </c>
      <c r="P29" s="1">
        <v>40</v>
      </c>
      <c r="Q29" s="1">
        <v>40</v>
      </c>
      <c r="R29" s="1">
        <v>40</v>
      </c>
    </row>
    <row r="30" spans="1:18" x14ac:dyDescent="0.3">
      <c r="A30" s="1" t="s">
        <v>34</v>
      </c>
      <c r="C30" s="1">
        <v>700</v>
      </c>
      <c r="D30" s="1">
        <v>700</v>
      </c>
      <c r="E30" s="1">
        <v>700</v>
      </c>
      <c r="F30" s="1">
        <v>700</v>
      </c>
      <c r="G30" s="1">
        <v>700</v>
      </c>
      <c r="H30" s="1">
        <v>700</v>
      </c>
      <c r="I30" s="1">
        <v>700</v>
      </c>
    </row>
    <row r="31" spans="1:18" x14ac:dyDescent="0.3">
      <c r="A31" s="1" t="s">
        <v>35</v>
      </c>
      <c r="C31" s="1">
        <v>40</v>
      </c>
      <c r="D31" s="1">
        <v>40</v>
      </c>
      <c r="E31" s="1">
        <v>40</v>
      </c>
      <c r="F31" s="1">
        <v>40</v>
      </c>
      <c r="G31" s="1">
        <v>40</v>
      </c>
      <c r="H31" s="1">
        <v>40</v>
      </c>
      <c r="I31" s="1">
        <v>40</v>
      </c>
    </row>
    <row r="32" spans="1:18" x14ac:dyDescent="0.3">
      <c r="A32" s="1" t="s">
        <v>36</v>
      </c>
      <c r="C32" s="1">
        <v>42</v>
      </c>
      <c r="D32" s="1">
        <v>42</v>
      </c>
      <c r="E32" s="1">
        <v>42</v>
      </c>
      <c r="F32" s="1">
        <v>42</v>
      </c>
      <c r="G32" s="1">
        <v>42</v>
      </c>
      <c r="H32" s="1">
        <v>42</v>
      </c>
      <c r="I32" s="1">
        <v>42</v>
      </c>
    </row>
    <row r="33" spans="1:9" x14ac:dyDescent="0.3">
      <c r="A33" s="1" t="s">
        <v>37</v>
      </c>
      <c r="C33" s="1">
        <f>C35</f>
        <v>160</v>
      </c>
      <c r="D33" s="1">
        <f>AVERAGE(D35,C36)</f>
        <v>168</v>
      </c>
      <c r="E33" s="1">
        <f t="shared" ref="E33:I33" si="1">AVERAGE(E35,D36)</f>
        <v>173.5</v>
      </c>
      <c r="F33" s="1">
        <f t="shared" si="1"/>
        <v>180</v>
      </c>
      <c r="G33" s="1">
        <f t="shared" si="1"/>
        <v>186</v>
      </c>
      <c r="H33" s="1">
        <f t="shared" si="1"/>
        <v>191.5</v>
      </c>
      <c r="I33" s="1">
        <f t="shared" si="1"/>
        <v>197.5</v>
      </c>
    </row>
    <row r="34" spans="1:9" x14ac:dyDescent="0.3">
      <c r="A34" s="1" t="s">
        <v>38</v>
      </c>
      <c r="C34" s="1">
        <f>D33</f>
        <v>168</v>
      </c>
      <c r="D34" s="1">
        <f t="shared" ref="D34:H34" si="2">E33</f>
        <v>173.5</v>
      </c>
      <c r="E34" s="1">
        <f t="shared" si="2"/>
        <v>180</v>
      </c>
      <c r="F34" s="1">
        <f t="shared" si="2"/>
        <v>186</v>
      </c>
      <c r="G34" s="1">
        <f t="shared" si="2"/>
        <v>191.5</v>
      </c>
      <c r="H34" s="1">
        <f t="shared" si="2"/>
        <v>197.5</v>
      </c>
      <c r="I34" s="1">
        <f t="shared" ref="I34" si="3">I36</f>
        <v>206</v>
      </c>
    </row>
    <row r="35" spans="1:9" x14ac:dyDescent="0.3">
      <c r="C35" s="1">
        <v>160</v>
      </c>
      <c r="D35" s="1">
        <v>167</v>
      </c>
      <c r="E35" s="1">
        <v>172</v>
      </c>
      <c r="F35" s="1">
        <v>179</v>
      </c>
      <c r="G35" s="1">
        <v>185</v>
      </c>
      <c r="H35" s="1">
        <v>190</v>
      </c>
      <c r="I35" s="1">
        <v>196</v>
      </c>
    </row>
    <row r="36" spans="1:9" x14ac:dyDescent="0.3">
      <c r="C36" s="1">
        <v>169</v>
      </c>
      <c r="D36" s="1">
        <v>175</v>
      </c>
      <c r="E36" s="1">
        <v>181</v>
      </c>
      <c r="F36" s="1">
        <v>187</v>
      </c>
      <c r="G36" s="1">
        <v>193</v>
      </c>
      <c r="H36" s="1">
        <v>199</v>
      </c>
      <c r="I36" s="1">
        <v>206</v>
      </c>
    </row>
    <row r="37" spans="1:9" x14ac:dyDescent="0.3">
      <c r="B37" s="1" t="s">
        <v>43</v>
      </c>
      <c r="C37" s="1" t="s">
        <v>44</v>
      </c>
      <c r="D37" s="1" t="s">
        <v>45</v>
      </c>
      <c r="E37" s="1" t="s">
        <v>46</v>
      </c>
      <c r="F37" s="1" t="s">
        <v>47</v>
      </c>
      <c r="G37" s="1" t="s">
        <v>48</v>
      </c>
      <c r="H37" s="1" t="s">
        <v>49</v>
      </c>
      <c r="I37" s="1" t="s">
        <v>50</v>
      </c>
    </row>
    <row r="39" spans="1:9" x14ac:dyDescent="0.3">
      <c r="B39" s="1" t="s">
        <v>51</v>
      </c>
      <c r="C39" s="1" t="s">
        <v>52</v>
      </c>
      <c r="D39" s="1" t="s">
        <v>53</v>
      </c>
      <c r="E39" s="1" t="s">
        <v>54</v>
      </c>
      <c r="F39" s="1" t="s">
        <v>55</v>
      </c>
      <c r="G39" s="1" t="s">
        <v>56</v>
      </c>
      <c r="H39" s="1" t="s">
        <v>57</v>
      </c>
      <c r="I39" s="1" t="s">
        <v>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Canyon Grail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2025-07-15T14:07:03Z</dcterms:created>
  <dcterms:modified xsi:type="dcterms:W3CDTF">2025-07-15T18:32:15Z</dcterms:modified>
</cp:coreProperties>
</file>