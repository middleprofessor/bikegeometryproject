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DE24C888-BB9F-A047-B9A8-45ABEF28F4AF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E10" i="1"/>
  <c r="F10" i="1"/>
  <c r="G10" i="1"/>
  <c r="H10" i="1"/>
  <c r="D11" i="1"/>
  <c r="E11" i="1"/>
  <c r="F11" i="1"/>
  <c r="G11" i="1"/>
  <c r="H11" i="1"/>
  <c r="D12" i="1"/>
  <c r="E12" i="1"/>
  <c r="F12" i="1"/>
  <c r="G12" i="1"/>
  <c r="H12" i="1"/>
  <c r="D13" i="1"/>
  <c r="E13" i="1"/>
  <c r="F13" i="1"/>
  <c r="G13" i="1"/>
  <c r="H13" i="1"/>
  <c r="D14" i="1"/>
  <c r="E14" i="1"/>
  <c r="F14" i="1"/>
  <c r="G14" i="1"/>
  <c r="H14" i="1"/>
  <c r="D15" i="1"/>
  <c r="E15" i="1"/>
  <c r="F15" i="1"/>
  <c r="G15" i="1"/>
  <c r="H15" i="1"/>
  <c r="D16" i="1"/>
  <c r="E16" i="1"/>
  <c r="F16" i="1"/>
  <c r="G16" i="1"/>
  <c r="H16" i="1"/>
  <c r="D17" i="1"/>
  <c r="E17" i="1"/>
  <c r="F17" i="1"/>
  <c r="G17" i="1"/>
  <c r="H17" i="1"/>
  <c r="D18" i="1"/>
  <c r="E18" i="1"/>
  <c r="F18" i="1"/>
  <c r="G18" i="1"/>
  <c r="H18" i="1"/>
  <c r="D19" i="1"/>
  <c r="E19" i="1"/>
  <c r="F19" i="1"/>
  <c r="G19" i="1"/>
  <c r="H19" i="1"/>
  <c r="D20" i="1"/>
  <c r="E20" i="1"/>
  <c r="F20" i="1"/>
  <c r="G20" i="1"/>
  <c r="H20" i="1"/>
  <c r="D21" i="1"/>
  <c r="E21" i="1"/>
  <c r="F21" i="1"/>
  <c r="G21" i="1"/>
  <c r="H21" i="1"/>
  <c r="D22" i="1"/>
  <c r="E22" i="1"/>
  <c r="F22" i="1"/>
  <c r="G22" i="1"/>
  <c r="H22" i="1"/>
  <c r="D23" i="1"/>
  <c r="E23" i="1"/>
  <c r="F23" i="1"/>
  <c r="G23" i="1"/>
  <c r="H23" i="1"/>
  <c r="D24" i="1"/>
  <c r="E24" i="1"/>
  <c r="F24" i="1"/>
  <c r="G24" i="1"/>
  <c r="H24" i="1"/>
  <c r="D25" i="1"/>
  <c r="E25" i="1"/>
  <c r="F25" i="1"/>
  <c r="G25" i="1"/>
  <c r="H25" i="1"/>
  <c r="D26" i="1"/>
  <c r="E26" i="1"/>
  <c r="F26" i="1"/>
  <c r="G26" i="1"/>
  <c r="H26" i="1"/>
  <c r="C11" i="1"/>
  <c r="C13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2" i="1"/>
  <c r="C10" i="1"/>
</calcChain>
</file>

<file path=xl/sharedStrings.xml><?xml version="1.0" encoding="utf-8"?>
<sst xmlns="http://schemas.openxmlformats.org/spreadsheetml/2006/main" count="128" uniqueCount="122">
  <si>
    <t>brand</t>
  </si>
  <si>
    <t>Trek</t>
  </si>
  <si>
    <t>model</t>
  </si>
  <si>
    <t>model year</t>
  </si>
  <si>
    <t>2025</t>
  </si>
  <si>
    <t>input date</t>
  </si>
  <si>
    <t>URL</t>
  </si>
  <si>
    <t>data_range</t>
  </si>
  <si>
    <t>frame_size</t>
  </si>
  <si>
    <t>XS</t>
  </si>
  <si>
    <t>S</t>
  </si>
  <si>
    <t>M</t>
  </si>
  <si>
    <t>ML</t>
  </si>
  <si>
    <t>L</t>
  </si>
  <si>
    <t>XL</t>
  </si>
  <si>
    <t>wheel_size</t>
  </si>
  <si>
    <t>Wheel size</t>
  </si>
  <si>
    <t>seat_tube_length</t>
  </si>
  <si>
    <t>seat_tube_angle</t>
  </si>
  <si>
    <t>head_tube_length</t>
  </si>
  <si>
    <t>head_tube_angle</t>
  </si>
  <si>
    <t>top_tube_effective_length</t>
  </si>
  <si>
    <t>bottom_bracket_drop</t>
  </si>
  <si>
    <t>chainstay_length</t>
  </si>
  <si>
    <t>fork_offset_rake</t>
  </si>
  <si>
    <t>trail</t>
  </si>
  <si>
    <t>wheelbase</t>
  </si>
  <si>
    <t>standover</t>
  </si>
  <si>
    <t>reach</t>
  </si>
  <si>
    <t>stack</t>
  </si>
  <si>
    <t>axle_crown</t>
  </si>
  <si>
    <t>handlebar_width</t>
  </si>
  <si>
    <t>stem_length</t>
  </si>
  <si>
    <t>crank_length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</si>
  <si>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</si>
  <si>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</si>
  <si>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</si>
  <si>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</si>
  <si>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</si>
  <si>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</si>
  <si>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</si>
  <si>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</si>
  <si>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</si>
  <si>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</si>
  <si>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</si>
  <si>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</si>
  <si>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</si>
  <si>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</si>
  <si>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</si>
  <si>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no</t>
  </si>
  <si>
    <t>stem_suspension</t>
  </si>
  <si>
    <t>rear_suspension</t>
  </si>
  <si>
    <t>rear_axle</t>
  </si>
  <si>
    <t>front_axle</t>
  </si>
  <si>
    <t>bottom_bracket</t>
  </si>
  <si>
    <t>threaded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</si>
  <si>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</si>
  <si>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</si>
  <si>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</si>
  <si>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</si>
  <si>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</si>
  <si>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</si>
  <si>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</si>
  <si>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</si>
  <si>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</si>
  <si>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</si>
  <si>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</si>
  <si>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</si>
  <si>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</si>
  <si>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</si>
  <si>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</si>
  <si>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</si>
  <si>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</si>
  <si>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</si>
  <si>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</si>
  <si>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</si>
  <si>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</si>
  <si>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</si>
  <si>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</si>
  <si>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</si>
  <si>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</si>
  <si>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</si>
  <si>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</si>
  <si>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</si>
  <si>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</si>
  <si>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Checkmate</t>
  </si>
  <si>
    <t>https://www.trekbikes.com/us/en_US/bikes/road-bikes/gravel-bikes/drop-bar-gravel-bikes/checkmate/c/B225/</t>
  </si>
  <si>
    <t>Frame size letter</t>
  </si>
  <si>
    <t>Saddle rail height min (w/short mast)</t>
  </si>
  <si>
    <t>Saddle rail height max (w/short mast)</t>
  </si>
  <si>
    <t>Saddle rail height min (w/tall mast)</t>
  </si>
  <si>
    <t>Saddle rail height max (w/tall mast)</t>
  </si>
  <si>
    <t>A — Seat tube</t>
  </si>
  <si>
    <t>B — Seat tube angle</t>
  </si>
  <si>
    <t>C — Head tube length</t>
  </si>
  <si>
    <t>D — Head angle</t>
  </si>
  <si>
    <t>E — Effective top tube</t>
  </si>
  <si>
    <t>G — Bottom bracket drop</t>
  </si>
  <si>
    <t>H — Chainstay length</t>
  </si>
  <si>
    <t>I — Offset</t>
  </si>
  <si>
    <t>J — Trail</t>
  </si>
  <si>
    <t>K — Wheelbase</t>
  </si>
  <si>
    <t>L — Standover</t>
  </si>
  <si>
    <t>M — Frame reach</t>
  </si>
  <si>
    <t>N — Frame stack</t>
  </si>
  <si>
    <t>USD</t>
  </si>
  <si>
    <t>frame_weight</t>
  </si>
  <si>
    <t>saddle_rail_min</t>
  </si>
  <si>
    <t>saddle_rail_max</t>
  </si>
  <si>
    <t>saddle_rail_min_tall</t>
  </si>
  <si>
    <t>saddle_rail_max_tall</t>
  </si>
  <si>
    <t>integrated</t>
  </si>
  <si>
    <t>a8:h35</t>
  </si>
  <si>
    <t>https://media.trekbikes.com/image/upload/w_1920,h_1440,c_auto,f_auto,fl_progressive:semi,q_auto/TK25_WEB_FDP_RoadGravel_MY25-Checkmate-SLR_Lifestyle__Afternoon_A7R4-01923_4000x3000</t>
  </si>
  <si>
    <t>location</t>
  </si>
  <si>
    <t>Waterloo, Wisconsin, USA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</si>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</sst>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2"/>
  <sheetViews>
    <sheetView tabSelected="1" topLeftCell="A58" workbookViewId="0">
      <selection activeCell="A75" sqref="A75:B76"/>
    </sheetView>
  </sheetViews>
  <sheetFormatPr baseColWidth="10" defaultRowHeight="20" x14ac:dyDescent="0.3"/>
  <cols>
    <col min="1" max="1" width="19.6640625" customWidth="1"/>
    <col min="2" max="2" width="24.33203125" customWidth="1"/>
  </cols>
  <sheetData>
    <row r="1" spans="1:15" x14ac:dyDescent="0.3">
      <c r="A1" t="s">
        <v>0</v>
      </c>
      <c r="B1" t="s">
        <v>1</v>
      </c>
    </row>
    <row r="2" spans="1:15" x14ac:dyDescent="0.3">
      <c r="A2" t="s">
        <v>2</v>
      </c>
      <c r="B2" s="1" t="s">
        <v>85</v>
      </c>
    </row>
    <row r="3" spans="1:15" x14ac:dyDescent="0.3">
      <c r="A3" t="s">
        <v>3</v>
      </c>
      <c r="B3" t="s">
        <v>4</v>
      </c>
    </row>
    <row r="4" spans="1:15" x14ac:dyDescent="0.3">
      <c r="A4" t="s">
        <v>5</v>
      </c>
      <c r="B4" s="2">
        <v>45911</v>
      </c>
    </row>
    <row r="5" spans="1:15" x14ac:dyDescent="0.3">
      <c r="A5" t="s">
        <v>6</v>
      </c>
      <c r="B5" t="s">
        <v>86</v>
      </c>
    </row>
    <row r="6" spans="1:15" x14ac:dyDescent="0.3">
      <c r="B6" t="s">
        <v>113</v>
      </c>
    </row>
    <row r="7" spans="1:15" x14ac:dyDescent="0.3">
      <c r="A7" t="s">
        <v>7</v>
      </c>
      <c r="B7" s="1" t="s">
        <v>112</v>
      </c>
    </row>
    <row r="8" spans="1:15" x14ac:dyDescent="0.3">
      <c r="A8" t="s">
        <v>8</v>
      </c>
      <c r="B8" t="s">
        <v>87</v>
      </c>
      <c r="C8" t="s">
        <v>9</v>
      </c>
      <c r="D8" t="s">
        <v>10</v>
      </c>
      <c r="E8" t="s">
        <v>11</v>
      </c>
      <c r="F8" t="s">
        <v>12</v>
      </c>
      <c r="G8" t="s">
        <v>13</v>
      </c>
      <c r="H8" t="s">
        <v>14</v>
      </c>
    </row>
    <row r="9" spans="1:15" x14ac:dyDescent="0.3">
      <c r="A9" t="s">
        <v>15</v>
      </c>
      <c r="B9" t="s">
        <v>16</v>
      </c>
      <c r="C9">
        <v>700</v>
      </c>
      <c r="D9">
        <v>700</v>
      </c>
      <c r="E9">
        <v>700</v>
      </c>
      <c r="F9">
        <v>700</v>
      </c>
      <c r="G9">
        <v>700</v>
      </c>
      <c r="H9">
        <v>700</v>
      </c>
      <c r="J9">
        <v>700</v>
      </c>
      <c r="K9">
        <v>700</v>
      </c>
      <c r="L9">
        <v>700</v>
      </c>
      <c r="M9">
        <v>700</v>
      </c>
      <c r="N9">
        <v>700</v>
      </c>
      <c r="O9">
        <v>700</v>
      </c>
    </row>
    <row r="10" spans="1:15" x14ac:dyDescent="0.3">
      <c r="A10" t="s">
        <v>17</v>
      </c>
      <c r="B10" t="s">
        <v>92</v>
      </c>
      <c r="C10">
        <f>J10*10</f>
        <v>373</v>
      </c>
      <c r="D10">
        <f t="shared" ref="D10:H10" si="0">K10*10</f>
        <v>414</v>
      </c>
      <c r="E10">
        <f t="shared" si="0"/>
        <v>455</v>
      </c>
      <c r="F10">
        <f t="shared" si="0"/>
        <v>500</v>
      </c>
      <c r="G10">
        <f t="shared" si="0"/>
        <v>537</v>
      </c>
      <c r="H10">
        <f t="shared" si="0"/>
        <v>583</v>
      </c>
      <c r="J10">
        <v>37.299999999999997</v>
      </c>
      <c r="K10">
        <v>41.4</v>
      </c>
      <c r="L10">
        <v>45.5</v>
      </c>
      <c r="M10">
        <v>50</v>
      </c>
      <c r="N10">
        <v>53.7</v>
      </c>
      <c r="O10">
        <v>58.3</v>
      </c>
    </row>
    <row r="11" spans="1:15" x14ac:dyDescent="0.3">
      <c r="A11" t="s">
        <v>18</v>
      </c>
      <c r="B11" t="s">
        <v>93</v>
      </c>
      <c r="C11">
        <f>J11</f>
        <v>73.900000000000006</v>
      </c>
      <c r="D11">
        <f t="shared" ref="D11:H11" si="1">K11</f>
        <v>73.900000000000006</v>
      </c>
      <c r="E11">
        <f t="shared" si="1"/>
        <v>73.7</v>
      </c>
      <c r="F11">
        <f t="shared" si="1"/>
        <v>73.5</v>
      </c>
      <c r="G11">
        <f t="shared" si="1"/>
        <v>73.599999999999994</v>
      </c>
      <c r="H11">
        <f t="shared" si="1"/>
        <v>73.7</v>
      </c>
      <c r="J11">
        <v>73.900000000000006</v>
      </c>
      <c r="K11">
        <v>73.900000000000006</v>
      </c>
      <c r="L11">
        <v>73.7</v>
      </c>
      <c r="M11">
        <v>73.5</v>
      </c>
      <c r="N11">
        <v>73.599999999999994</v>
      </c>
      <c r="O11">
        <v>73.7</v>
      </c>
    </row>
    <row r="12" spans="1:15" x14ac:dyDescent="0.3">
      <c r="A12" t="s">
        <v>19</v>
      </c>
      <c r="B12" t="s">
        <v>94</v>
      </c>
      <c r="C12">
        <f>J12*10</f>
        <v>91</v>
      </c>
      <c r="D12">
        <f t="shared" ref="D12:H12" si="2">K12*10</f>
        <v>106</v>
      </c>
      <c r="E12">
        <f t="shared" si="2"/>
        <v>126</v>
      </c>
      <c r="F12">
        <f t="shared" si="2"/>
        <v>150</v>
      </c>
      <c r="G12">
        <f t="shared" si="2"/>
        <v>174</v>
      </c>
      <c r="H12">
        <f t="shared" si="2"/>
        <v>199</v>
      </c>
      <c r="J12">
        <v>9.1</v>
      </c>
      <c r="K12">
        <v>10.6</v>
      </c>
      <c r="L12">
        <v>12.6</v>
      </c>
      <c r="M12">
        <v>15</v>
      </c>
      <c r="N12">
        <v>17.399999999999999</v>
      </c>
      <c r="O12">
        <v>19.899999999999999</v>
      </c>
    </row>
    <row r="13" spans="1:15" x14ac:dyDescent="0.3">
      <c r="A13" t="s">
        <v>20</v>
      </c>
      <c r="B13" t="s">
        <v>95</v>
      </c>
      <c r="C13">
        <f>J13</f>
        <v>71</v>
      </c>
      <c r="D13">
        <f t="shared" ref="D13:H13" si="3">K13</f>
        <v>71.3</v>
      </c>
      <c r="E13">
        <f t="shared" si="3"/>
        <v>71.5</v>
      </c>
      <c r="F13">
        <f t="shared" si="3"/>
        <v>71.7</v>
      </c>
      <c r="G13">
        <f t="shared" si="3"/>
        <v>72</v>
      </c>
      <c r="H13">
        <f t="shared" si="3"/>
        <v>72.400000000000006</v>
      </c>
      <c r="J13">
        <v>71</v>
      </c>
      <c r="K13">
        <v>71.3</v>
      </c>
      <c r="L13">
        <v>71.5</v>
      </c>
      <c r="M13">
        <v>71.7</v>
      </c>
      <c r="N13">
        <v>72</v>
      </c>
      <c r="O13">
        <v>72.400000000000006</v>
      </c>
    </row>
    <row r="14" spans="1:15" x14ac:dyDescent="0.3">
      <c r="A14" t="s">
        <v>21</v>
      </c>
      <c r="B14" t="s">
        <v>96</v>
      </c>
      <c r="C14">
        <f t="shared" ref="C14:C26" si="4">J14*10</f>
        <v>532</v>
      </c>
      <c r="D14">
        <f t="shared" ref="D14:H26" si="5">K14*10</f>
        <v>540</v>
      </c>
      <c r="E14">
        <f t="shared" si="5"/>
        <v>555</v>
      </c>
      <c r="F14">
        <f t="shared" si="5"/>
        <v>570</v>
      </c>
      <c r="G14">
        <f t="shared" si="5"/>
        <v>581</v>
      </c>
      <c r="H14">
        <f t="shared" si="5"/>
        <v>592</v>
      </c>
      <c r="J14">
        <v>53.2</v>
      </c>
      <c r="K14">
        <v>54</v>
      </c>
      <c r="L14">
        <v>55.5</v>
      </c>
      <c r="M14">
        <v>57</v>
      </c>
      <c r="N14">
        <v>58.1</v>
      </c>
      <c r="O14">
        <v>59.2</v>
      </c>
    </row>
    <row r="15" spans="1:15" x14ac:dyDescent="0.3">
      <c r="A15" t="s">
        <v>22</v>
      </c>
      <c r="B15" t="s">
        <v>97</v>
      </c>
      <c r="C15">
        <f t="shared" si="4"/>
        <v>80</v>
      </c>
      <c r="D15">
        <f t="shared" si="5"/>
        <v>80</v>
      </c>
      <c r="E15">
        <f t="shared" si="5"/>
        <v>80</v>
      </c>
      <c r="F15">
        <f t="shared" si="5"/>
        <v>80</v>
      </c>
      <c r="G15">
        <f t="shared" si="5"/>
        <v>80</v>
      </c>
      <c r="H15">
        <f t="shared" si="5"/>
        <v>80</v>
      </c>
      <c r="J15">
        <v>8</v>
      </c>
      <c r="K15">
        <v>8</v>
      </c>
      <c r="L15">
        <v>8</v>
      </c>
      <c r="M15">
        <v>8</v>
      </c>
      <c r="N15">
        <v>8</v>
      </c>
      <c r="O15">
        <v>8</v>
      </c>
    </row>
    <row r="16" spans="1:15" x14ac:dyDescent="0.3">
      <c r="A16" t="s">
        <v>23</v>
      </c>
      <c r="B16" t="s">
        <v>98</v>
      </c>
      <c r="C16">
        <f t="shared" si="4"/>
        <v>426</v>
      </c>
      <c r="D16">
        <f t="shared" si="5"/>
        <v>426</v>
      </c>
      <c r="E16">
        <f t="shared" si="5"/>
        <v>426</v>
      </c>
      <c r="F16">
        <f t="shared" si="5"/>
        <v>426</v>
      </c>
      <c r="G16">
        <f t="shared" si="5"/>
        <v>426</v>
      </c>
      <c r="H16">
        <f t="shared" si="5"/>
        <v>426</v>
      </c>
      <c r="J16">
        <v>42.6</v>
      </c>
      <c r="K16">
        <v>42.6</v>
      </c>
      <c r="L16">
        <v>42.6</v>
      </c>
      <c r="M16">
        <v>42.6</v>
      </c>
      <c r="N16">
        <v>42.6</v>
      </c>
      <c r="O16">
        <v>42.6</v>
      </c>
    </row>
    <row r="17" spans="1:15" x14ac:dyDescent="0.3">
      <c r="A17" t="s">
        <v>24</v>
      </c>
      <c r="B17" t="s">
        <v>99</v>
      </c>
      <c r="C17">
        <f t="shared" si="4"/>
        <v>49</v>
      </c>
      <c r="D17">
        <f t="shared" si="5"/>
        <v>49</v>
      </c>
      <c r="E17">
        <f t="shared" si="5"/>
        <v>49</v>
      </c>
      <c r="F17">
        <f t="shared" si="5"/>
        <v>49</v>
      </c>
      <c r="G17">
        <f t="shared" si="5"/>
        <v>49</v>
      </c>
      <c r="H17">
        <f t="shared" si="5"/>
        <v>49</v>
      </c>
      <c r="J17">
        <v>4.9000000000000004</v>
      </c>
      <c r="K17">
        <v>4.9000000000000004</v>
      </c>
      <c r="L17">
        <v>4.9000000000000004</v>
      </c>
      <c r="M17">
        <v>4.9000000000000004</v>
      </c>
      <c r="N17">
        <v>4.9000000000000004</v>
      </c>
      <c r="O17">
        <v>4.9000000000000004</v>
      </c>
    </row>
    <row r="18" spans="1:15" x14ac:dyDescent="0.3">
      <c r="A18" t="s">
        <v>25</v>
      </c>
      <c r="B18" t="s">
        <v>100</v>
      </c>
      <c r="C18">
        <f t="shared" si="4"/>
        <v>72</v>
      </c>
      <c r="D18">
        <f t="shared" si="5"/>
        <v>70</v>
      </c>
      <c r="E18">
        <f t="shared" si="5"/>
        <v>68</v>
      </c>
      <c r="F18">
        <f t="shared" si="5"/>
        <v>67</v>
      </c>
      <c r="G18">
        <f t="shared" si="5"/>
        <v>65</v>
      </c>
      <c r="H18">
        <f t="shared" si="5"/>
        <v>62</v>
      </c>
      <c r="J18">
        <v>7.2</v>
      </c>
      <c r="K18">
        <v>7</v>
      </c>
      <c r="L18">
        <v>6.8</v>
      </c>
      <c r="M18">
        <v>6.7</v>
      </c>
      <c r="N18">
        <v>6.5</v>
      </c>
      <c r="O18">
        <v>6.2</v>
      </c>
    </row>
    <row r="19" spans="1:15" x14ac:dyDescent="0.3">
      <c r="A19" t="s">
        <v>26</v>
      </c>
      <c r="B19" t="s">
        <v>101</v>
      </c>
      <c r="C19">
        <f t="shared" si="4"/>
        <v>1003</v>
      </c>
      <c r="D19">
        <f t="shared" si="5"/>
        <v>1011</v>
      </c>
      <c r="E19">
        <f t="shared" si="5"/>
        <v>1022</v>
      </c>
      <c r="F19">
        <f t="shared" si="5"/>
        <v>1035</v>
      </c>
      <c r="G19">
        <f t="shared" si="5"/>
        <v>1045</v>
      </c>
      <c r="H19">
        <f t="shared" si="5"/>
        <v>1054</v>
      </c>
      <c r="J19">
        <v>100.3</v>
      </c>
      <c r="K19">
        <v>101.1</v>
      </c>
      <c r="L19">
        <v>102.2</v>
      </c>
      <c r="M19">
        <v>103.5</v>
      </c>
      <c r="N19">
        <v>104.5</v>
      </c>
      <c r="O19">
        <v>105.4</v>
      </c>
    </row>
    <row r="20" spans="1:15" x14ac:dyDescent="0.3">
      <c r="A20" t="s">
        <v>27</v>
      </c>
      <c r="B20" t="s">
        <v>102</v>
      </c>
      <c r="C20">
        <f t="shared" si="4"/>
        <v>718</v>
      </c>
      <c r="D20">
        <f t="shared" si="5"/>
        <v>747</v>
      </c>
      <c r="E20">
        <f t="shared" si="5"/>
        <v>782</v>
      </c>
      <c r="F20">
        <f t="shared" si="5"/>
        <v>816</v>
      </c>
      <c r="G20">
        <f t="shared" si="5"/>
        <v>851</v>
      </c>
      <c r="H20">
        <f t="shared" si="5"/>
        <v>886</v>
      </c>
      <c r="J20">
        <v>71.8</v>
      </c>
      <c r="K20">
        <v>74.7</v>
      </c>
      <c r="L20">
        <v>78.2</v>
      </c>
      <c r="M20">
        <v>81.599999999999994</v>
      </c>
      <c r="N20">
        <v>85.1</v>
      </c>
      <c r="O20">
        <v>88.6</v>
      </c>
    </row>
    <row r="21" spans="1:15" x14ac:dyDescent="0.3">
      <c r="A21" t="s">
        <v>28</v>
      </c>
      <c r="B21" t="s">
        <v>103</v>
      </c>
      <c r="C21">
        <f t="shared" si="4"/>
        <v>380</v>
      </c>
      <c r="D21">
        <f t="shared" si="5"/>
        <v>385</v>
      </c>
      <c r="E21">
        <f t="shared" si="5"/>
        <v>392</v>
      </c>
      <c r="F21">
        <f t="shared" si="5"/>
        <v>399</v>
      </c>
      <c r="G21">
        <f t="shared" si="5"/>
        <v>404</v>
      </c>
      <c r="H21">
        <f t="shared" si="5"/>
        <v>409</v>
      </c>
      <c r="J21">
        <v>38</v>
      </c>
      <c r="K21">
        <v>38.5</v>
      </c>
      <c r="L21">
        <v>39.200000000000003</v>
      </c>
      <c r="M21">
        <v>39.9</v>
      </c>
      <c r="N21">
        <v>40.4</v>
      </c>
      <c r="O21">
        <v>40.9</v>
      </c>
    </row>
    <row r="22" spans="1:15" x14ac:dyDescent="0.3">
      <c r="A22" t="s">
        <v>29</v>
      </c>
      <c r="B22" t="s">
        <v>104</v>
      </c>
      <c r="C22">
        <f t="shared" si="4"/>
        <v>525</v>
      </c>
      <c r="D22">
        <f t="shared" si="5"/>
        <v>540</v>
      </c>
      <c r="E22">
        <f t="shared" si="5"/>
        <v>560</v>
      </c>
      <c r="F22">
        <f t="shared" si="5"/>
        <v>584</v>
      </c>
      <c r="G22">
        <f t="shared" si="5"/>
        <v>608</v>
      </c>
      <c r="H22">
        <f t="shared" si="5"/>
        <v>633</v>
      </c>
      <c r="J22">
        <v>52.5</v>
      </c>
      <c r="K22">
        <v>54</v>
      </c>
      <c r="L22">
        <v>56</v>
      </c>
      <c r="M22">
        <v>58.4</v>
      </c>
      <c r="N22">
        <v>60.8</v>
      </c>
      <c r="O22">
        <v>63.3</v>
      </c>
    </row>
    <row r="23" spans="1:15" x14ac:dyDescent="0.3">
      <c r="A23" s="1" t="s">
        <v>107</v>
      </c>
      <c r="B23" t="s">
        <v>88</v>
      </c>
      <c r="C23">
        <f t="shared" si="4"/>
        <v>546</v>
      </c>
      <c r="D23">
        <f t="shared" si="5"/>
        <v>587</v>
      </c>
      <c r="E23">
        <f t="shared" si="5"/>
        <v>628</v>
      </c>
      <c r="F23">
        <f t="shared" si="5"/>
        <v>668</v>
      </c>
      <c r="G23">
        <f t="shared" si="5"/>
        <v>720</v>
      </c>
      <c r="H23">
        <f t="shared" si="5"/>
        <v>751</v>
      </c>
      <c r="J23">
        <v>54.6</v>
      </c>
      <c r="K23">
        <v>58.7</v>
      </c>
      <c r="L23">
        <v>62.8</v>
      </c>
      <c r="M23">
        <v>66.8</v>
      </c>
      <c r="N23">
        <v>72</v>
      </c>
      <c r="O23">
        <v>75.099999999999994</v>
      </c>
    </row>
    <row r="24" spans="1:15" x14ac:dyDescent="0.3">
      <c r="A24" s="1" t="s">
        <v>108</v>
      </c>
      <c r="B24" t="s">
        <v>89</v>
      </c>
      <c r="C24">
        <f t="shared" si="4"/>
        <v>611</v>
      </c>
      <c r="D24">
        <f t="shared" si="5"/>
        <v>652</v>
      </c>
      <c r="E24">
        <f t="shared" si="5"/>
        <v>693</v>
      </c>
      <c r="F24">
        <f t="shared" si="5"/>
        <v>733</v>
      </c>
      <c r="G24">
        <f t="shared" si="5"/>
        <v>785</v>
      </c>
      <c r="H24">
        <f t="shared" si="5"/>
        <v>816</v>
      </c>
      <c r="J24">
        <v>61.1</v>
      </c>
      <c r="K24">
        <v>65.2</v>
      </c>
      <c r="L24">
        <v>69.3</v>
      </c>
      <c r="M24">
        <v>73.3</v>
      </c>
      <c r="N24">
        <v>78.5</v>
      </c>
      <c r="O24">
        <v>81.599999999999994</v>
      </c>
    </row>
    <row r="25" spans="1:15" x14ac:dyDescent="0.3">
      <c r="A25" s="1" t="s">
        <v>109</v>
      </c>
      <c r="B25" t="s">
        <v>90</v>
      </c>
      <c r="C25">
        <f t="shared" si="4"/>
        <v>586</v>
      </c>
      <c r="D25">
        <f t="shared" si="5"/>
        <v>627</v>
      </c>
      <c r="E25">
        <f t="shared" si="5"/>
        <v>668</v>
      </c>
      <c r="F25">
        <f t="shared" si="5"/>
        <v>708</v>
      </c>
      <c r="G25">
        <f t="shared" si="5"/>
        <v>760</v>
      </c>
      <c r="H25">
        <f t="shared" si="5"/>
        <v>791</v>
      </c>
      <c r="J25">
        <v>58.6</v>
      </c>
      <c r="K25">
        <v>62.7</v>
      </c>
      <c r="L25">
        <v>66.8</v>
      </c>
      <c r="M25">
        <v>70.8</v>
      </c>
      <c r="N25">
        <v>76</v>
      </c>
      <c r="O25">
        <v>79.099999999999994</v>
      </c>
    </row>
    <row r="26" spans="1:15" x14ac:dyDescent="0.3">
      <c r="A26" s="1" t="s">
        <v>110</v>
      </c>
      <c r="B26" t="s">
        <v>91</v>
      </c>
      <c r="C26">
        <f t="shared" si="4"/>
        <v>651</v>
      </c>
      <c r="D26">
        <f t="shared" si="5"/>
        <v>692</v>
      </c>
      <c r="E26">
        <f t="shared" si="5"/>
        <v>733</v>
      </c>
      <c r="F26">
        <f t="shared" si="5"/>
        <v>773</v>
      </c>
      <c r="G26">
        <f t="shared" si="5"/>
        <v>825</v>
      </c>
      <c r="H26">
        <f t="shared" si="5"/>
        <v>856</v>
      </c>
      <c r="J26">
        <v>65.099999999999994</v>
      </c>
      <c r="K26">
        <v>69.2</v>
      </c>
      <c r="L26">
        <v>73.3</v>
      </c>
      <c r="M26">
        <v>77.3</v>
      </c>
      <c r="N26">
        <v>82.5</v>
      </c>
      <c r="O26">
        <v>85.6</v>
      </c>
    </row>
    <row r="27" spans="1:15" x14ac:dyDescent="0.3">
      <c r="A27" t="s">
        <v>30</v>
      </c>
    </row>
    <row r="28" spans="1:15" x14ac:dyDescent="0.3">
      <c r="A28" t="s">
        <v>31</v>
      </c>
    </row>
    <row r="29" spans="1:15" x14ac:dyDescent="0.3">
      <c r="A29" t="s">
        <v>32</v>
      </c>
      <c r="C29">
        <v>70</v>
      </c>
      <c r="D29">
        <v>80</v>
      </c>
      <c r="E29">
        <v>90</v>
      </c>
      <c r="F29">
        <v>100</v>
      </c>
      <c r="G29">
        <v>100</v>
      </c>
      <c r="H29">
        <v>110</v>
      </c>
    </row>
    <row r="30" spans="1:15" x14ac:dyDescent="0.3">
      <c r="A30" s="1" t="s">
        <v>106</v>
      </c>
    </row>
    <row r="31" spans="1:15" x14ac:dyDescent="0.3">
      <c r="A31" t="s">
        <v>33</v>
      </c>
      <c r="B31" t="s">
        <v>33</v>
      </c>
    </row>
    <row r="32" spans="1:15" x14ac:dyDescent="0.3">
      <c r="A32" t="s">
        <v>34</v>
      </c>
      <c r="B32" t="s">
        <v>34</v>
      </c>
      <c r="C32">
        <v>38</v>
      </c>
      <c r="D32">
        <v>38</v>
      </c>
      <c r="E32">
        <v>38</v>
      </c>
      <c r="F32">
        <v>38</v>
      </c>
      <c r="G32">
        <v>38</v>
      </c>
      <c r="H32">
        <v>38</v>
      </c>
    </row>
    <row r="33" spans="1:8" x14ac:dyDescent="0.3">
      <c r="A33" t="s">
        <v>35</v>
      </c>
      <c r="B33" t="s">
        <v>35</v>
      </c>
      <c r="C33">
        <v>45</v>
      </c>
      <c r="D33">
        <v>45</v>
      </c>
      <c r="E33">
        <v>45</v>
      </c>
      <c r="F33">
        <v>45</v>
      </c>
      <c r="G33">
        <v>45</v>
      </c>
      <c r="H33">
        <v>45</v>
      </c>
    </row>
    <row r="34" spans="1:8" x14ac:dyDescent="0.3">
      <c r="A34" t="s">
        <v>36</v>
      </c>
      <c r="B34" t="s">
        <v>36</v>
      </c>
      <c r="C34">
        <v>143</v>
      </c>
      <c r="D34">
        <v>158</v>
      </c>
      <c r="E34">
        <v>164</v>
      </c>
      <c r="F34">
        <v>177</v>
      </c>
      <c r="G34">
        <v>188</v>
      </c>
      <c r="H34">
        <v>194</v>
      </c>
    </row>
    <row r="35" spans="1:8" x14ac:dyDescent="0.3">
      <c r="A35" t="s">
        <v>37</v>
      </c>
      <c r="B35" t="s">
        <v>37</v>
      </c>
      <c r="C35">
        <v>158</v>
      </c>
      <c r="D35">
        <v>164</v>
      </c>
      <c r="E35">
        <v>177</v>
      </c>
      <c r="F35">
        <v>188</v>
      </c>
      <c r="G35">
        <v>194</v>
      </c>
      <c r="H35">
        <v>203</v>
      </c>
    </row>
    <row r="37" spans="1:8" x14ac:dyDescent="0.3">
      <c r="A37" t="s">
        <v>38</v>
      </c>
      <c r="B37" t="s">
        <v>39</v>
      </c>
      <c r="C37" s="1"/>
    </row>
    <row r="38" spans="1:8" x14ac:dyDescent="0.3">
      <c r="A38" t="s">
        <v>79</v>
      </c>
      <c r="B38" t="s">
        <v>80</v>
      </c>
    </row>
    <row r="39" spans="1:8" x14ac:dyDescent="0.3">
      <c r="A39" t="s">
        <v>81</v>
      </c>
      <c r="B39" t="s">
        <v>82</v>
      </c>
    </row>
    <row r="40" spans="1:8" x14ac:dyDescent="0.3">
      <c r="A40" t="s">
        <v>83</v>
      </c>
      <c r="B40" t="s">
        <v>84</v>
      </c>
    </row>
    <row r="41" spans="1:8" x14ac:dyDescent="0.3">
      <c r="A41" t="s">
        <v>40</v>
      </c>
      <c r="B41" t="s">
        <v>41</v>
      </c>
    </row>
    <row r="42" spans="1:8" x14ac:dyDescent="0.3">
      <c r="A42" t="s">
        <v>42</v>
      </c>
      <c r="B42" t="s">
        <v>43</v>
      </c>
    </row>
    <row r="43" spans="1:8" x14ac:dyDescent="0.3">
      <c r="A43" t="s">
        <v>44</v>
      </c>
    </row>
    <row r="44" spans="1:8" x14ac:dyDescent="0.3">
      <c r="A44" t="s">
        <v>45</v>
      </c>
      <c r="B44">
        <v>45</v>
      </c>
    </row>
    <row r="45" spans="1:8" x14ac:dyDescent="0.3">
      <c r="A45" t="s">
        <v>46</v>
      </c>
    </row>
    <row r="46" spans="1:8" x14ac:dyDescent="0.3">
      <c r="A46" t="s">
        <v>47</v>
      </c>
    </row>
    <row r="47" spans="1:8" x14ac:dyDescent="0.3">
      <c r="A47" t="s">
        <v>48</v>
      </c>
    </row>
    <row r="48" spans="1:8" x14ac:dyDescent="0.3">
      <c r="A48" t="s">
        <v>50</v>
      </c>
    </row>
    <row r="49" spans="1:2" x14ac:dyDescent="0.3">
      <c r="A49" t="s">
        <v>51</v>
      </c>
    </row>
    <row r="50" spans="1:2" x14ac:dyDescent="0.3">
      <c r="A50" t="s">
        <v>52</v>
      </c>
      <c r="B50">
        <v>142</v>
      </c>
    </row>
    <row r="51" spans="1:2" x14ac:dyDescent="0.3">
      <c r="A51" t="s">
        <v>53</v>
      </c>
      <c r="B51">
        <v>100</v>
      </c>
    </row>
    <row r="52" spans="1:2" x14ac:dyDescent="0.3">
      <c r="A52" t="s">
        <v>116</v>
      </c>
    </row>
    <row r="53" spans="1:2" x14ac:dyDescent="0.3">
      <c r="A53" t="s">
        <v>117</v>
      </c>
    </row>
    <row r="54" spans="1:2" x14ac:dyDescent="0.3">
      <c r="A54" t="s">
        <v>118</v>
      </c>
    </row>
    <row r="55" spans="1:2" x14ac:dyDescent="0.3">
      <c r="A55" t="s">
        <v>119</v>
      </c>
    </row>
    <row r="56" spans="1:2" x14ac:dyDescent="0.3">
      <c r="A56" t="s">
        <v>120</v>
      </c>
    </row>
    <row r="57" spans="1:2" x14ac:dyDescent="0.3">
      <c r="A57" t="s">
        <v>121</v>
      </c>
    </row>
    <row r="58" spans="1:2" x14ac:dyDescent="0.3">
      <c r="A58" t="s">
        <v>54</v>
      </c>
      <c r="B58" s="1" t="s">
        <v>55</v>
      </c>
    </row>
    <row r="59" spans="1:2" x14ac:dyDescent="0.3">
      <c r="A59" t="s">
        <v>56</v>
      </c>
    </row>
    <row r="60" spans="1:2" x14ac:dyDescent="0.3">
      <c r="A60" t="s">
        <v>57</v>
      </c>
    </row>
    <row r="61" spans="1:2" x14ac:dyDescent="0.3">
      <c r="A61" t="s">
        <v>58</v>
      </c>
    </row>
    <row r="62" spans="1:2" x14ac:dyDescent="0.3">
      <c r="A62" t="s">
        <v>59</v>
      </c>
    </row>
    <row r="63" spans="1:2" x14ac:dyDescent="0.3">
      <c r="A63" t="s">
        <v>60</v>
      </c>
    </row>
    <row r="64" spans="1:2" x14ac:dyDescent="0.3">
      <c r="A64" t="s">
        <v>61</v>
      </c>
      <c r="B64">
        <v>180</v>
      </c>
    </row>
    <row r="65" spans="1:2" x14ac:dyDescent="0.3">
      <c r="A65" t="s">
        <v>62</v>
      </c>
      <c r="B65">
        <v>180</v>
      </c>
    </row>
    <row r="66" spans="1:2" x14ac:dyDescent="0.3">
      <c r="A66" t="s">
        <v>63</v>
      </c>
    </row>
    <row r="67" spans="1:2" x14ac:dyDescent="0.3">
      <c r="A67" t="s">
        <v>64</v>
      </c>
      <c r="B67" s="1" t="s">
        <v>111</v>
      </c>
    </row>
    <row r="68" spans="1:2" x14ac:dyDescent="0.3">
      <c r="A68" t="s">
        <v>65</v>
      </c>
      <c r="B68" s="1" t="s">
        <v>49</v>
      </c>
    </row>
    <row r="69" spans="1:2" x14ac:dyDescent="0.3">
      <c r="A69" t="s">
        <v>66</v>
      </c>
    </row>
    <row r="70" spans="1:2" x14ac:dyDescent="0.3">
      <c r="A70" t="s">
        <v>67</v>
      </c>
    </row>
    <row r="71" spans="1:2" x14ac:dyDescent="0.3">
      <c r="A71" t="s">
        <v>68</v>
      </c>
      <c r="B71">
        <v>2</v>
      </c>
    </row>
    <row r="72" spans="1:2" x14ac:dyDescent="0.3">
      <c r="A72" t="s">
        <v>69</v>
      </c>
      <c r="B72">
        <v>1</v>
      </c>
    </row>
    <row r="73" spans="1:2" x14ac:dyDescent="0.3">
      <c r="A73" t="s">
        <v>70</v>
      </c>
      <c r="B73">
        <v>1</v>
      </c>
    </row>
    <row r="74" spans="1:2" x14ac:dyDescent="0.3">
      <c r="A74" t="s">
        <v>71</v>
      </c>
    </row>
    <row r="75" spans="1:2" x14ac:dyDescent="0.3">
      <c r="A75" t="s">
        <v>72</v>
      </c>
      <c r="B75" s="1" t="s">
        <v>43</v>
      </c>
    </row>
    <row r="76" spans="1:2" x14ac:dyDescent="0.3">
      <c r="A76" t="s">
        <v>73</v>
      </c>
    </row>
    <row r="77" spans="1:2" x14ac:dyDescent="0.3">
      <c r="A77" t="s">
        <v>74</v>
      </c>
    </row>
    <row r="78" spans="1:2" x14ac:dyDescent="0.3">
      <c r="A78" t="s">
        <v>75</v>
      </c>
      <c r="B78">
        <v>4399</v>
      </c>
    </row>
    <row r="79" spans="1:2" x14ac:dyDescent="0.3">
      <c r="A79" t="s">
        <v>76</v>
      </c>
      <c r="B79">
        <v>8199</v>
      </c>
    </row>
    <row r="80" spans="1:2" x14ac:dyDescent="0.3">
      <c r="A80" t="s">
        <v>77</v>
      </c>
    </row>
    <row r="81" spans="1:2" x14ac:dyDescent="0.3">
      <c r="A81" t="s">
        <v>78</v>
      </c>
      <c r="B81" s="1" t="s">
        <v>105</v>
      </c>
    </row>
    <row r="82" spans="1:2" x14ac:dyDescent="0.3">
      <c r="A82" t="s">
        <v>114</v>
      </c>
      <c r="B82" t="s">
        <v>115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2025-07-26T16:23:52Z</dcterms:created>
  <dcterms:modified xsi:type="dcterms:W3CDTF">2025-11-07T14:49:06Z</dcterms:modified>
</cp:coreProperties>
</file>