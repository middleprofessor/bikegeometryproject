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DD2E4E8-0F71-2C4F-A55E-01B405382D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H12" i="1"/>
  <c r="D13" i="1"/>
  <c r="E13" i="1"/>
  <c r="F13" i="1"/>
  <c r="G13" i="1"/>
  <c r="H13" i="1"/>
  <c r="C13" i="1"/>
  <c r="C12" i="1"/>
</calcChain>
</file>

<file path=xl/sharedStrings.xml><?xml version="1.0" encoding="utf-8"?>
<sst xmlns="http://schemas.openxmlformats.org/spreadsheetml/2006/main" count="124" uniqueCount="120">
  <si>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</si>
  <si>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</si>
  <si>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</si>
  <si>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</si>
  <si>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</si>
  <si>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</si>
  <si>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</si>
  <si>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</si>
  <si>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</si>
  <si>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</si>
  <si>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</si>
  <si>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</si>
  <si>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</si>
  <si>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</si>
  <si>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</si>
  <si>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</si>
  <si>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</si>
  <si>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</si>
  <si>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</si>
  <si>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</si>
  <si>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</si>
  <si>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</si>
  <si>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</si>
  <si>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</si>
  <si>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</si>
  <si>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</si>
  <si>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</si>
  <si>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</si>
  <si>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</si>
  <si>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</si>
  <si>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</si>
  <si>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</si>
  <si>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</si>
  <si>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</si>
  <si>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</si>
  <si>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</si>
  <si>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</si>
  <si>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</si>
  <si>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</si>
  <si>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</si>
  <si>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</si>
  <si>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</si>
  <si>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</si>
  <si>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</si>
  <si>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</si>
  <si>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</si>
  <si>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</si>
  <si>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</si>
  <si>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</si>
  <si>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</si>
  <si>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</si>
  <si>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</si>
  <si>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</si>
  <si>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</si>
  <si>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</si>
  <si>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</si>
  <si>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</si>
  <si>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</si>
  <si>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</si>
  <si>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</si>
  <si>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</si>
  <si>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</si>
  <si>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</si>
  <si>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</si>
  <si>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</si>
  <si>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</si>
  <si>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</si>
  <si>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</si>
  <si>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</si>
  <si>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</si>
  <si>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</si>
  <si>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</si>
  <si>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</si>
  <si>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</si>
  <si>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</si>
  <si>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</si>
  <si>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</si>
  <si>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SM</t>
  </si>
  <si>
    <t>Sanitas</t>
  </si>
  <si>
    <t>Node Gravel SG Ti</t>
  </si>
  <si>
    <t>Size</t>
  </si>
  <si>
    <t>XS</t>
  </si>
  <si>
    <t>MED</t>
  </si>
  <si>
    <t>LG</t>
  </si>
  <si>
    <t>XLG</t>
  </si>
  <si>
    <t>XXL</t>
  </si>
  <si>
    <t>Top Tube Effective</t>
  </si>
  <si>
    <t>Head Tube Angle</t>
  </si>
  <si>
    <t>Seat Tube Angle</t>
  </si>
  <si>
    <t>430/470</t>
  </si>
  <si>
    <t>450/490</t>
  </si>
  <si>
    <t>470/510</t>
  </si>
  <si>
    <t>490/530</t>
  </si>
  <si>
    <t>520/560</t>
  </si>
  <si>
    <t>540/580</t>
  </si>
  <si>
    <t>Head Tube Length (44 mm)</t>
  </si>
  <si>
    <t>Chain Stay Length</t>
  </si>
  <si>
    <t>BB Drop</t>
  </si>
  <si>
    <t>Standover</t>
  </si>
  <si>
    <t>Reach</t>
  </si>
  <si>
    <t>Stack</t>
  </si>
  <si>
    <t>Seat Tube Length C/C</t>
  </si>
  <si>
    <t>Seat Tube Length C/O</t>
  </si>
  <si>
    <t>seat_tube_length_c_c</t>
  </si>
  <si>
    <t>titanium</t>
  </si>
  <si>
    <t>internal</t>
  </si>
  <si>
    <t>threaded</t>
  </si>
  <si>
    <t>pictured with Enve G series so using these but stock is Sanitas own fork</t>
  </si>
  <si>
    <t>USD</t>
  </si>
  <si>
    <t>a8:h33</t>
  </si>
  <si>
    <t>https://www.sanitasbikes.com/multi-surface-gravel</t>
  </si>
  <si>
    <t>https://images.squarespace-cdn.com/content/v1/683892ca9490732d748fc31b/76e82567-8571-416d-b6a6-da1f4b94769a/DSCF4197.JPG?format=2500w</t>
  </si>
  <si>
    <t>location</t>
  </si>
  <si>
    <t>Durango, Colorado,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</si>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</sst>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b/>
      <sz val="14"/>
      <color rgb="FF000000"/>
      <name val="Futura"/>
      <family val="2"/>
    </font>
    <font>
      <sz val="12.6"/>
      <color rgb="FF666666"/>
      <name val="Arial"/>
      <family val="2"/>
    </font>
    <font>
      <b/>
      <sz val="14"/>
      <color theme="1"/>
      <name val="Futura Medium"/>
    </font>
    <font>
      <sz val="14"/>
      <color theme="1"/>
      <name val="Futura Medium"/>
    </font>
    <font>
      <sz val="14"/>
      <color rgb="FF191919"/>
      <name val="Futura Medium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"/>
  <sheetViews>
    <sheetView tabSelected="1" topLeftCell="A60" workbookViewId="0">
      <selection activeCell="A74" sqref="A74:B74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78</v>
      </c>
    </row>
    <row r="2" spans="1:22" x14ac:dyDescent="0.3">
      <c r="A2" s="2" t="s">
        <v>1</v>
      </c>
      <c r="B2" s="2" t="s">
        <v>79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45915</v>
      </c>
    </row>
    <row r="5" spans="1:22" x14ac:dyDescent="0.3">
      <c r="A5" s="2" t="s">
        <v>4</v>
      </c>
      <c r="B5" s="2" t="s">
        <v>110</v>
      </c>
    </row>
    <row r="6" spans="1:22" x14ac:dyDescent="0.3">
      <c r="B6" s="2" t="s">
        <v>111</v>
      </c>
    </row>
    <row r="7" spans="1:22" x14ac:dyDescent="0.3">
      <c r="A7" s="2" t="s">
        <v>5</v>
      </c>
      <c r="B7" s="2" t="s">
        <v>109</v>
      </c>
    </row>
    <row r="8" spans="1:22" ht="22" x14ac:dyDescent="0.3">
      <c r="A8" s="2" t="s">
        <v>6</v>
      </c>
      <c r="B8" s="11" t="s">
        <v>80</v>
      </c>
      <c r="C8" s="11" t="s">
        <v>81</v>
      </c>
      <c r="D8" s="11" t="s">
        <v>77</v>
      </c>
      <c r="E8" s="11" t="s">
        <v>82</v>
      </c>
      <c r="F8" s="11" t="s">
        <v>83</v>
      </c>
      <c r="G8" s="11" t="s">
        <v>84</v>
      </c>
      <c r="H8" s="11" t="s">
        <v>85</v>
      </c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7</v>
      </c>
      <c r="B9" s="12" t="s">
        <v>86</v>
      </c>
      <c r="C9" s="12">
        <v>518</v>
      </c>
      <c r="D9" s="12">
        <v>537</v>
      </c>
      <c r="E9" s="12">
        <v>550</v>
      </c>
      <c r="F9" s="12">
        <v>570</v>
      </c>
      <c r="G9" s="12">
        <v>580</v>
      </c>
      <c r="H9" s="12">
        <v>590</v>
      </c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11</v>
      </c>
      <c r="B10" s="12" t="s">
        <v>87</v>
      </c>
      <c r="C10" s="12">
        <v>70.5</v>
      </c>
      <c r="D10" s="12">
        <v>71</v>
      </c>
      <c r="E10" s="12">
        <v>71.5</v>
      </c>
      <c r="F10" s="12">
        <v>71.5</v>
      </c>
      <c r="G10" s="12">
        <v>71.5</v>
      </c>
      <c r="H10" s="12">
        <v>72</v>
      </c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8</v>
      </c>
      <c r="B11" s="12" t="s">
        <v>88</v>
      </c>
      <c r="C11" s="12">
        <v>74</v>
      </c>
      <c r="D11" s="12">
        <v>73.5</v>
      </c>
      <c r="E11" s="12">
        <v>73</v>
      </c>
      <c r="F11" s="12">
        <v>73</v>
      </c>
      <c r="G11" s="12">
        <v>72.5</v>
      </c>
      <c r="H11" s="12">
        <v>72.5</v>
      </c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x14ac:dyDescent="0.3">
      <c r="A12" s="2" t="s">
        <v>103</v>
      </c>
      <c r="B12" s="12" t="s">
        <v>101</v>
      </c>
      <c r="C12" s="12">
        <f>VALUE(LEFT(I12,3))</f>
        <v>430</v>
      </c>
      <c r="D12" s="12">
        <f t="shared" ref="D12:H12" si="0">VALUE(LEFT(J12,3))</f>
        <v>450</v>
      </c>
      <c r="E12" s="12">
        <f t="shared" si="0"/>
        <v>470</v>
      </c>
      <c r="F12" s="12">
        <f t="shared" si="0"/>
        <v>490</v>
      </c>
      <c r="G12" s="12">
        <f t="shared" si="0"/>
        <v>520</v>
      </c>
      <c r="H12" s="12">
        <f t="shared" si="0"/>
        <v>540</v>
      </c>
      <c r="I12" s="10" t="s">
        <v>89</v>
      </c>
      <c r="J12" s="10" t="s">
        <v>90</v>
      </c>
      <c r="K12" s="10" t="s">
        <v>91</v>
      </c>
      <c r="L12" s="10" t="s">
        <v>92</v>
      </c>
      <c r="M12" s="10" t="s">
        <v>93</v>
      </c>
      <c r="N12" s="10" t="s">
        <v>94</v>
      </c>
      <c r="O12" s="5"/>
      <c r="P12" s="5"/>
      <c r="Q12" s="5"/>
      <c r="R12" s="5"/>
      <c r="S12" s="5"/>
      <c r="T12" s="5"/>
    </row>
    <row r="13" spans="1:22" ht="22" x14ac:dyDescent="0.3">
      <c r="A13" s="2" t="s">
        <v>9</v>
      </c>
      <c r="B13" s="12" t="s">
        <v>102</v>
      </c>
      <c r="C13" s="12">
        <f>VALUE(RIGHT(I12,3))</f>
        <v>470</v>
      </c>
      <c r="D13" s="12">
        <f t="shared" ref="D13:H13" si="1">VALUE(RIGHT(J12,3))</f>
        <v>490</v>
      </c>
      <c r="E13" s="12">
        <f t="shared" si="1"/>
        <v>510</v>
      </c>
      <c r="F13" s="12">
        <f t="shared" si="1"/>
        <v>530</v>
      </c>
      <c r="G13" s="12">
        <f t="shared" si="1"/>
        <v>560</v>
      </c>
      <c r="H13" s="12">
        <f t="shared" si="1"/>
        <v>580</v>
      </c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10</v>
      </c>
      <c r="B14" s="12" t="s">
        <v>95</v>
      </c>
      <c r="C14" s="12">
        <v>95</v>
      </c>
      <c r="D14" s="12">
        <v>110</v>
      </c>
      <c r="E14" s="12">
        <v>130</v>
      </c>
      <c r="F14" s="12">
        <v>150</v>
      </c>
      <c r="G14" s="12">
        <v>175</v>
      </c>
      <c r="H14" s="12">
        <v>190</v>
      </c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14</v>
      </c>
      <c r="B15" s="12" t="s">
        <v>96</v>
      </c>
      <c r="C15" s="12">
        <v>425</v>
      </c>
      <c r="D15" s="12">
        <v>430</v>
      </c>
      <c r="E15" s="12">
        <v>430</v>
      </c>
      <c r="F15" s="12">
        <v>430</v>
      </c>
      <c r="G15" s="12">
        <v>435</v>
      </c>
      <c r="H15" s="12">
        <v>435</v>
      </c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12" t="s">
        <v>97</v>
      </c>
      <c r="C16" s="12">
        <v>75</v>
      </c>
      <c r="D16" s="12">
        <v>75</v>
      </c>
      <c r="E16" s="12">
        <v>75</v>
      </c>
      <c r="F16" s="12">
        <v>75</v>
      </c>
      <c r="G16" s="12">
        <v>75</v>
      </c>
      <c r="H16" s="12">
        <v>75</v>
      </c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18</v>
      </c>
      <c r="B17" s="12" t="s">
        <v>98</v>
      </c>
      <c r="C17" s="12">
        <v>754</v>
      </c>
      <c r="D17" s="12">
        <v>770</v>
      </c>
      <c r="E17" s="12">
        <v>787</v>
      </c>
      <c r="F17" s="12">
        <v>806</v>
      </c>
      <c r="G17" s="12">
        <v>833</v>
      </c>
      <c r="H17" s="12">
        <v>849</v>
      </c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</row>
    <row r="18" spans="1:21" ht="22" x14ac:dyDescent="0.3">
      <c r="A18" s="2" t="s">
        <v>17</v>
      </c>
      <c r="B18" s="12" t="s">
        <v>99</v>
      </c>
      <c r="C18" s="12">
        <v>363.6</v>
      </c>
      <c r="D18" s="12">
        <v>373.3</v>
      </c>
      <c r="E18" s="12">
        <v>375.1</v>
      </c>
      <c r="F18" s="12">
        <v>388.8</v>
      </c>
      <c r="G18" s="12">
        <v>384.5</v>
      </c>
      <c r="H18" s="12">
        <v>391.2</v>
      </c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16</v>
      </c>
      <c r="B19" s="12" t="s">
        <v>100</v>
      </c>
      <c r="C19" s="12">
        <v>531.79999999999995</v>
      </c>
      <c r="D19" s="12">
        <v>547.79999999999995</v>
      </c>
      <c r="E19" s="12">
        <v>568.6</v>
      </c>
      <c r="F19" s="12">
        <v>598.5</v>
      </c>
      <c r="G19" s="12">
        <v>618</v>
      </c>
      <c r="H19" s="12">
        <v>629.5</v>
      </c>
      <c r="I19" s="8"/>
      <c r="J19" s="8"/>
      <c r="K19" s="8"/>
      <c r="L19" s="8"/>
      <c r="M19" s="8"/>
      <c r="N19"/>
      <c r="O19" s="5"/>
      <c r="P19" s="5"/>
      <c r="Q19" s="5"/>
      <c r="R19" s="5"/>
      <c r="S19" s="5"/>
      <c r="T19" s="5"/>
      <c r="U19" s="5"/>
    </row>
    <row r="20" spans="1:21" ht="22" x14ac:dyDescent="0.3">
      <c r="A20" s="2" t="s">
        <v>19</v>
      </c>
      <c r="B20" s="9"/>
      <c r="C20" s="8"/>
      <c r="D20" s="8"/>
      <c r="E20" s="8"/>
      <c r="F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12</v>
      </c>
      <c r="B21" s="9"/>
      <c r="C21" s="13">
        <v>395</v>
      </c>
      <c r="D21" s="13">
        <v>395</v>
      </c>
      <c r="E21" s="13">
        <v>395</v>
      </c>
      <c r="F21" s="13">
        <v>395</v>
      </c>
      <c r="G21" s="13">
        <v>395</v>
      </c>
      <c r="H21" s="13">
        <v>395</v>
      </c>
      <c r="I21" s="7" t="s">
        <v>107</v>
      </c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13</v>
      </c>
      <c r="B22" s="9"/>
      <c r="C22" s="2">
        <v>47</v>
      </c>
      <c r="D22" s="2">
        <v>47</v>
      </c>
      <c r="E22" s="2">
        <v>47</v>
      </c>
      <c r="F22" s="2">
        <v>47</v>
      </c>
      <c r="G22" s="2">
        <v>47</v>
      </c>
      <c r="H22" s="2">
        <v>47</v>
      </c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76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5"/>
      <c r="O23" s="5"/>
      <c r="P23" s="5"/>
      <c r="Q23" s="5"/>
      <c r="R23" s="5"/>
      <c r="S23" s="5"/>
      <c r="T23" s="5"/>
    </row>
    <row r="24" spans="1:21" ht="22" x14ac:dyDescent="0.3">
      <c r="A24" s="2" t="s">
        <v>75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20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21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x14ac:dyDescent="0.3">
      <c r="A27" s="2" t="s">
        <v>22</v>
      </c>
      <c r="F27" s="6"/>
    </row>
    <row r="28" spans="1:21" x14ac:dyDescent="0.3">
      <c r="A28" s="2" t="s">
        <v>23</v>
      </c>
      <c r="F28" s="6"/>
    </row>
    <row r="29" spans="1:21" x14ac:dyDescent="0.3">
      <c r="A29" s="2" t="s">
        <v>24</v>
      </c>
      <c r="B29" s="2" t="s">
        <v>24</v>
      </c>
      <c r="C29" s="2">
        <v>700</v>
      </c>
      <c r="D29" s="2">
        <v>700</v>
      </c>
      <c r="E29" s="2">
        <v>700</v>
      </c>
      <c r="F29" s="2">
        <v>700</v>
      </c>
      <c r="G29" s="2">
        <v>700</v>
      </c>
      <c r="H29" s="2">
        <v>700</v>
      </c>
    </row>
    <row r="30" spans="1:21" x14ac:dyDescent="0.3">
      <c r="A30" s="2" t="s">
        <v>25</v>
      </c>
      <c r="B30" s="2" t="s">
        <v>25</v>
      </c>
      <c r="C30" s="2">
        <v>44</v>
      </c>
      <c r="D30" s="2">
        <v>44</v>
      </c>
      <c r="E30" s="2">
        <v>44</v>
      </c>
      <c r="F30" s="2">
        <v>44</v>
      </c>
      <c r="G30" s="2">
        <v>44</v>
      </c>
      <c r="H30" s="2">
        <v>44</v>
      </c>
    </row>
    <row r="31" spans="1:21" x14ac:dyDescent="0.3">
      <c r="A31" s="2" t="s">
        <v>26</v>
      </c>
      <c r="B31" s="2" t="s">
        <v>26</v>
      </c>
      <c r="C31" s="2">
        <v>50</v>
      </c>
      <c r="D31" s="2">
        <v>50</v>
      </c>
      <c r="E31" s="2">
        <v>50</v>
      </c>
      <c r="F31" s="2">
        <v>50</v>
      </c>
      <c r="G31" s="2">
        <v>50</v>
      </c>
      <c r="H31" s="2">
        <v>50</v>
      </c>
    </row>
    <row r="32" spans="1:21" x14ac:dyDescent="0.3">
      <c r="A32" s="2" t="s">
        <v>27</v>
      </c>
      <c r="B32" s="2" t="s">
        <v>28</v>
      </c>
    </row>
    <row r="33" spans="1:12" x14ac:dyDescent="0.3">
      <c r="A33" s="2" t="s">
        <v>29</v>
      </c>
      <c r="B33" s="2" t="s">
        <v>30</v>
      </c>
    </row>
    <row r="34" spans="1:12" ht="22" x14ac:dyDescent="0.3">
      <c r="C34" s="9"/>
      <c r="D34" s="7"/>
      <c r="E34" s="7"/>
      <c r="F34" s="7"/>
      <c r="L34" s="1"/>
    </row>
    <row r="35" spans="1:12" x14ac:dyDescent="0.3">
      <c r="A35" s="2" t="s">
        <v>31</v>
      </c>
      <c r="B35" s="2" t="s">
        <v>32</v>
      </c>
    </row>
    <row r="36" spans="1:12" x14ac:dyDescent="0.3">
      <c r="A36" s="2" t="s">
        <v>68</v>
      </c>
      <c r="B36" s="2" t="s">
        <v>69</v>
      </c>
    </row>
    <row r="37" spans="1:12" x14ac:dyDescent="0.3">
      <c r="A37" s="2" t="s">
        <v>70</v>
      </c>
      <c r="B37" s="2" t="s">
        <v>71</v>
      </c>
    </row>
    <row r="38" spans="1:12" x14ac:dyDescent="0.3">
      <c r="A38" s="2" t="s">
        <v>72</v>
      </c>
      <c r="B38" s="2" t="s">
        <v>73</v>
      </c>
    </row>
    <row r="39" spans="1:12" x14ac:dyDescent="0.3">
      <c r="A39" s="2" t="s">
        <v>33</v>
      </c>
      <c r="B39" s="2" t="s">
        <v>104</v>
      </c>
    </row>
    <row r="40" spans="1:12" x14ac:dyDescent="0.3">
      <c r="A40" s="2" t="s">
        <v>34</v>
      </c>
      <c r="B40" s="2" t="s">
        <v>74</v>
      </c>
    </row>
    <row r="41" spans="1:12" x14ac:dyDescent="0.3">
      <c r="A41" s="2" t="s">
        <v>35</v>
      </c>
    </row>
    <row r="42" spans="1:12" x14ac:dyDescent="0.3">
      <c r="A42" s="2" t="s">
        <v>36</v>
      </c>
      <c r="B42" s="2">
        <v>50</v>
      </c>
    </row>
    <row r="43" spans="1:12" x14ac:dyDescent="0.3">
      <c r="A43" s="2" t="s">
        <v>37</v>
      </c>
    </row>
    <row r="44" spans="1:12" x14ac:dyDescent="0.3">
      <c r="A44" s="2" t="s">
        <v>38</v>
      </c>
    </row>
    <row r="45" spans="1:12" x14ac:dyDescent="0.3">
      <c r="A45" s="2" t="s">
        <v>39</v>
      </c>
    </row>
    <row r="46" spans="1:12" x14ac:dyDescent="0.3">
      <c r="A46" s="2" t="s">
        <v>40</v>
      </c>
    </row>
    <row r="47" spans="1:12" x14ac:dyDescent="0.3">
      <c r="A47" s="2" t="s">
        <v>41</v>
      </c>
    </row>
    <row r="48" spans="1:12" x14ac:dyDescent="0.3">
      <c r="A48" s="2" t="s">
        <v>42</v>
      </c>
      <c r="B48" s="2">
        <v>142</v>
      </c>
    </row>
    <row r="49" spans="1:2" x14ac:dyDescent="0.3">
      <c r="A49" s="2" t="s">
        <v>43</v>
      </c>
      <c r="B49" s="2">
        <v>100</v>
      </c>
    </row>
    <row r="50" spans="1:2" x14ac:dyDescent="0.3">
      <c r="A50" s="2" t="s">
        <v>114</v>
      </c>
    </row>
    <row r="51" spans="1:2" x14ac:dyDescent="0.3">
      <c r="A51" s="2" t="s">
        <v>115</v>
      </c>
    </row>
    <row r="52" spans="1:2" x14ac:dyDescent="0.3">
      <c r="A52" s="2" t="s">
        <v>116</v>
      </c>
    </row>
    <row r="53" spans="1:2" x14ac:dyDescent="0.3">
      <c r="A53" s="2" t="s">
        <v>117</v>
      </c>
    </row>
    <row r="54" spans="1:2" x14ac:dyDescent="0.3">
      <c r="A54" s="2" t="s">
        <v>118</v>
      </c>
    </row>
    <row r="55" spans="1:2" x14ac:dyDescent="0.3">
      <c r="A55" s="2" t="s">
        <v>119</v>
      </c>
    </row>
    <row r="56" spans="1:2" x14ac:dyDescent="0.3">
      <c r="A56" s="2" t="s">
        <v>44</v>
      </c>
      <c r="B56" s="2" t="s">
        <v>106</v>
      </c>
    </row>
    <row r="57" spans="1:2" x14ac:dyDescent="0.3">
      <c r="A57" s="2" t="s">
        <v>45</v>
      </c>
    </row>
    <row r="58" spans="1:2" x14ac:dyDescent="0.3">
      <c r="A58" s="2" t="s">
        <v>46</v>
      </c>
      <c r="B58" s="2">
        <v>31.6</v>
      </c>
    </row>
    <row r="59" spans="1:2" x14ac:dyDescent="0.3">
      <c r="A59" s="2" t="s">
        <v>47</v>
      </c>
      <c r="B59" s="2" t="s">
        <v>74</v>
      </c>
    </row>
    <row r="60" spans="1:2" x14ac:dyDescent="0.3">
      <c r="A60" s="2" t="s">
        <v>48</v>
      </c>
    </row>
    <row r="61" spans="1:2" x14ac:dyDescent="0.3">
      <c r="A61" s="2" t="s">
        <v>49</v>
      </c>
    </row>
    <row r="62" spans="1:2" x14ac:dyDescent="0.3">
      <c r="A62" s="2" t="s">
        <v>50</v>
      </c>
    </row>
    <row r="63" spans="1:2" x14ac:dyDescent="0.3">
      <c r="A63" s="2" t="s">
        <v>51</v>
      </c>
      <c r="B63" s="2">
        <v>160</v>
      </c>
    </row>
    <row r="64" spans="1:2" x14ac:dyDescent="0.3">
      <c r="A64" s="2" t="s">
        <v>52</v>
      </c>
    </row>
    <row r="65" spans="1:2" x14ac:dyDescent="0.3">
      <c r="A65" s="2" t="s">
        <v>53</v>
      </c>
      <c r="B65" s="2" t="s">
        <v>105</v>
      </c>
    </row>
    <row r="66" spans="1:2" x14ac:dyDescent="0.3">
      <c r="A66" s="2" t="s">
        <v>54</v>
      </c>
    </row>
    <row r="67" spans="1:2" x14ac:dyDescent="0.3">
      <c r="A67" s="2" t="s">
        <v>55</v>
      </c>
    </row>
    <row r="68" spans="1:2" x14ac:dyDescent="0.3">
      <c r="A68" s="2" t="s">
        <v>56</v>
      </c>
    </row>
    <row r="69" spans="1:2" x14ac:dyDescent="0.3">
      <c r="A69" s="2" t="s">
        <v>57</v>
      </c>
      <c r="B69" s="2">
        <v>2</v>
      </c>
    </row>
    <row r="70" spans="1:2" x14ac:dyDescent="0.3">
      <c r="A70" s="2" t="s">
        <v>58</v>
      </c>
    </row>
    <row r="71" spans="1:2" x14ac:dyDescent="0.3">
      <c r="A71" s="2" t="s">
        <v>59</v>
      </c>
    </row>
    <row r="72" spans="1:2" x14ac:dyDescent="0.3">
      <c r="A72" s="2" t="s">
        <v>60</v>
      </c>
    </row>
    <row r="73" spans="1:2" x14ac:dyDescent="0.3">
      <c r="A73" s="2" t="s">
        <v>61</v>
      </c>
    </row>
    <row r="74" spans="1:2" x14ac:dyDescent="0.3">
      <c r="A74" s="2" t="s">
        <v>62</v>
      </c>
    </row>
    <row r="75" spans="1:2" x14ac:dyDescent="0.3">
      <c r="A75" s="2" t="s">
        <v>63</v>
      </c>
    </row>
    <row r="76" spans="1:2" x14ac:dyDescent="0.3">
      <c r="A76" s="2" t="s">
        <v>64</v>
      </c>
      <c r="B76" s="2">
        <v>2995</v>
      </c>
    </row>
    <row r="77" spans="1:2" x14ac:dyDescent="0.3">
      <c r="A77" s="2" t="s">
        <v>65</v>
      </c>
      <c r="B77" s="2">
        <v>5950</v>
      </c>
    </row>
    <row r="78" spans="1:2" x14ac:dyDescent="0.3">
      <c r="A78" s="2" t="s">
        <v>66</v>
      </c>
    </row>
    <row r="79" spans="1:2" x14ac:dyDescent="0.3">
      <c r="A79" s="2" t="s">
        <v>67</v>
      </c>
      <c r="B79" s="2" t="s">
        <v>108</v>
      </c>
    </row>
    <row r="80" spans="1:2" x14ac:dyDescent="0.3">
      <c r="A80" s="14" t="s">
        <v>112</v>
      </c>
      <c r="B80" s="14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2025-11-07T14:47:33Z</dcterms:modified>
</cp:coreProperties>
</file>