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99CB18F-D962-CD4B-BCC2-03E4BD78C230}" xr6:coauthVersionLast="47" xr6:coauthVersionMax="47" xr10:uidLastSave="{00000000-0000-0000-0000-000000000000}"/>
  <bookViews>
    <workbookView xWindow="1780" yWindow="500" windowWidth="2648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E21" i="1"/>
  <c r="F21" i="1"/>
  <c r="G21" i="1"/>
  <c r="H21" i="1"/>
  <c r="C21" i="1"/>
  <c r="D15" i="1"/>
  <c r="E15" i="1"/>
  <c r="F15" i="1"/>
  <c r="G15" i="1"/>
  <c r="H15" i="1"/>
  <c r="D16" i="1"/>
  <c r="E16" i="1"/>
  <c r="F16" i="1"/>
  <c r="G16" i="1"/>
  <c r="H16" i="1"/>
  <c r="D17" i="1"/>
  <c r="E17" i="1"/>
  <c r="F17" i="1"/>
  <c r="G17" i="1"/>
  <c r="H17" i="1"/>
  <c r="D18" i="1"/>
  <c r="E18" i="1"/>
  <c r="F18" i="1"/>
  <c r="G18" i="1"/>
  <c r="H18" i="1"/>
  <c r="C18" i="1"/>
  <c r="C16" i="1"/>
  <c r="C17" i="1"/>
  <c r="C15" i="1"/>
  <c r="H31" i="1"/>
  <c r="D31" i="1"/>
  <c r="E31" i="1"/>
  <c r="F31" i="1"/>
  <c r="G31" i="1"/>
  <c r="C31" i="1"/>
  <c r="E30" i="1"/>
  <c r="F30" i="1"/>
  <c r="G30" i="1"/>
  <c r="H30" i="1"/>
  <c r="D30" i="1"/>
  <c r="C30" i="1"/>
</calcChain>
</file>

<file path=xl/sharedStrings.xml><?xml version="1.0" encoding="utf-8"?>
<sst xmlns="http://schemas.openxmlformats.org/spreadsheetml/2006/main" count="172" uniqueCount="134">
  <si>
    <t>brand</t>
  </si>
  <si>
    <t>Giant</t>
  </si>
  <si>
    <t>model</t>
  </si>
  <si>
    <t>model_year</t>
  </si>
  <si>
    <t>input_date</t>
  </si>
  <si>
    <t>url</t>
  </si>
  <si>
    <t>data_range</t>
  </si>
  <si>
    <t>frame_size</t>
  </si>
  <si>
    <t>XS</t>
  </si>
  <si>
    <t>S</t>
  </si>
  <si>
    <t>M</t>
  </si>
  <si>
    <t>ML</t>
  </si>
  <si>
    <t>L</t>
  </si>
  <si>
    <t>XL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</si>
  <si>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</si>
  <si>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</si>
  <si>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</si>
  <si>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</si>
  <si>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</si>
  <si>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</si>
  <si>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</si>
  <si>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</si>
  <si>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</si>
  <si>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</si>
  <si>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</si>
  <si>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</si>
  <si>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</si>
  <si>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</si>
  <si>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</si>
  <si>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</si>
  <si>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</si>
  <si>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WHEEL 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</si>
  <si>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</si>
  <si>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</si>
  <si>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</si>
  <si>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</si>
  <si>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</si>
  <si>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</si>
  <si>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</si>
  <si>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</si>
  <si>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</si>
  <si>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</si>
  <si>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</si>
  <si>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</si>
  <si>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</si>
  <si>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</si>
  <si>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</si>
  <si>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</si>
  <si>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</si>
  <si>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</si>
  <si>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</si>
  <si>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</si>
  <si>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</si>
  <si>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</si>
  <si>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</si>
  <si>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</si>
  <si>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</si>
  <si>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</si>
  <si>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</si>
  <si>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</si>
  <si>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</si>
  <si>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</si>
  <si>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</si>
  <si>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</si>
  <si>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</si>
  <si>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</si>
  <si>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</si>
  <si>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</si>
  <si>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</si>
  <si>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</si>
  <si>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</si>
  <si>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</si>
  <si>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</si>
  <si>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</si>
  <si>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</si>
  <si>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no</t>
  </si>
  <si>
    <t>frame_weight</t>
  </si>
  <si>
    <t>class</t>
  </si>
  <si>
    <t>gravel</t>
  </si>
  <si>
    <t>handlebar</t>
  </si>
  <si>
    <t>drop bar</t>
  </si>
  <si>
    <t>fork</t>
  </si>
  <si>
    <t>rigid</t>
  </si>
  <si>
    <t>rider_min_spec</t>
  </si>
  <si>
    <t>rider_max_spec</t>
  </si>
  <si>
    <r>
      <t>SHORT </t>
    </r>
    <r>
      <rPr>
        <b/>
        <sz val="11"/>
        <color rgb="FFAAAAAA"/>
        <rFont val="Arial"/>
        <family val="2"/>
      </rPr>
      <t>| </t>
    </r>
    <r>
      <rPr>
        <b/>
        <sz val="11"/>
        <color rgb="FF333333"/>
        <rFont val="Arial"/>
        <family val="2"/>
      </rPr>
      <t>LONG</t>
    </r>
  </si>
  <si>
    <t>74.0°</t>
  </si>
  <si>
    <t>73.5°</t>
  </si>
  <si>
    <t>73.0°</t>
  </si>
  <si>
    <t>70.0°</t>
  </si>
  <si>
    <t>71.0°</t>
  </si>
  <si>
    <t>71.5°</t>
  </si>
  <si>
    <t>72.0°</t>
  </si>
  <si>
    <r>
      <t>78 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82</t>
    </r>
  </si>
  <si>
    <r>
      <t>72 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75</t>
    </r>
  </si>
  <si>
    <r>
      <t>68 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72</t>
    </r>
  </si>
  <si>
    <r>
      <t>65 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68</t>
    </r>
  </si>
  <si>
    <r>
      <t>1024 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1034</t>
    </r>
  </si>
  <si>
    <r>
      <t>1020 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1030</t>
    </r>
  </si>
  <si>
    <r>
      <t>1026 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1036</t>
    </r>
  </si>
  <si>
    <r>
      <t>1031 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1041</t>
    </r>
  </si>
  <si>
    <r>
      <t>1041 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1051</t>
    </r>
  </si>
  <si>
    <r>
      <t>1056 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1066</t>
    </r>
  </si>
  <si>
    <r>
      <t>425 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435</t>
    </r>
  </si>
  <si>
    <r>
      <t>80 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81</t>
    </r>
  </si>
  <si>
    <r>
      <t>724 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731</t>
    </r>
  </si>
  <si>
    <r>
      <t>740 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747</t>
    </r>
  </si>
  <si>
    <r>
      <t>757 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764</t>
    </r>
  </si>
  <si>
    <r>
      <t>774 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780</t>
    </r>
  </si>
  <si>
    <r>
      <t>791 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797</t>
    </r>
  </si>
  <si>
    <r>
      <t>807 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814</t>
    </r>
  </si>
  <si>
    <t>size</t>
  </si>
  <si>
    <r>
      <t>A</t>
    </r>
    <r>
      <rPr>
        <b/>
        <sz val="14"/>
        <color rgb="FF333333"/>
        <rFont val="Arial"/>
        <family val="2"/>
      </rPr>
      <t> SEAT TUBE LENGTH </t>
    </r>
    <r>
      <rPr>
        <sz val="14"/>
        <color rgb="FF474747"/>
        <rFont val="Arial"/>
        <family val="2"/>
      </rPr>
      <t>(mm)</t>
    </r>
  </si>
  <si>
    <r>
      <t>B</t>
    </r>
    <r>
      <rPr>
        <b/>
        <sz val="14"/>
        <color rgb="FF333333"/>
        <rFont val="Arial"/>
        <family val="2"/>
      </rPr>
      <t> SEAT TUBE ANGLE </t>
    </r>
  </si>
  <si>
    <r>
      <t>C</t>
    </r>
    <r>
      <rPr>
        <b/>
        <sz val="14"/>
        <color rgb="FF333333"/>
        <rFont val="Arial"/>
        <family val="2"/>
      </rPr>
      <t> TOP TUBE LENGTH </t>
    </r>
    <r>
      <rPr>
        <sz val="14"/>
        <color rgb="FF474747"/>
        <rFont val="Arial"/>
        <family val="2"/>
      </rPr>
      <t>(mm)</t>
    </r>
  </si>
  <si>
    <r>
      <t>D</t>
    </r>
    <r>
      <rPr>
        <b/>
        <sz val="14"/>
        <color rgb="FF333333"/>
        <rFont val="Arial"/>
        <family val="2"/>
      </rPr>
      <t> HEAD TUBE LENGTH </t>
    </r>
    <r>
      <rPr>
        <sz val="14"/>
        <color rgb="FF474747"/>
        <rFont val="Arial"/>
        <family val="2"/>
      </rPr>
      <t>(mm)</t>
    </r>
  </si>
  <si>
    <r>
      <t>E</t>
    </r>
    <r>
      <rPr>
        <b/>
        <sz val="14"/>
        <color rgb="FF333333"/>
        <rFont val="Arial"/>
        <family val="2"/>
      </rPr>
      <t> HEAD TUBE ANGLE </t>
    </r>
  </si>
  <si>
    <r>
      <t>F</t>
    </r>
    <r>
      <rPr>
        <b/>
        <sz val="14"/>
        <color rgb="FF333333"/>
        <rFont val="Arial"/>
        <family val="2"/>
      </rPr>
      <t> FORK RAKE </t>
    </r>
    <r>
      <rPr>
        <sz val="14"/>
        <color rgb="FF474747"/>
        <rFont val="Arial"/>
        <family val="2"/>
      </rPr>
      <t>(mm)</t>
    </r>
  </si>
  <si>
    <r>
      <t>G</t>
    </r>
    <r>
      <rPr>
        <b/>
        <sz val="14"/>
        <color rgb="FF333333"/>
        <rFont val="Arial"/>
        <family val="2"/>
      </rPr>
      <t> TRAIL </t>
    </r>
    <r>
      <rPr>
        <sz val="14"/>
        <color rgb="FF474747"/>
        <rFont val="Arial"/>
        <family val="2"/>
      </rPr>
      <t>(mm)</t>
    </r>
  </si>
  <si>
    <r>
      <t>H</t>
    </r>
    <r>
      <rPr>
        <b/>
        <sz val="14"/>
        <color rgb="FF333333"/>
        <rFont val="Arial"/>
        <family val="2"/>
      </rPr>
      <t> WHEELBASE </t>
    </r>
    <r>
      <rPr>
        <sz val="14"/>
        <color rgb="FF474747"/>
        <rFont val="Arial"/>
        <family val="2"/>
      </rPr>
      <t>(mm)</t>
    </r>
  </si>
  <si>
    <r>
      <t>I</t>
    </r>
    <r>
      <rPr>
        <b/>
        <sz val="14"/>
        <color rgb="FF333333"/>
        <rFont val="Arial"/>
        <family val="2"/>
      </rPr>
      <t> CHAIN STAY LENGTH </t>
    </r>
    <r>
      <rPr>
        <sz val="14"/>
        <color rgb="FF474747"/>
        <rFont val="Arial"/>
        <family val="2"/>
      </rPr>
      <t>(mm)</t>
    </r>
  </si>
  <si>
    <r>
      <t>J</t>
    </r>
    <r>
      <rPr>
        <b/>
        <sz val="14"/>
        <color rgb="FF333333"/>
        <rFont val="Arial"/>
        <family val="2"/>
      </rPr>
      <t> BOTTOM BRACKET DROP </t>
    </r>
    <r>
      <rPr>
        <sz val="14"/>
        <color rgb="FF474747"/>
        <rFont val="Arial"/>
        <family val="2"/>
      </rPr>
      <t>(mm)</t>
    </r>
  </si>
  <si>
    <r>
      <t>K</t>
    </r>
    <r>
      <rPr>
        <b/>
        <sz val="14"/>
        <color rgb="FF333333"/>
        <rFont val="Arial"/>
        <family val="2"/>
      </rPr>
      <t> STACK </t>
    </r>
    <r>
      <rPr>
        <sz val="14"/>
        <color rgb="FF474747"/>
        <rFont val="Arial"/>
        <family val="2"/>
      </rPr>
      <t>(mm)</t>
    </r>
  </si>
  <si>
    <r>
      <t>L</t>
    </r>
    <r>
      <rPr>
        <b/>
        <sz val="14"/>
        <color rgb="FF333333"/>
        <rFont val="Arial"/>
        <family val="2"/>
      </rPr>
      <t> REACH </t>
    </r>
    <r>
      <rPr>
        <sz val="14"/>
        <color rgb="FF474747"/>
        <rFont val="Arial"/>
        <family val="2"/>
      </rPr>
      <t>(mm)</t>
    </r>
  </si>
  <si>
    <r>
      <t>M</t>
    </r>
    <r>
      <rPr>
        <b/>
        <sz val="14"/>
        <color rgb="FF333333"/>
        <rFont val="Arial"/>
        <family val="2"/>
      </rPr>
      <t> STAND OVER HEIGHT </t>
    </r>
    <r>
      <rPr>
        <sz val="14"/>
        <color rgb="FF474747"/>
        <rFont val="Arial"/>
        <family val="2"/>
      </rPr>
      <t>(mm)</t>
    </r>
  </si>
  <si>
    <r>
      <t>N</t>
    </r>
    <r>
      <rPr>
        <b/>
        <sz val="14"/>
        <color rgb="FF333333"/>
        <rFont val="Arial"/>
        <family val="2"/>
      </rPr>
      <t> HANDLEBAR WIDTH </t>
    </r>
    <r>
      <rPr>
        <sz val="14"/>
        <color rgb="FF474747"/>
        <rFont val="Arial"/>
        <family val="2"/>
      </rPr>
      <t>(mm)</t>
    </r>
  </si>
  <si>
    <r>
      <t>O</t>
    </r>
    <r>
      <rPr>
        <b/>
        <sz val="14"/>
        <color rgb="FF333333"/>
        <rFont val="Arial"/>
        <family val="2"/>
      </rPr>
      <t> STEM LENGTH </t>
    </r>
    <r>
      <rPr>
        <sz val="14"/>
        <color rgb="FF474747"/>
        <rFont val="Arial"/>
        <family val="2"/>
      </rPr>
      <t>(mm)</t>
    </r>
  </si>
  <si>
    <r>
      <t>P</t>
    </r>
    <r>
      <rPr>
        <b/>
        <sz val="14"/>
        <color rgb="FF333333"/>
        <rFont val="Arial"/>
        <family val="2"/>
      </rPr>
      <t> CRANK LENGTH </t>
    </r>
    <r>
      <rPr>
        <sz val="14"/>
        <color rgb="FF474747"/>
        <rFont val="Arial"/>
        <family val="2"/>
      </rPr>
      <t>(mm)</t>
    </r>
  </si>
  <si>
    <t>internal</t>
  </si>
  <si>
    <t>yes</t>
  </si>
  <si>
    <t>a8:h33</t>
  </si>
  <si>
    <t>flip</t>
  </si>
  <si>
    <t>`</t>
  </si>
  <si>
    <t>Revolt Advanced Pro (long)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</si>
</sst>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474747"/>
      <name val="Arial"/>
      <family val="2"/>
    </font>
    <font>
      <b/>
      <sz val="11"/>
      <color rgb="FF333333"/>
      <name val="Arial"/>
      <family val="2"/>
    </font>
    <font>
      <b/>
      <sz val="11"/>
      <color rgb="FFAAAAAA"/>
      <name val="Arial"/>
      <family val="2"/>
    </font>
    <font>
      <sz val="14"/>
      <color rgb="FF333333"/>
      <name val="Arial"/>
      <family val="2"/>
    </font>
    <font>
      <sz val="14"/>
      <color rgb="FFCCCCCC"/>
      <name val="Arial"/>
      <family val="2"/>
    </font>
    <font>
      <b/>
      <sz val="14"/>
      <color rgb="FFFFFFFF"/>
      <name val="Arial"/>
      <family val="2"/>
    </font>
    <font>
      <b/>
      <sz val="14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3"/>
  <sheetViews>
    <sheetView tabSelected="1" topLeftCell="A34" workbookViewId="0">
      <selection activeCell="B1" sqref="B1"/>
    </sheetView>
  </sheetViews>
  <sheetFormatPr baseColWidth="10" defaultRowHeight="20" x14ac:dyDescent="0.3"/>
  <cols>
    <col min="1" max="2" width="19.6640625" customWidth="1"/>
  </cols>
  <sheetData>
    <row r="1" spans="1:15" x14ac:dyDescent="0.3">
      <c r="A1" t="s">
        <v>0</v>
      </c>
      <c r="B1" t="s">
        <v>1</v>
      </c>
    </row>
    <row r="2" spans="1:15" x14ac:dyDescent="0.3">
      <c r="A2" t="s">
        <v>2</v>
      </c>
      <c r="B2" s="1" t="s">
        <v>133</v>
      </c>
    </row>
    <row r="3" spans="1:15" x14ac:dyDescent="0.3">
      <c r="A3" t="s">
        <v>3</v>
      </c>
      <c r="B3">
        <v>2025</v>
      </c>
    </row>
    <row r="4" spans="1:15" x14ac:dyDescent="0.3">
      <c r="A4" t="s">
        <v>4</v>
      </c>
      <c r="B4" s="2">
        <v>45888</v>
      </c>
    </row>
    <row r="5" spans="1:15" x14ac:dyDescent="0.3">
      <c r="A5" t="s">
        <v>5</v>
      </c>
    </row>
    <row r="7" spans="1:15" x14ac:dyDescent="0.3">
      <c r="A7" t="s">
        <v>6</v>
      </c>
      <c r="B7" s="1" t="s">
        <v>130</v>
      </c>
      <c r="J7" s="3" t="s">
        <v>8</v>
      </c>
      <c r="K7" s="3" t="s">
        <v>9</v>
      </c>
      <c r="L7" s="3" t="s">
        <v>10</v>
      </c>
      <c r="M7" s="3" t="s">
        <v>11</v>
      </c>
      <c r="N7" s="3" t="s">
        <v>12</v>
      </c>
      <c r="O7" s="3" t="s">
        <v>13</v>
      </c>
    </row>
    <row r="8" spans="1:15" x14ac:dyDescent="0.3">
      <c r="A8" t="s">
        <v>7</v>
      </c>
      <c r="B8" s="1" t="s">
        <v>111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  <c r="H8" s="3" t="s">
        <v>13</v>
      </c>
      <c r="J8" s="4" t="s">
        <v>85</v>
      </c>
      <c r="K8" s="4" t="s">
        <v>85</v>
      </c>
      <c r="L8" s="4" t="s">
        <v>85</v>
      </c>
      <c r="M8" s="4" t="s">
        <v>85</v>
      </c>
      <c r="N8" s="4" t="s">
        <v>85</v>
      </c>
      <c r="O8" s="4" t="s">
        <v>85</v>
      </c>
    </row>
    <row r="9" spans="1:15" x14ac:dyDescent="0.3">
      <c r="A9" t="s">
        <v>14</v>
      </c>
      <c r="B9" s="6" t="s">
        <v>112</v>
      </c>
      <c r="C9" s="5">
        <v>430</v>
      </c>
      <c r="D9" s="5">
        <v>450</v>
      </c>
      <c r="E9" s="5">
        <v>470</v>
      </c>
      <c r="F9" s="5">
        <v>490</v>
      </c>
      <c r="G9" s="5">
        <v>510</v>
      </c>
      <c r="H9" s="5">
        <v>530</v>
      </c>
      <c r="J9" s="5">
        <v>430</v>
      </c>
      <c r="K9" s="5">
        <v>450</v>
      </c>
      <c r="L9" s="5">
        <v>470</v>
      </c>
      <c r="M9" s="5">
        <v>490</v>
      </c>
      <c r="N9" s="5">
        <v>510</v>
      </c>
      <c r="O9" s="5">
        <v>530</v>
      </c>
    </row>
    <row r="10" spans="1:15" x14ac:dyDescent="0.3">
      <c r="A10" t="s">
        <v>15</v>
      </c>
      <c r="B10" s="6" t="s">
        <v>113</v>
      </c>
      <c r="C10" s="5">
        <v>74</v>
      </c>
      <c r="D10" s="5">
        <v>73.5</v>
      </c>
      <c r="E10" s="5">
        <v>73.5</v>
      </c>
      <c r="F10" s="5">
        <v>73</v>
      </c>
      <c r="G10" s="5">
        <v>73</v>
      </c>
      <c r="H10" s="5">
        <v>73</v>
      </c>
      <c r="J10" s="5" t="s">
        <v>86</v>
      </c>
      <c r="K10" s="5" t="s">
        <v>87</v>
      </c>
      <c r="L10" s="5" t="s">
        <v>87</v>
      </c>
      <c r="M10" s="5" t="s">
        <v>88</v>
      </c>
      <c r="N10" s="5" t="s">
        <v>88</v>
      </c>
      <c r="O10" s="5" t="s">
        <v>88</v>
      </c>
    </row>
    <row r="11" spans="1:15" x14ac:dyDescent="0.3">
      <c r="A11" t="s">
        <v>16</v>
      </c>
      <c r="B11" s="6" t="s">
        <v>114</v>
      </c>
      <c r="C11" s="5">
        <v>540</v>
      </c>
      <c r="D11" s="5">
        <v>550</v>
      </c>
      <c r="E11" s="5">
        <v>560</v>
      </c>
      <c r="F11" s="5">
        <v>575</v>
      </c>
      <c r="G11" s="5">
        <v>585</v>
      </c>
      <c r="H11" s="5">
        <v>600</v>
      </c>
      <c r="J11" s="5">
        <v>540</v>
      </c>
      <c r="K11" s="5">
        <v>550</v>
      </c>
      <c r="L11" s="5">
        <v>560</v>
      </c>
      <c r="M11" s="5">
        <v>575</v>
      </c>
      <c r="N11" s="5">
        <v>585</v>
      </c>
      <c r="O11" s="5">
        <v>600</v>
      </c>
    </row>
    <row r="12" spans="1:15" x14ac:dyDescent="0.3">
      <c r="A12" t="s">
        <v>17</v>
      </c>
      <c r="B12" s="6" t="s">
        <v>115</v>
      </c>
      <c r="C12" s="5">
        <v>125</v>
      </c>
      <c r="D12" s="5">
        <v>135</v>
      </c>
      <c r="E12" s="5">
        <v>150</v>
      </c>
      <c r="F12" s="5">
        <v>165</v>
      </c>
      <c r="G12" s="5">
        <v>180</v>
      </c>
      <c r="H12" s="5">
        <v>195</v>
      </c>
      <c r="J12" s="5">
        <v>125</v>
      </c>
      <c r="K12" s="5">
        <v>135</v>
      </c>
      <c r="L12" s="5">
        <v>150</v>
      </c>
      <c r="M12" s="5">
        <v>165</v>
      </c>
      <c r="N12" s="5">
        <v>180</v>
      </c>
      <c r="O12" s="5">
        <v>195</v>
      </c>
    </row>
    <row r="13" spans="1:15" x14ac:dyDescent="0.3">
      <c r="A13" t="s">
        <v>18</v>
      </c>
      <c r="B13" s="6" t="s">
        <v>116</v>
      </c>
      <c r="C13" s="5">
        <v>70</v>
      </c>
      <c r="D13" s="5">
        <v>71</v>
      </c>
      <c r="E13" s="5">
        <v>71.5</v>
      </c>
      <c r="F13" s="5">
        <v>72</v>
      </c>
      <c r="G13" s="5">
        <v>72</v>
      </c>
      <c r="H13" s="5">
        <v>72</v>
      </c>
      <c r="J13" s="5" t="s">
        <v>89</v>
      </c>
      <c r="K13" s="5" t="s">
        <v>90</v>
      </c>
      <c r="L13" s="5" t="s">
        <v>91</v>
      </c>
      <c r="M13" s="5" t="s">
        <v>92</v>
      </c>
      <c r="N13" s="5" t="s">
        <v>92</v>
      </c>
      <c r="O13" s="5" t="s">
        <v>92</v>
      </c>
    </row>
    <row r="14" spans="1:15" x14ac:dyDescent="0.3">
      <c r="A14" t="s">
        <v>19</v>
      </c>
      <c r="B14" s="6" t="s">
        <v>117</v>
      </c>
      <c r="C14" s="5">
        <v>50</v>
      </c>
      <c r="D14" s="5">
        <v>50</v>
      </c>
      <c r="E14" s="5">
        <v>50</v>
      </c>
      <c r="F14" s="5">
        <v>50</v>
      </c>
      <c r="G14" s="5">
        <v>50</v>
      </c>
      <c r="H14" s="5">
        <v>50</v>
      </c>
      <c r="J14" s="5">
        <v>50</v>
      </c>
      <c r="K14" s="5">
        <v>50</v>
      </c>
      <c r="L14" s="5">
        <v>50</v>
      </c>
      <c r="M14" s="5">
        <v>50</v>
      </c>
      <c r="N14" s="5">
        <v>50</v>
      </c>
      <c r="O14" s="5">
        <v>50</v>
      </c>
    </row>
    <row r="15" spans="1:15" x14ac:dyDescent="0.3">
      <c r="A15" t="s">
        <v>20</v>
      </c>
      <c r="B15" s="6" t="s">
        <v>118</v>
      </c>
      <c r="C15" s="5">
        <f>VALUE(RIGHT(J15,2))</f>
        <v>82</v>
      </c>
      <c r="D15" s="5">
        <f t="shared" ref="D15:H15" si="0">VALUE(RIGHT(K15,2))</f>
        <v>75</v>
      </c>
      <c r="E15" s="5">
        <f t="shared" si="0"/>
        <v>72</v>
      </c>
      <c r="F15" s="5">
        <f t="shared" si="0"/>
        <v>68</v>
      </c>
      <c r="G15" s="5">
        <f t="shared" si="0"/>
        <v>68</v>
      </c>
      <c r="H15" s="5">
        <f t="shared" si="0"/>
        <v>68</v>
      </c>
      <c r="J15" s="5" t="s">
        <v>93</v>
      </c>
      <c r="K15" s="5" t="s">
        <v>94</v>
      </c>
      <c r="L15" s="5" t="s">
        <v>95</v>
      </c>
      <c r="M15" s="5" t="s">
        <v>96</v>
      </c>
      <c r="N15" s="5" t="s">
        <v>96</v>
      </c>
      <c r="O15" s="5" t="s">
        <v>96</v>
      </c>
    </row>
    <row r="16" spans="1:15" x14ac:dyDescent="0.3">
      <c r="A16" t="s">
        <v>21</v>
      </c>
      <c r="B16" s="6" t="s">
        <v>119</v>
      </c>
      <c r="C16" s="5">
        <f>VALUE(RIGHT(J16,4))</f>
        <v>1034</v>
      </c>
      <c r="D16" s="5">
        <f t="shared" ref="D16:H16" si="1">VALUE(RIGHT(K16,4))</f>
        <v>1030</v>
      </c>
      <c r="E16" s="5">
        <f t="shared" si="1"/>
        <v>1036</v>
      </c>
      <c r="F16" s="5">
        <f t="shared" si="1"/>
        <v>1041</v>
      </c>
      <c r="G16" s="5">
        <f t="shared" si="1"/>
        <v>1051</v>
      </c>
      <c r="H16" s="5">
        <f t="shared" si="1"/>
        <v>1066</v>
      </c>
      <c r="J16" s="5" t="s">
        <v>97</v>
      </c>
      <c r="K16" s="5" t="s">
        <v>98</v>
      </c>
      <c r="L16" s="5" t="s">
        <v>99</v>
      </c>
      <c r="M16" s="5" t="s">
        <v>100</v>
      </c>
      <c r="N16" s="5" t="s">
        <v>101</v>
      </c>
      <c r="O16" s="5" t="s">
        <v>102</v>
      </c>
    </row>
    <row r="17" spans="1:15" x14ac:dyDescent="0.3">
      <c r="A17" t="s">
        <v>22</v>
      </c>
      <c r="B17" s="6" t="s">
        <v>120</v>
      </c>
      <c r="C17" s="5">
        <f>VALUE(RIGHT(J17,3))</f>
        <v>435</v>
      </c>
      <c r="D17" s="5">
        <f t="shared" ref="D17:H17" si="2">VALUE(RIGHT(K17,3))</f>
        <v>435</v>
      </c>
      <c r="E17" s="5">
        <f t="shared" si="2"/>
        <v>435</v>
      </c>
      <c r="F17" s="5">
        <f t="shared" si="2"/>
        <v>435</v>
      </c>
      <c r="G17" s="5">
        <f t="shared" si="2"/>
        <v>435</v>
      </c>
      <c r="H17" s="5">
        <f t="shared" si="2"/>
        <v>435</v>
      </c>
      <c r="J17" s="5" t="s">
        <v>103</v>
      </c>
      <c r="K17" s="5" t="s">
        <v>103</v>
      </c>
      <c r="L17" s="5" t="s">
        <v>103</v>
      </c>
      <c r="M17" s="5" t="s">
        <v>103</v>
      </c>
      <c r="N17" s="5" t="s">
        <v>103</v>
      </c>
      <c r="O17" s="5" t="s">
        <v>103</v>
      </c>
    </row>
    <row r="18" spans="1:15" x14ac:dyDescent="0.3">
      <c r="A18" t="s">
        <v>23</v>
      </c>
      <c r="B18" s="6" t="s">
        <v>121</v>
      </c>
      <c r="C18" s="5">
        <f>VALUE(RIGHT(J18,2))</f>
        <v>81</v>
      </c>
      <c r="D18" s="5">
        <f t="shared" ref="D18:H18" si="3">VALUE(RIGHT(K18,2))</f>
        <v>81</v>
      </c>
      <c r="E18" s="5">
        <f t="shared" si="3"/>
        <v>81</v>
      </c>
      <c r="F18" s="5">
        <f t="shared" si="3"/>
        <v>81</v>
      </c>
      <c r="G18" s="5">
        <f t="shared" si="3"/>
        <v>81</v>
      </c>
      <c r="H18" s="5">
        <f t="shared" si="3"/>
        <v>81</v>
      </c>
      <c r="J18" s="5" t="s">
        <v>104</v>
      </c>
      <c r="K18" s="5" t="s">
        <v>104</v>
      </c>
      <c r="L18" s="5" t="s">
        <v>104</v>
      </c>
      <c r="M18" s="5" t="s">
        <v>104</v>
      </c>
      <c r="N18" s="5" t="s">
        <v>104</v>
      </c>
      <c r="O18" s="5" t="s">
        <v>104</v>
      </c>
    </row>
    <row r="19" spans="1:15" x14ac:dyDescent="0.3">
      <c r="A19" t="s">
        <v>24</v>
      </c>
      <c r="B19" s="6" t="s">
        <v>122</v>
      </c>
      <c r="C19" s="5">
        <v>556</v>
      </c>
      <c r="D19" s="5">
        <v>570</v>
      </c>
      <c r="E19" s="5">
        <v>586</v>
      </c>
      <c r="F19" s="5">
        <v>602</v>
      </c>
      <c r="G19" s="5">
        <v>616</v>
      </c>
      <c r="H19" s="5">
        <v>630</v>
      </c>
      <c r="J19" s="5">
        <v>556</v>
      </c>
      <c r="K19" s="5">
        <v>570</v>
      </c>
      <c r="L19" s="5">
        <v>586</v>
      </c>
      <c r="M19" s="5">
        <v>602</v>
      </c>
      <c r="N19" s="5">
        <v>616</v>
      </c>
      <c r="O19" s="5">
        <v>630</v>
      </c>
    </row>
    <row r="20" spans="1:15" x14ac:dyDescent="0.3">
      <c r="A20" t="s">
        <v>25</v>
      </c>
      <c r="B20" s="6" t="s">
        <v>123</v>
      </c>
      <c r="C20" s="5">
        <v>381</v>
      </c>
      <c r="D20" s="5">
        <v>381</v>
      </c>
      <c r="E20" s="5">
        <v>387</v>
      </c>
      <c r="F20" s="5">
        <v>391</v>
      </c>
      <c r="G20" s="5">
        <v>397</v>
      </c>
      <c r="H20" s="5">
        <v>407</v>
      </c>
      <c r="J20" s="5">
        <v>381</v>
      </c>
      <c r="K20" s="5">
        <v>381</v>
      </c>
      <c r="L20" s="5">
        <v>387</v>
      </c>
      <c r="M20" s="5">
        <v>391</v>
      </c>
      <c r="N20" s="5">
        <v>397</v>
      </c>
      <c r="O20" s="5">
        <v>407</v>
      </c>
    </row>
    <row r="21" spans="1:15" x14ac:dyDescent="0.3">
      <c r="A21" t="s">
        <v>26</v>
      </c>
      <c r="B21" s="6" t="s">
        <v>124</v>
      </c>
      <c r="C21" s="5">
        <f>VALUE(RIGHT(J21,3))</f>
        <v>731</v>
      </c>
      <c r="D21" s="5">
        <f t="shared" ref="D21:H21" si="4">VALUE(RIGHT(K21,3))</f>
        <v>747</v>
      </c>
      <c r="E21" s="5">
        <f t="shared" si="4"/>
        <v>764</v>
      </c>
      <c r="F21" s="5">
        <f t="shared" si="4"/>
        <v>780</v>
      </c>
      <c r="G21" s="5">
        <f t="shared" si="4"/>
        <v>797</v>
      </c>
      <c r="H21" s="5">
        <f t="shared" si="4"/>
        <v>814</v>
      </c>
      <c r="J21" s="5" t="s">
        <v>105</v>
      </c>
      <c r="K21" s="5" t="s">
        <v>106</v>
      </c>
      <c r="L21" s="5" t="s">
        <v>107</v>
      </c>
      <c r="M21" s="5" t="s">
        <v>108</v>
      </c>
      <c r="N21" s="5" t="s">
        <v>109</v>
      </c>
      <c r="O21" s="5" t="s">
        <v>110</v>
      </c>
    </row>
    <row r="22" spans="1:15" x14ac:dyDescent="0.3">
      <c r="A22" t="s">
        <v>27</v>
      </c>
      <c r="B22" s="6" t="s">
        <v>125</v>
      </c>
      <c r="C22" s="5">
        <v>420</v>
      </c>
      <c r="D22" s="5">
        <v>420</v>
      </c>
      <c r="E22" s="5">
        <v>440</v>
      </c>
      <c r="F22" s="5">
        <v>440</v>
      </c>
      <c r="G22" s="5">
        <v>460</v>
      </c>
      <c r="H22" s="5">
        <v>460</v>
      </c>
      <c r="J22" s="5">
        <v>420</v>
      </c>
      <c r="K22" s="5">
        <v>420</v>
      </c>
      <c r="L22" s="5">
        <v>440</v>
      </c>
      <c r="M22" s="5">
        <v>440</v>
      </c>
      <c r="N22" s="5">
        <v>460</v>
      </c>
      <c r="O22" s="5">
        <v>460</v>
      </c>
    </row>
    <row r="23" spans="1:15" x14ac:dyDescent="0.3">
      <c r="A23" t="s">
        <v>28</v>
      </c>
      <c r="B23" s="6" t="s">
        <v>126</v>
      </c>
      <c r="C23" s="5">
        <v>50</v>
      </c>
      <c r="D23" s="5">
        <v>60</v>
      </c>
      <c r="E23" s="5">
        <v>70</v>
      </c>
      <c r="F23" s="5">
        <v>80</v>
      </c>
      <c r="G23" s="5">
        <v>80</v>
      </c>
      <c r="H23" s="5">
        <v>90</v>
      </c>
      <c r="J23" s="5">
        <v>50</v>
      </c>
      <c r="K23" s="5">
        <v>60</v>
      </c>
      <c r="L23" s="5">
        <v>70</v>
      </c>
      <c r="M23" s="5">
        <v>80</v>
      </c>
      <c r="N23" s="5">
        <v>80</v>
      </c>
      <c r="O23" s="5">
        <v>90</v>
      </c>
    </row>
    <row r="24" spans="1:15" x14ac:dyDescent="0.3">
      <c r="A24" t="s">
        <v>29</v>
      </c>
      <c r="B24" s="6" t="s">
        <v>127</v>
      </c>
      <c r="C24" s="5">
        <v>170</v>
      </c>
      <c r="D24" s="5">
        <v>170</v>
      </c>
      <c r="E24" s="5">
        <v>172.5</v>
      </c>
      <c r="F24" s="5">
        <v>172.5</v>
      </c>
      <c r="G24" s="5">
        <v>175</v>
      </c>
      <c r="H24" s="5">
        <v>175</v>
      </c>
      <c r="J24" s="5">
        <v>170</v>
      </c>
      <c r="K24" s="5">
        <v>170</v>
      </c>
      <c r="L24" s="5">
        <v>172.5</v>
      </c>
      <c r="M24" s="5">
        <v>172.5</v>
      </c>
      <c r="N24" s="5">
        <v>175</v>
      </c>
      <c r="O24" s="5">
        <v>175</v>
      </c>
    </row>
    <row r="25" spans="1:15" x14ac:dyDescent="0.3">
      <c r="A25" s="1" t="s">
        <v>76</v>
      </c>
    </row>
    <row r="26" spans="1:15" x14ac:dyDescent="0.3">
      <c r="A26" t="s">
        <v>30</v>
      </c>
      <c r="B26" t="s">
        <v>31</v>
      </c>
      <c r="C26">
        <v>700</v>
      </c>
      <c r="D26">
        <v>700</v>
      </c>
      <c r="E26">
        <v>700</v>
      </c>
      <c r="F26">
        <v>700</v>
      </c>
      <c r="G26">
        <v>700</v>
      </c>
      <c r="H26">
        <v>700</v>
      </c>
    </row>
    <row r="27" spans="1:15" x14ac:dyDescent="0.3">
      <c r="A27" t="s">
        <v>32</v>
      </c>
      <c r="B27" t="s">
        <v>32</v>
      </c>
      <c r="C27">
        <v>435</v>
      </c>
      <c r="D27">
        <v>435</v>
      </c>
      <c r="E27">
        <v>435</v>
      </c>
      <c r="F27">
        <v>435</v>
      </c>
      <c r="G27">
        <v>435</v>
      </c>
      <c r="H27">
        <v>435</v>
      </c>
    </row>
    <row r="28" spans="1:15" x14ac:dyDescent="0.3">
      <c r="A28" t="s">
        <v>33</v>
      </c>
      <c r="B28" t="s">
        <v>33</v>
      </c>
      <c r="C28">
        <v>50</v>
      </c>
      <c r="D28">
        <v>50</v>
      </c>
      <c r="E28">
        <v>50</v>
      </c>
      <c r="F28">
        <v>50</v>
      </c>
      <c r="G28">
        <v>50</v>
      </c>
      <c r="H28">
        <v>50</v>
      </c>
    </row>
    <row r="29" spans="1:15" x14ac:dyDescent="0.3">
      <c r="A29" t="s">
        <v>34</v>
      </c>
      <c r="B29" t="s">
        <v>34</v>
      </c>
      <c r="C29">
        <v>53</v>
      </c>
      <c r="D29">
        <v>53</v>
      </c>
      <c r="E29">
        <v>53</v>
      </c>
      <c r="F29">
        <v>53</v>
      </c>
      <c r="G29">
        <v>53</v>
      </c>
      <c r="H29">
        <v>53</v>
      </c>
    </row>
    <row r="30" spans="1:15" x14ac:dyDescent="0.3">
      <c r="A30" t="s">
        <v>35</v>
      </c>
      <c r="B30" t="s">
        <v>35</v>
      </c>
      <c r="C30">
        <f>C32</f>
        <v>155</v>
      </c>
      <c r="D30">
        <f>AVERAGE(D32,C33)</f>
        <v>157.5</v>
      </c>
      <c r="E30">
        <f t="shared" ref="E30:H30" si="5">AVERAGE(E32,D33)</f>
        <v>170</v>
      </c>
      <c r="F30">
        <f t="shared" si="5"/>
        <v>177.5</v>
      </c>
      <c r="G30">
        <f t="shared" si="5"/>
        <v>182.5</v>
      </c>
      <c r="H30">
        <f t="shared" si="5"/>
        <v>190</v>
      </c>
    </row>
    <row r="31" spans="1:15" x14ac:dyDescent="0.3">
      <c r="A31" t="s">
        <v>36</v>
      </c>
      <c r="B31" t="s">
        <v>36</v>
      </c>
      <c r="C31">
        <f>D30</f>
        <v>157.5</v>
      </c>
      <c r="D31">
        <f t="shared" ref="D31:G31" si="6">E30</f>
        <v>170</v>
      </c>
      <c r="E31">
        <f t="shared" si="6"/>
        <v>177.5</v>
      </c>
      <c r="F31">
        <f t="shared" si="6"/>
        <v>182.5</v>
      </c>
      <c r="G31">
        <f t="shared" si="6"/>
        <v>190</v>
      </c>
      <c r="H31">
        <f>H33</f>
        <v>200</v>
      </c>
    </row>
    <row r="32" spans="1:15" x14ac:dyDescent="0.3">
      <c r="A32" s="1" t="s">
        <v>83</v>
      </c>
      <c r="C32">
        <v>155</v>
      </c>
      <c r="D32">
        <v>159</v>
      </c>
      <c r="E32">
        <v>169</v>
      </c>
      <c r="F32">
        <v>174</v>
      </c>
      <c r="G32">
        <v>179</v>
      </c>
      <c r="H32">
        <v>189</v>
      </c>
    </row>
    <row r="33" spans="1:8" x14ac:dyDescent="0.3">
      <c r="A33" s="1" t="s">
        <v>84</v>
      </c>
      <c r="C33">
        <v>156</v>
      </c>
      <c r="D33">
        <v>171</v>
      </c>
      <c r="E33">
        <v>181</v>
      </c>
      <c r="F33">
        <v>186</v>
      </c>
      <c r="G33">
        <v>191</v>
      </c>
      <c r="H33">
        <v>200</v>
      </c>
    </row>
    <row r="35" spans="1:8" x14ac:dyDescent="0.3">
      <c r="A35" t="s">
        <v>37</v>
      </c>
      <c r="B35" t="s">
        <v>38</v>
      </c>
    </row>
    <row r="36" spans="1:8" x14ac:dyDescent="0.3">
      <c r="A36" t="s">
        <v>77</v>
      </c>
      <c r="B36" t="s">
        <v>78</v>
      </c>
    </row>
    <row r="37" spans="1:8" x14ac:dyDescent="0.3">
      <c r="A37" t="s">
        <v>79</v>
      </c>
      <c r="B37" t="s">
        <v>80</v>
      </c>
    </row>
    <row r="38" spans="1:8" x14ac:dyDescent="0.3">
      <c r="A38" t="s">
        <v>81</v>
      </c>
      <c r="B38" t="s">
        <v>82</v>
      </c>
    </row>
    <row r="39" spans="1:8" x14ac:dyDescent="0.3">
      <c r="A39" t="s">
        <v>39</v>
      </c>
      <c r="B39" t="s">
        <v>40</v>
      </c>
    </row>
    <row r="40" spans="1:8" x14ac:dyDescent="0.3">
      <c r="A40" t="s">
        <v>41</v>
      </c>
      <c r="B40" s="1" t="s">
        <v>75</v>
      </c>
    </row>
    <row r="41" spans="1:8" x14ac:dyDescent="0.3">
      <c r="A41" t="s">
        <v>42</v>
      </c>
      <c r="B41" s="1" t="s">
        <v>131</v>
      </c>
    </row>
    <row r="42" spans="1:8" x14ac:dyDescent="0.3">
      <c r="A42" t="s">
        <v>43</v>
      </c>
      <c r="B42" s="1" t="s">
        <v>132</v>
      </c>
    </row>
    <row r="43" spans="1:8" x14ac:dyDescent="0.3">
      <c r="A43" t="s">
        <v>44</v>
      </c>
    </row>
    <row r="44" spans="1:8" x14ac:dyDescent="0.3">
      <c r="A44" t="s">
        <v>45</v>
      </c>
    </row>
    <row r="45" spans="1:8" x14ac:dyDescent="0.3">
      <c r="A45" t="s">
        <v>46</v>
      </c>
    </row>
    <row r="46" spans="1:8" x14ac:dyDescent="0.3">
      <c r="A46" t="s">
        <v>47</v>
      </c>
    </row>
    <row r="47" spans="1:8" x14ac:dyDescent="0.3">
      <c r="A47" t="s">
        <v>48</v>
      </c>
    </row>
    <row r="48" spans="1:8" x14ac:dyDescent="0.3">
      <c r="A48" t="s">
        <v>49</v>
      </c>
      <c r="B48">
        <v>142</v>
      </c>
    </row>
    <row r="49" spans="1:2" x14ac:dyDescent="0.3">
      <c r="A49" t="s">
        <v>50</v>
      </c>
      <c r="B49">
        <v>100</v>
      </c>
    </row>
    <row r="50" spans="1:2" x14ac:dyDescent="0.3">
      <c r="A50" t="s">
        <v>51</v>
      </c>
      <c r="B50" s="1"/>
    </row>
    <row r="51" spans="1:2" x14ac:dyDescent="0.3">
      <c r="A51" t="s">
        <v>52</v>
      </c>
    </row>
    <row r="52" spans="1:2" x14ac:dyDescent="0.3">
      <c r="A52" t="s">
        <v>53</v>
      </c>
      <c r="B52">
        <v>30.9</v>
      </c>
    </row>
    <row r="53" spans="1:2" x14ac:dyDescent="0.3">
      <c r="A53" t="s">
        <v>54</v>
      </c>
      <c r="B53" s="1" t="s">
        <v>129</v>
      </c>
    </row>
    <row r="54" spans="1:2" x14ac:dyDescent="0.3">
      <c r="A54" t="s">
        <v>55</v>
      </c>
    </row>
    <row r="55" spans="1:2" x14ac:dyDescent="0.3">
      <c r="A55" t="s">
        <v>56</v>
      </c>
    </row>
    <row r="56" spans="1:2" x14ac:dyDescent="0.3">
      <c r="A56" t="s">
        <v>57</v>
      </c>
    </row>
    <row r="57" spans="1:2" x14ac:dyDescent="0.3">
      <c r="A57" t="s">
        <v>58</v>
      </c>
    </row>
    <row r="58" spans="1:2" x14ac:dyDescent="0.3">
      <c r="A58" t="s">
        <v>59</v>
      </c>
    </row>
    <row r="59" spans="1:2" x14ac:dyDescent="0.3">
      <c r="A59" t="s">
        <v>60</v>
      </c>
      <c r="B59" s="1" t="s">
        <v>128</v>
      </c>
    </row>
    <row r="60" spans="1:2" x14ac:dyDescent="0.3">
      <c r="A60" t="s">
        <v>61</v>
      </c>
      <c r="B60" s="1" t="s">
        <v>128</v>
      </c>
    </row>
    <row r="61" spans="1:2" x14ac:dyDescent="0.3">
      <c r="A61" t="s">
        <v>62</v>
      </c>
    </row>
    <row r="62" spans="1:2" x14ac:dyDescent="0.3">
      <c r="A62" t="s">
        <v>63</v>
      </c>
      <c r="B62" s="1" t="s">
        <v>129</v>
      </c>
    </row>
    <row r="63" spans="1:2" x14ac:dyDescent="0.3">
      <c r="A63" t="s">
        <v>64</v>
      </c>
      <c r="B63">
        <v>2</v>
      </c>
    </row>
    <row r="64" spans="1:2" x14ac:dyDescent="0.3">
      <c r="A64" t="s">
        <v>65</v>
      </c>
      <c r="B64">
        <v>1</v>
      </c>
    </row>
    <row r="65" spans="1:2" x14ac:dyDescent="0.3">
      <c r="A65" t="s">
        <v>66</v>
      </c>
      <c r="B65">
        <v>1</v>
      </c>
    </row>
    <row r="66" spans="1:2" x14ac:dyDescent="0.3">
      <c r="A66" t="s">
        <v>67</v>
      </c>
      <c r="B66" s="1" t="s">
        <v>129</v>
      </c>
    </row>
    <row r="67" spans="1:2" x14ac:dyDescent="0.3">
      <c r="A67" t="s">
        <v>68</v>
      </c>
      <c r="B67" s="1" t="s">
        <v>129</v>
      </c>
    </row>
    <row r="68" spans="1:2" x14ac:dyDescent="0.3">
      <c r="A68" t="s">
        <v>69</v>
      </c>
    </row>
    <row r="69" spans="1:2" x14ac:dyDescent="0.3">
      <c r="A69" t="s">
        <v>70</v>
      </c>
      <c r="B69" s="1" t="s">
        <v>129</v>
      </c>
    </row>
    <row r="70" spans="1:2" x14ac:dyDescent="0.3">
      <c r="A70" t="s">
        <v>71</v>
      </c>
      <c r="B70">
        <v>2300</v>
      </c>
    </row>
    <row r="71" spans="1:2" x14ac:dyDescent="0.3">
      <c r="A71" t="s">
        <v>72</v>
      </c>
    </row>
    <row r="72" spans="1:2" x14ac:dyDescent="0.3">
      <c r="A72" t="s">
        <v>73</v>
      </c>
    </row>
    <row r="73" spans="1:2" x14ac:dyDescent="0.3">
      <c r="A73" t="s">
        <v>74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2025-08-20T00:26:00Z</dcterms:modified>
</cp:coreProperties>
</file>