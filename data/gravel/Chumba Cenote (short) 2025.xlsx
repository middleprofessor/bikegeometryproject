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6208A12-E3AB-294C-A614-5AF98CDD90FC}" xr6:coauthVersionLast="47" xr6:coauthVersionMax="47" xr10:uidLastSave="{00000000-0000-0000-0000-000000000000}"/>
  <bookViews>
    <workbookView xWindow="4260" yWindow="700" windowWidth="24540" windowHeight="15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D32" i="1"/>
  <c r="E32" i="1"/>
  <c r="F32" i="1"/>
  <c r="G32" i="1"/>
  <c r="H32" i="1"/>
  <c r="D31" i="1"/>
  <c r="E31" i="1"/>
  <c r="F31" i="1"/>
  <c r="G31" i="1"/>
  <c r="H31" i="1"/>
  <c r="C31" i="1"/>
  <c r="F17" i="1"/>
  <c r="E17" i="1"/>
  <c r="D17" i="1"/>
  <c r="G17" i="1"/>
  <c r="H17" i="1"/>
  <c r="C17" i="1"/>
  <c r="D16" i="1"/>
  <c r="E16" i="1"/>
  <c r="F16" i="1"/>
  <c r="G16" i="1"/>
  <c r="H16" i="1"/>
  <c r="C16" i="1"/>
  <c r="D14" i="1"/>
  <c r="E14" i="1"/>
  <c r="F14" i="1"/>
  <c r="G14" i="1"/>
  <c r="H14" i="1"/>
  <c r="C14" i="1"/>
</calcChain>
</file>

<file path=xl/sharedStrings.xml><?xml version="1.0" encoding="utf-8"?>
<sst xmlns="http://schemas.openxmlformats.org/spreadsheetml/2006/main" count="133" uniqueCount="127">
  <si>
    <t>brand</t>
  </si>
  <si>
    <t>Chumba</t>
  </si>
  <si>
    <t>model</t>
  </si>
  <si>
    <t>model year</t>
  </si>
  <si>
    <t>2025</t>
  </si>
  <si>
    <t>input date</t>
  </si>
  <si>
    <t>URL</t>
  </si>
  <si>
    <t>https://chumbausa.com/cenote-titanium-suspension-gravel-bike</t>
  </si>
  <si>
    <t>08-Jul-2025</t>
  </si>
  <si>
    <t>data_range</t>
  </si>
  <si>
    <t>a8:h32</t>
  </si>
  <si>
    <t>frame_size</t>
  </si>
  <si>
    <t>50</t>
  </si>
  <si>
    <t>top_tube_effective_length</t>
  </si>
  <si>
    <t>Effective Top Tube</t>
  </si>
  <si>
    <t>head_tube_angle</t>
  </si>
  <si>
    <t>Head Tube Angle</t>
  </si>
  <si>
    <t>head_tube_length</t>
  </si>
  <si>
    <t>Head Tube Length</t>
  </si>
  <si>
    <t>seat_tube_angle</t>
  </si>
  <si>
    <t>Seat Tube Angle</t>
  </si>
  <si>
    <t>seat_tube_length</t>
  </si>
  <si>
    <t>Seat Tube Length</t>
  </si>
  <si>
    <t>chainstay_length</t>
  </si>
  <si>
    <t>Chainstay Length</t>
  </si>
  <si>
    <t>bottom_bracket_drop</t>
  </si>
  <si>
    <t>Bottom Bracket Drop</t>
  </si>
  <si>
    <t>wheelbase</t>
  </si>
  <si>
    <t>Wheelbase</t>
  </si>
  <si>
    <t>standover</t>
  </si>
  <si>
    <t>Standover Height</t>
  </si>
  <si>
    <t>reach</t>
  </si>
  <si>
    <t>Reach</t>
  </si>
  <si>
    <t>stack</t>
  </si>
  <si>
    <t>Stack</t>
  </si>
  <si>
    <t>fork_offset_rake</t>
  </si>
  <si>
    <t>axle_crown</t>
  </si>
  <si>
    <t>trail</t>
  </si>
  <si>
    <t>front_center</t>
  </si>
  <si>
    <t>frame_weight</t>
  </si>
  <si>
    <t>handlebar_width</t>
  </si>
  <si>
    <t>stem_length</t>
  </si>
  <si>
    <t>crank_length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</si>
  <si>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</si>
  <si>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</si>
  <si>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</si>
  <si>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</si>
  <si>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</si>
  <si>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</si>
  <si>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</si>
  <si>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</si>
  <si>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</si>
  <si>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</si>
  <si>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</si>
  <si>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20</t>
  </si>
  <si>
    <t>tire_width_max_700c</t>
  </si>
  <si>
    <t>tire_width_max_650b</t>
  </si>
  <si>
    <t>suspension_corrected</t>
  </si>
  <si>
    <t>40</t>
  </si>
  <si>
    <t>fork_suspension</t>
  </si>
  <si>
    <t>stem_suspension</t>
  </si>
  <si>
    <t>rear_suspension</t>
  </si>
  <si>
    <t>rear_axle</t>
  </si>
  <si>
    <t>142</t>
  </si>
  <si>
    <t>front_axle</t>
  </si>
  <si>
    <t>100</t>
  </si>
  <si>
    <t>bottom_bracket</t>
  </si>
  <si>
    <t>q_factor</t>
  </si>
  <si>
    <t>seatpost_diameter</t>
  </si>
  <si>
    <t>front_derailleur</t>
  </si>
  <si>
    <t>max_chainring_1x</t>
  </si>
  <si>
    <t>44</t>
  </si>
  <si>
    <t>max_chainring_2x</t>
  </si>
  <si>
    <t>rotor_max_front</t>
  </si>
  <si>
    <t>rotor_max_rear</t>
  </si>
  <si>
    <t>iso_astm</t>
  </si>
  <si>
    <t>routing_shifter</t>
  </si>
  <si>
    <t>external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</si>
  <si>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</si>
  <si>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</si>
  <si>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</si>
  <si>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</si>
  <si>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</si>
  <si>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</si>
  <si>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</si>
  <si>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</si>
  <si>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</si>
  <si>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</si>
  <si>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</si>
  <si>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</si>
  <si>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</si>
  <si>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</si>
  <si>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</si>
  <si>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</si>
  <si>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</si>
  <si>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</si>
  <si>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</si>
  <si>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Cane Creek Invert</t>
  </si>
  <si>
    <t>suspension</t>
  </si>
  <si>
    <t>USD</t>
  </si>
  <si>
    <t>1015-1035</t>
  </si>
  <si>
    <t>1028-1048</t>
  </si>
  <si>
    <t>1050-1070</t>
  </si>
  <si>
    <t>1067-1087</t>
  </si>
  <si>
    <t>1084-2004</t>
  </si>
  <si>
    <t>1111-1131</t>
  </si>
  <si>
    <t>425-445</t>
  </si>
  <si>
    <t>430-450</t>
  </si>
  <si>
    <t>steel</t>
  </si>
  <si>
    <t>Measurement</t>
  </si>
  <si>
    <t>Suggested Rider</t>
  </si>
  <si>
    <t>&lt;5'3"</t>
  </si>
  <si>
    <t>5'4" - 5'7"</t>
  </si>
  <si>
    <t>5'8" - 5'10"</t>
  </si>
  <si>
    <t>5'10" - 6"</t>
  </si>
  <si>
    <t>6 - 6'1.5"</t>
  </si>
  <si>
    <t>6'2 - 6'3"</t>
  </si>
  <si>
    <t>28.7"</t>
  </si>
  <si>
    <t>29.7"</t>
  </si>
  <si>
    <t>30"</t>
  </si>
  <si>
    <t>31.9"</t>
  </si>
  <si>
    <t>32.7"</t>
  </si>
  <si>
    <t>Cenote (short)</t>
  </si>
  <si>
    <t>Measurements with Cane Creek Invert Suspension Fork. 40mm travel, 435mm Axle to Crown Fork @ 45mm Offset. Frame is compatible with 30-50mm Travels. Geo Customizations are availaible in the dropdown above.</t>
  </si>
  <si>
    <t>https://images.squarespace-cdn.com/content/v1/52f98c74e4b097d8674dc15e/1748960893482-PECP41GUUNPNOYGRMFZS/Chumba-Cenote-Steel-Suspension-Gravel-Bike2.jpg?format=750w</t>
  </si>
  <si>
    <t>location</t>
  </si>
  <si>
    <t>Kansas City, Missouri,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</si>
</sst>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sz val="17"/>
      <color rgb="FF242729"/>
      <name val="Arial"/>
      <family val="2"/>
    </font>
    <font>
      <sz val="14"/>
      <color rgb="FF000000"/>
      <name val="Futura Medium"/>
    </font>
    <font>
      <b/>
      <sz val="14"/>
      <color rgb="FF242729"/>
      <name val="Futura Medium"/>
    </font>
    <font>
      <sz val="14"/>
      <color rgb="FF242729"/>
      <name val="Futura Medium"/>
    </font>
    <font>
      <sz val="13"/>
      <color rgb="FF2427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5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60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14" x14ac:dyDescent="0.3">
      <c r="A1" t="s">
        <v>0</v>
      </c>
      <c r="B1" t="s">
        <v>1</v>
      </c>
    </row>
    <row r="2" spans="1:14" x14ac:dyDescent="0.3">
      <c r="A2" t="s">
        <v>2</v>
      </c>
      <c r="B2" s="1" t="s">
        <v>122</v>
      </c>
    </row>
    <row r="3" spans="1:14" x14ac:dyDescent="0.3">
      <c r="A3" t="s">
        <v>3</v>
      </c>
      <c r="B3" t="s">
        <v>4</v>
      </c>
    </row>
    <row r="4" spans="1:14" x14ac:dyDescent="0.3">
      <c r="A4" t="s">
        <v>5</v>
      </c>
      <c r="B4" t="s">
        <v>8</v>
      </c>
    </row>
    <row r="5" spans="1:14" x14ac:dyDescent="0.3">
      <c r="A5" t="s">
        <v>6</v>
      </c>
      <c r="B5" t="s">
        <v>7</v>
      </c>
    </row>
    <row r="6" spans="1:14" x14ac:dyDescent="0.3">
      <c r="B6" t="s">
        <v>124</v>
      </c>
    </row>
    <row r="7" spans="1:14" x14ac:dyDescent="0.3">
      <c r="A7" t="s">
        <v>9</v>
      </c>
      <c r="B7" t="s">
        <v>10</v>
      </c>
      <c r="C7" s="7" t="s">
        <v>123</v>
      </c>
    </row>
    <row r="8" spans="1:14" x14ac:dyDescent="0.3">
      <c r="A8" t="s">
        <v>11</v>
      </c>
      <c r="B8" s="4" t="s">
        <v>109</v>
      </c>
      <c r="C8" s="4">
        <v>50</v>
      </c>
      <c r="D8" s="4">
        <v>52</v>
      </c>
      <c r="E8" s="4">
        <v>54</v>
      </c>
      <c r="F8" s="4">
        <v>56</v>
      </c>
      <c r="G8" s="4">
        <v>58</v>
      </c>
      <c r="H8" s="4">
        <v>60</v>
      </c>
      <c r="I8" s="3"/>
      <c r="J8" s="3"/>
      <c r="K8" s="3"/>
      <c r="L8" s="3"/>
      <c r="M8" s="3"/>
      <c r="N8" s="3"/>
    </row>
    <row r="9" spans="1:14" x14ac:dyDescent="0.3">
      <c r="A9" t="s">
        <v>13</v>
      </c>
      <c r="B9" s="5" t="s">
        <v>14</v>
      </c>
      <c r="C9" s="5">
        <v>524</v>
      </c>
      <c r="D9" s="5">
        <v>542</v>
      </c>
      <c r="E9" s="5">
        <v>562</v>
      </c>
      <c r="F9" s="5">
        <v>578</v>
      </c>
      <c r="G9" s="5">
        <v>598</v>
      </c>
      <c r="H9" s="5">
        <v>618</v>
      </c>
      <c r="I9" s="3"/>
      <c r="J9" s="3"/>
      <c r="K9" s="3"/>
      <c r="L9" s="3"/>
      <c r="M9" s="3"/>
      <c r="N9" s="3"/>
    </row>
    <row r="10" spans="1:14" x14ac:dyDescent="0.3">
      <c r="A10" t="s">
        <v>15</v>
      </c>
      <c r="B10" s="5" t="s">
        <v>16</v>
      </c>
      <c r="C10" s="5">
        <v>70</v>
      </c>
      <c r="D10" s="5">
        <v>70</v>
      </c>
      <c r="E10" s="5">
        <v>70</v>
      </c>
      <c r="F10" s="5">
        <v>70</v>
      </c>
      <c r="G10" s="5">
        <v>70</v>
      </c>
      <c r="H10" s="5">
        <v>70</v>
      </c>
      <c r="I10" s="3"/>
      <c r="J10" s="3"/>
      <c r="K10" s="3"/>
      <c r="L10" s="3"/>
      <c r="M10" s="3"/>
      <c r="N10" s="3"/>
    </row>
    <row r="11" spans="1:14" x14ac:dyDescent="0.3">
      <c r="A11" t="s">
        <v>17</v>
      </c>
      <c r="B11" s="5" t="s">
        <v>18</v>
      </c>
      <c r="C11" s="5">
        <v>90</v>
      </c>
      <c r="D11" s="5">
        <v>100</v>
      </c>
      <c r="E11" s="5">
        <v>120</v>
      </c>
      <c r="F11" s="5">
        <v>140</v>
      </c>
      <c r="G11" s="5">
        <v>160</v>
      </c>
      <c r="H11" s="5">
        <v>180</v>
      </c>
      <c r="I11" s="3"/>
      <c r="J11" s="3"/>
      <c r="K11" s="3"/>
      <c r="L11" s="3"/>
      <c r="M11" s="3"/>
      <c r="N11" s="3"/>
    </row>
    <row r="12" spans="1:14" x14ac:dyDescent="0.3">
      <c r="A12" t="s">
        <v>19</v>
      </c>
      <c r="B12" s="5" t="s">
        <v>20</v>
      </c>
      <c r="C12" s="5">
        <v>74.5</v>
      </c>
      <c r="D12" s="5">
        <v>74</v>
      </c>
      <c r="E12" s="5">
        <v>74</v>
      </c>
      <c r="F12" s="5">
        <v>74</v>
      </c>
      <c r="G12" s="5">
        <v>74</v>
      </c>
      <c r="H12" s="5">
        <v>73.5</v>
      </c>
      <c r="I12" s="3"/>
      <c r="J12" s="3"/>
      <c r="K12" s="3"/>
      <c r="L12" s="3"/>
      <c r="M12" s="3"/>
      <c r="N12" s="3"/>
    </row>
    <row r="13" spans="1:14" x14ac:dyDescent="0.3">
      <c r="A13" t="s">
        <v>21</v>
      </c>
      <c r="B13" s="5" t="s">
        <v>22</v>
      </c>
      <c r="C13" s="5">
        <v>430</v>
      </c>
      <c r="D13" s="5">
        <v>465</v>
      </c>
      <c r="E13" s="5">
        <v>490</v>
      </c>
      <c r="F13" s="5">
        <v>495</v>
      </c>
      <c r="G13" s="5">
        <v>520</v>
      </c>
      <c r="H13" s="5">
        <v>545</v>
      </c>
      <c r="I13" s="3"/>
      <c r="J13" s="3"/>
      <c r="K13" s="3"/>
      <c r="L13" s="3"/>
      <c r="M13" s="3"/>
      <c r="N13" s="3"/>
    </row>
    <row r="14" spans="1:14" x14ac:dyDescent="0.3">
      <c r="A14" t="s">
        <v>23</v>
      </c>
      <c r="B14" s="5" t="s">
        <v>24</v>
      </c>
      <c r="C14" s="5">
        <f>VALUE(LEFT(I14,3))</f>
        <v>425</v>
      </c>
      <c r="D14" s="5">
        <f t="shared" ref="D14:H14" si="0">VALUE(LEFT(J14,3))</f>
        <v>425</v>
      </c>
      <c r="E14" s="5">
        <f t="shared" si="0"/>
        <v>425</v>
      </c>
      <c r="F14" s="5">
        <f t="shared" si="0"/>
        <v>425</v>
      </c>
      <c r="G14" s="5">
        <f t="shared" si="0"/>
        <v>425</v>
      </c>
      <c r="H14" s="5">
        <f t="shared" si="0"/>
        <v>430</v>
      </c>
      <c r="I14" s="5" t="s">
        <v>106</v>
      </c>
      <c r="J14" s="5" t="s">
        <v>106</v>
      </c>
      <c r="K14" s="5" t="s">
        <v>106</v>
      </c>
      <c r="L14" s="5" t="s">
        <v>106</v>
      </c>
      <c r="M14" s="5" t="s">
        <v>106</v>
      </c>
      <c r="N14" s="5" t="s">
        <v>107</v>
      </c>
    </row>
    <row r="15" spans="1:14" x14ac:dyDescent="0.3">
      <c r="A15" t="s">
        <v>25</v>
      </c>
      <c r="B15" s="5" t="s">
        <v>26</v>
      </c>
      <c r="C15" s="5">
        <v>68</v>
      </c>
      <c r="D15" s="5">
        <v>68</v>
      </c>
      <c r="E15" s="5">
        <v>68</v>
      </c>
      <c r="F15" s="5">
        <v>68</v>
      </c>
      <c r="G15" s="5">
        <v>65</v>
      </c>
      <c r="H15" s="5">
        <v>65</v>
      </c>
      <c r="I15" s="3"/>
      <c r="J15" s="3"/>
      <c r="K15" s="3"/>
      <c r="L15" s="3"/>
      <c r="M15" s="3"/>
      <c r="N15" s="3"/>
    </row>
    <row r="16" spans="1:14" x14ac:dyDescent="0.3">
      <c r="A16" t="s">
        <v>27</v>
      </c>
      <c r="B16" s="5" t="s">
        <v>28</v>
      </c>
      <c r="C16" s="5">
        <f>VALUE(LEFT(I16,4))</f>
        <v>1015</v>
      </c>
      <c r="D16" s="5">
        <f t="shared" ref="D16:H16" si="1">VALUE(LEFT(J16,4))</f>
        <v>1028</v>
      </c>
      <c r="E16" s="5">
        <f t="shared" si="1"/>
        <v>1050</v>
      </c>
      <c r="F16" s="5">
        <f t="shared" si="1"/>
        <v>1067</v>
      </c>
      <c r="G16" s="5">
        <f t="shared" si="1"/>
        <v>1084</v>
      </c>
      <c r="H16" s="5">
        <f t="shared" si="1"/>
        <v>1111</v>
      </c>
      <c r="I16" s="5" t="s">
        <v>100</v>
      </c>
      <c r="J16" s="5" t="s">
        <v>101</v>
      </c>
      <c r="K16" s="5" t="s">
        <v>102</v>
      </c>
      <c r="L16" s="5" t="s">
        <v>103</v>
      </c>
      <c r="M16" s="5" t="s">
        <v>104</v>
      </c>
      <c r="N16" s="5" t="s">
        <v>105</v>
      </c>
    </row>
    <row r="17" spans="1:14" x14ac:dyDescent="0.3">
      <c r="A17" t="s">
        <v>29</v>
      </c>
      <c r="B17" s="5" t="s">
        <v>30</v>
      </c>
      <c r="C17" s="6">
        <f>VALUE(LEFT(I17,4)) *25.4</f>
        <v>728.9799999999999</v>
      </c>
      <c r="D17" s="6">
        <f t="shared" ref="D17:H17" si="2">VALUE(LEFT(J17,4)) *25.4</f>
        <v>754.38</v>
      </c>
      <c r="E17" s="6">
        <f>VALUE(LEFT(K17,2)) *25.4</f>
        <v>762</v>
      </c>
      <c r="F17" s="6">
        <f>VALUE(LEFT(L17,2)) *25.4</f>
        <v>762</v>
      </c>
      <c r="G17" s="6">
        <f t="shared" si="2"/>
        <v>810.25999999999988</v>
      </c>
      <c r="H17" s="6">
        <f t="shared" si="2"/>
        <v>830.58</v>
      </c>
      <c r="I17" s="5" t="s">
        <v>117</v>
      </c>
      <c r="J17" s="5" t="s">
        <v>118</v>
      </c>
      <c r="K17" s="5" t="s">
        <v>119</v>
      </c>
      <c r="L17" s="5" t="s">
        <v>119</v>
      </c>
      <c r="M17" s="5" t="s">
        <v>120</v>
      </c>
      <c r="N17" s="5" t="s">
        <v>121</v>
      </c>
    </row>
    <row r="18" spans="1:14" x14ac:dyDescent="0.3">
      <c r="A18" t="s">
        <v>31</v>
      </c>
      <c r="B18" s="5" t="s">
        <v>32</v>
      </c>
      <c r="C18" s="5">
        <v>370</v>
      </c>
      <c r="D18" s="5">
        <v>380</v>
      </c>
      <c r="E18" s="5">
        <v>395</v>
      </c>
      <c r="F18" s="5">
        <v>405</v>
      </c>
      <c r="G18" s="5">
        <v>415</v>
      </c>
      <c r="H18" s="5">
        <v>430</v>
      </c>
      <c r="I18" s="3"/>
      <c r="J18" s="3"/>
      <c r="K18" s="3"/>
      <c r="L18" s="3"/>
      <c r="M18" s="3"/>
      <c r="N18" s="3"/>
    </row>
    <row r="19" spans="1:14" x14ac:dyDescent="0.3">
      <c r="A19" t="s">
        <v>33</v>
      </c>
      <c r="B19" s="5" t="s">
        <v>34</v>
      </c>
      <c r="C19" s="5">
        <v>555</v>
      </c>
      <c r="D19" s="5">
        <v>564</v>
      </c>
      <c r="E19" s="5">
        <v>583</v>
      </c>
      <c r="F19" s="5">
        <v>602</v>
      </c>
      <c r="G19" s="5">
        <v>618</v>
      </c>
      <c r="H19" s="5">
        <v>637</v>
      </c>
      <c r="I19" s="3"/>
      <c r="J19" s="3"/>
      <c r="K19" s="3"/>
      <c r="L19" s="3"/>
      <c r="M19" s="3"/>
      <c r="N19" s="3"/>
    </row>
    <row r="20" spans="1:14" x14ac:dyDescent="0.3">
      <c r="A20" t="s">
        <v>35</v>
      </c>
      <c r="B20" s="3"/>
      <c r="C20" s="5">
        <v>45</v>
      </c>
      <c r="D20" s="5">
        <v>45</v>
      </c>
      <c r="E20" s="5">
        <v>45</v>
      </c>
      <c r="F20" s="5">
        <v>45</v>
      </c>
      <c r="G20" s="5">
        <v>45</v>
      </c>
      <c r="H20" s="5">
        <v>45</v>
      </c>
      <c r="I20" s="3"/>
      <c r="J20" s="3"/>
      <c r="K20" s="3"/>
      <c r="L20" s="3"/>
      <c r="M20" s="3"/>
      <c r="N20" s="3"/>
    </row>
    <row r="21" spans="1:14" x14ac:dyDescent="0.3">
      <c r="A21" t="s">
        <v>36</v>
      </c>
      <c r="B21" s="3"/>
      <c r="C21" s="3">
        <v>435</v>
      </c>
      <c r="D21" s="3">
        <v>435</v>
      </c>
      <c r="E21" s="3">
        <v>435</v>
      </c>
      <c r="F21" s="3">
        <v>435</v>
      </c>
      <c r="G21" s="3">
        <v>435</v>
      </c>
      <c r="H21" s="3">
        <v>435</v>
      </c>
      <c r="I21" s="3"/>
      <c r="J21" s="3"/>
      <c r="K21" s="3"/>
      <c r="L21" s="3"/>
      <c r="M21" s="3"/>
      <c r="N21" s="3"/>
    </row>
    <row r="22" spans="1:14" x14ac:dyDescent="0.3">
      <c r="A22" t="s">
        <v>37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3">
      <c r="A23" t="s">
        <v>38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3">
      <c r="A24" t="s">
        <v>39</v>
      </c>
    </row>
    <row r="25" spans="1:14" x14ac:dyDescent="0.3">
      <c r="A25" t="s">
        <v>40</v>
      </c>
    </row>
    <row r="26" spans="1:14" x14ac:dyDescent="0.3">
      <c r="A26" t="s">
        <v>41</v>
      </c>
      <c r="C26">
        <v>50</v>
      </c>
      <c r="D26">
        <v>60</v>
      </c>
      <c r="E26">
        <v>70</v>
      </c>
      <c r="F26">
        <v>70</v>
      </c>
      <c r="G26">
        <v>80</v>
      </c>
      <c r="H26">
        <v>80</v>
      </c>
    </row>
    <row r="27" spans="1:14" x14ac:dyDescent="0.3">
      <c r="A27" t="s">
        <v>42</v>
      </c>
    </row>
    <row r="28" spans="1:14" x14ac:dyDescent="0.3">
      <c r="A28" t="s">
        <v>43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14" x14ac:dyDescent="0.3">
      <c r="A29" t="s">
        <v>44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</row>
    <row r="30" spans="1:14" x14ac:dyDescent="0.3">
      <c r="A30" t="s">
        <v>45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</row>
    <row r="31" spans="1:14" x14ac:dyDescent="0.3">
      <c r="A31" t="s">
        <v>46</v>
      </c>
      <c r="C31">
        <f>C33*2.54</f>
        <v>152.4</v>
      </c>
      <c r="D31">
        <f t="shared" ref="D31:H32" si="3">D33*2.54</f>
        <v>162.56</v>
      </c>
      <c r="E31">
        <f t="shared" si="3"/>
        <v>172.72</v>
      </c>
      <c r="F31">
        <f t="shared" si="3"/>
        <v>177.8</v>
      </c>
      <c r="G31">
        <f t="shared" si="3"/>
        <v>182.88</v>
      </c>
      <c r="H31">
        <f t="shared" si="3"/>
        <v>187.96</v>
      </c>
    </row>
    <row r="32" spans="1:14" x14ac:dyDescent="0.3">
      <c r="A32" t="s">
        <v>47</v>
      </c>
      <c r="C32">
        <f>C34*2.54</f>
        <v>160.02000000000001</v>
      </c>
      <c r="D32">
        <f t="shared" si="3"/>
        <v>170.18</v>
      </c>
      <c r="E32">
        <f t="shared" si="3"/>
        <v>177.8</v>
      </c>
      <c r="F32">
        <f t="shared" si="3"/>
        <v>182.88</v>
      </c>
      <c r="G32">
        <f t="shared" si="3"/>
        <v>186.69</v>
      </c>
      <c r="H32">
        <f t="shared" si="3"/>
        <v>190.5</v>
      </c>
    </row>
    <row r="33" spans="1:9" x14ac:dyDescent="0.3">
      <c r="C33">
        <v>60</v>
      </c>
      <c r="D33">
        <v>64</v>
      </c>
      <c r="E33">
        <v>68</v>
      </c>
      <c r="F33">
        <v>70</v>
      </c>
      <c r="G33">
        <v>72</v>
      </c>
      <c r="H33">
        <v>74</v>
      </c>
    </row>
    <row r="34" spans="1:9" x14ac:dyDescent="0.3">
      <c r="A34" t="s">
        <v>48</v>
      </c>
      <c r="B34" t="s">
        <v>49</v>
      </c>
      <c r="C34">
        <v>63</v>
      </c>
      <c r="D34">
        <v>67</v>
      </c>
      <c r="E34">
        <v>70</v>
      </c>
      <c r="F34">
        <v>72</v>
      </c>
      <c r="G34">
        <v>73.5</v>
      </c>
      <c r="H34">
        <v>75</v>
      </c>
    </row>
    <row r="35" spans="1:9" ht="23" x14ac:dyDescent="0.3">
      <c r="A35" t="s">
        <v>92</v>
      </c>
      <c r="B35" t="s">
        <v>93</v>
      </c>
      <c r="C35" s="2" t="s">
        <v>111</v>
      </c>
      <c r="D35" s="2" t="s">
        <v>112</v>
      </c>
      <c r="E35" s="2" t="s">
        <v>113</v>
      </c>
      <c r="F35" s="2" t="s">
        <v>114</v>
      </c>
      <c r="G35" s="2" t="s">
        <v>115</v>
      </c>
      <c r="H35" s="2" t="s">
        <v>116</v>
      </c>
      <c r="I35" s="2" t="s">
        <v>110</v>
      </c>
    </row>
    <row r="36" spans="1:9" x14ac:dyDescent="0.3">
      <c r="A36" t="s">
        <v>94</v>
      </c>
      <c r="B36" t="s">
        <v>95</v>
      </c>
    </row>
    <row r="37" spans="1:9" x14ac:dyDescent="0.3">
      <c r="A37" t="s">
        <v>96</v>
      </c>
      <c r="B37" s="1" t="s">
        <v>98</v>
      </c>
    </row>
    <row r="38" spans="1:9" x14ac:dyDescent="0.3">
      <c r="A38" t="s">
        <v>50</v>
      </c>
      <c r="B38" s="1" t="s">
        <v>108</v>
      </c>
    </row>
    <row r="39" spans="1:9" x14ac:dyDescent="0.3">
      <c r="A39" t="s">
        <v>51</v>
      </c>
      <c r="B39" t="s">
        <v>52</v>
      </c>
    </row>
    <row r="40" spans="1:9" x14ac:dyDescent="0.3">
      <c r="A40" t="s">
        <v>53</v>
      </c>
      <c r="B40" t="s">
        <v>54</v>
      </c>
    </row>
    <row r="41" spans="1:9" x14ac:dyDescent="0.3">
      <c r="A41" t="s">
        <v>55</v>
      </c>
      <c r="B41" t="s">
        <v>12</v>
      </c>
    </row>
    <row r="42" spans="1:9" x14ac:dyDescent="0.3">
      <c r="A42" t="s">
        <v>56</v>
      </c>
    </row>
    <row r="43" spans="1:9" x14ac:dyDescent="0.3">
      <c r="A43" t="s">
        <v>57</v>
      </c>
      <c r="B43" t="s">
        <v>58</v>
      </c>
    </row>
    <row r="44" spans="1:9" x14ac:dyDescent="0.3">
      <c r="A44" t="s">
        <v>59</v>
      </c>
      <c r="B44">
        <v>40</v>
      </c>
    </row>
    <row r="45" spans="1:9" x14ac:dyDescent="0.3">
      <c r="A45" t="s">
        <v>60</v>
      </c>
    </row>
    <row r="46" spans="1:9" x14ac:dyDescent="0.3">
      <c r="A46" t="s">
        <v>61</v>
      </c>
    </row>
    <row r="47" spans="1:9" x14ac:dyDescent="0.3">
      <c r="A47" t="s">
        <v>62</v>
      </c>
      <c r="B47" t="s">
        <v>63</v>
      </c>
    </row>
    <row r="48" spans="1:9" x14ac:dyDescent="0.3">
      <c r="A48" t="s">
        <v>64</v>
      </c>
      <c r="B48" t="s">
        <v>65</v>
      </c>
    </row>
    <row r="49" spans="1:2" x14ac:dyDescent="0.3">
      <c r="A49" t="s">
        <v>66</v>
      </c>
    </row>
    <row r="50" spans="1:2" x14ac:dyDescent="0.3">
      <c r="A50" t="s">
        <v>67</v>
      </c>
    </row>
    <row r="51" spans="1:2" x14ac:dyDescent="0.3">
      <c r="A51" t="s">
        <v>68</v>
      </c>
    </row>
    <row r="52" spans="1:2" x14ac:dyDescent="0.3">
      <c r="A52" t="s">
        <v>69</v>
      </c>
      <c r="B52" t="s">
        <v>52</v>
      </c>
    </row>
    <row r="53" spans="1:2" x14ac:dyDescent="0.3">
      <c r="A53" t="s">
        <v>70</v>
      </c>
      <c r="B53" t="s">
        <v>71</v>
      </c>
    </row>
    <row r="54" spans="1:2" x14ac:dyDescent="0.3">
      <c r="A54" t="s">
        <v>72</v>
      </c>
    </row>
    <row r="55" spans="1:2" x14ac:dyDescent="0.3">
      <c r="A55" t="s">
        <v>73</v>
      </c>
    </row>
    <row r="56" spans="1:2" x14ac:dyDescent="0.3">
      <c r="A56" t="s">
        <v>74</v>
      </c>
    </row>
    <row r="57" spans="1:2" x14ac:dyDescent="0.3">
      <c r="A57" t="s">
        <v>75</v>
      </c>
    </row>
    <row r="58" spans="1:2" x14ac:dyDescent="0.3">
      <c r="A58" t="s">
        <v>76</v>
      </c>
      <c r="B58" t="s">
        <v>77</v>
      </c>
    </row>
    <row r="59" spans="1:2" x14ac:dyDescent="0.3">
      <c r="A59" t="s">
        <v>78</v>
      </c>
    </row>
    <row r="60" spans="1:2" x14ac:dyDescent="0.3">
      <c r="A60" t="s">
        <v>79</v>
      </c>
    </row>
    <row r="61" spans="1:2" x14ac:dyDescent="0.3">
      <c r="A61" t="s">
        <v>80</v>
      </c>
    </row>
    <row r="62" spans="1:2" x14ac:dyDescent="0.3">
      <c r="A62" t="s">
        <v>81</v>
      </c>
    </row>
    <row r="63" spans="1:2" x14ac:dyDescent="0.3">
      <c r="A63" t="s">
        <v>82</v>
      </c>
    </row>
    <row r="64" spans="1:2" x14ac:dyDescent="0.3">
      <c r="A64" t="s">
        <v>83</v>
      </c>
    </row>
    <row r="65" spans="1:3" x14ac:dyDescent="0.3">
      <c r="A65" t="s">
        <v>84</v>
      </c>
    </row>
    <row r="66" spans="1:3" x14ac:dyDescent="0.3">
      <c r="A66" t="s">
        <v>85</v>
      </c>
    </row>
    <row r="67" spans="1:3" x14ac:dyDescent="0.3">
      <c r="A67" t="s">
        <v>86</v>
      </c>
    </row>
    <row r="68" spans="1:3" x14ac:dyDescent="0.3">
      <c r="A68" t="s">
        <v>87</v>
      </c>
    </row>
    <row r="69" spans="1:3" x14ac:dyDescent="0.3">
      <c r="A69" t="s">
        <v>88</v>
      </c>
      <c r="B69">
        <v>2895</v>
      </c>
      <c r="C69" s="1" t="s">
        <v>97</v>
      </c>
    </row>
    <row r="70" spans="1:3" x14ac:dyDescent="0.3">
      <c r="A70" t="s">
        <v>89</v>
      </c>
    </row>
    <row r="71" spans="1:3" x14ac:dyDescent="0.3">
      <c r="A71" t="s">
        <v>90</v>
      </c>
    </row>
    <row r="72" spans="1:3" x14ac:dyDescent="0.3">
      <c r="A72" t="s">
        <v>91</v>
      </c>
      <c r="B72" s="1" t="s">
        <v>99</v>
      </c>
    </row>
    <row r="73" spans="1:3" x14ac:dyDescent="0.3">
      <c r="A73" t="s">
        <v>125</v>
      </c>
      <c r="B73" t="s">
        <v>126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2025-07-26T16:23:46Z</dcterms:created>
  <dcterms:modified xsi:type="dcterms:W3CDTF">2025-10-17T11:58:25Z</dcterms:modified>
</cp:coreProperties>
</file>