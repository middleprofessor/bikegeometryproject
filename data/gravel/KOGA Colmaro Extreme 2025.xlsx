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98D7B2D-9318-554B-BAE0-E9EB9BFAD53B}" xr6:coauthVersionLast="47" xr6:coauthVersionMax="47" xr10:uidLastSave="{00000000-0000-0000-0000-000000000000}"/>
  <bookViews>
    <workbookView xWindow="81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<sst xmlns="http://schemas.openxmlformats.org/spreadsheetml/2006/main" count="121" uniqueCount="115">
  <si>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</si>
  <si>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</si>
  <si>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</si>
  <si>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</si>
  <si>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</si>
  <si>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</si>
  <si>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</si>
  <si>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</si>
  <si>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</si>
  <si>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</si>
  <si>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</si>
  <si>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</si>
  <si>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</si>
  <si>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</si>
  <si>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</si>
  <si>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</si>
  <si>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</si>
  <si>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</si>
  <si>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</si>
  <si>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</si>
  <si>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</si>
  <si>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</si>
  <si>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</si>
  <si>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</si>
  <si>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</si>
  <si>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</si>
  <si>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</si>
  <si>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</si>
  <si>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</si>
  <si>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</si>
  <si>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</si>
  <si>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</si>
  <si>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</si>
  <si>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</si>
  <si>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</si>
  <si>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</si>
  <si>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</si>
  <si>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</si>
  <si>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</si>
  <si>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</si>
  <si>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</si>
  <si>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</si>
  <si>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</si>
  <si>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</si>
  <si>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</si>
  <si>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</si>
  <si>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</si>
  <si>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</si>
  <si>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</si>
  <si>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</si>
  <si>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</si>
  <si>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</si>
  <si>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</si>
  <si>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</si>
  <si>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</si>
  <si>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</si>
  <si>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</si>
  <si>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</si>
  <si>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</si>
  <si>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</si>
  <si>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</si>
  <si>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</si>
  <si>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</si>
  <si>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</si>
  <si>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</si>
  <si>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</si>
  <si>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</si>
  <si>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</si>
  <si>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</si>
  <si>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</si>
  <si>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</si>
  <si>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</si>
  <si>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</si>
  <si>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Colmaro Extreme</t>
  </si>
  <si>
    <t>S</t>
  </si>
  <si>
    <t>M</t>
  </si>
  <si>
    <t>L</t>
  </si>
  <si>
    <t>XL</t>
  </si>
  <si>
    <t>trail</t>
  </si>
  <si>
    <t>aluminum</t>
  </si>
  <si>
    <t>suspension</t>
  </si>
  <si>
    <t>https://www.koga.com/en/bikes/race-gravel-bikes/colmaro-extreme-olive-green.htm?frame=H</t>
  </si>
  <si>
    <t>DKK</t>
  </si>
  <si>
    <t>XS</t>
  </si>
  <si>
    <t>Stack (mm)</t>
  </si>
  <si>
    <t>Reach (mm)</t>
  </si>
  <si>
    <t>Stack to Reach Ratio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</si>
  <si>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</si>
  <si>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</si>
  <si>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</si>
  <si>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</si>
  <si>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</si>
  <si>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</si>
  <si>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</si>
  <si>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</si>
  <si>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</si>
  <si>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</si>
  <si>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</si>
  <si>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</si>
  <si>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</si>
  <si>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</si>
  <si>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</si>
  <si>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</si>
  <si>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https://bikeinsights.com/bikes/604f6e0bd0deb400177ce61f-koga-colmaro?version=2025&amp;build=extreme</t>
  </si>
  <si>
    <t>1.49:1</t>
  </si>
  <si>
    <t>1.47:1</t>
  </si>
  <si>
    <t>frame size</t>
  </si>
  <si>
    <t>stack_to_reach</t>
  </si>
  <si>
    <t>top_tube_slope_spec</t>
  </si>
  <si>
    <t>bb_height</t>
  </si>
  <si>
    <t>chainstay_horiz</t>
  </si>
  <si>
    <t>front_center_horiz</t>
  </si>
  <si>
    <t>a8:g37</t>
  </si>
  <si>
    <t>Koga</t>
  </si>
  <si>
    <t>https://www.koga.com/bike-images/KCDE2006.tif?width=1500&amp;format=jpg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</si>
</sst>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113</v>
      </c>
    </row>
    <row r="2" spans="1:12" x14ac:dyDescent="0.3">
      <c r="A2" t="s">
        <v>1</v>
      </c>
      <c r="B2" s="2" t="s">
        <v>73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81</v>
      </c>
      <c r="H5" t="s">
        <v>103</v>
      </c>
    </row>
    <row r="6" spans="1:12" x14ac:dyDescent="0.3">
      <c r="B6" t="s">
        <v>114</v>
      </c>
    </row>
    <row r="7" spans="1:12" x14ac:dyDescent="0.3">
      <c r="A7" t="s">
        <v>5</v>
      </c>
      <c r="B7" s="2" t="s">
        <v>112</v>
      </c>
    </row>
    <row r="8" spans="1:12" x14ac:dyDescent="0.3">
      <c r="A8" t="s">
        <v>6</v>
      </c>
      <c r="B8" s="2" t="s">
        <v>106</v>
      </c>
      <c r="C8" t="s">
        <v>83</v>
      </c>
      <c r="D8" t="s">
        <v>74</v>
      </c>
      <c r="E8" t="s">
        <v>75</v>
      </c>
      <c r="F8" t="s">
        <v>76</v>
      </c>
      <c r="G8" s="2" t="s">
        <v>77</v>
      </c>
    </row>
    <row r="9" spans="1:12" x14ac:dyDescent="0.3">
      <c r="A9" t="s">
        <v>17</v>
      </c>
      <c r="B9" t="s">
        <v>84</v>
      </c>
      <c r="C9">
        <v>566</v>
      </c>
      <c r="D9">
        <v>577</v>
      </c>
      <c r="E9">
        <v>587</v>
      </c>
      <c r="F9">
        <v>610</v>
      </c>
      <c r="G9">
        <v>629</v>
      </c>
    </row>
    <row r="10" spans="1:12" x14ac:dyDescent="0.3">
      <c r="A10" t="s">
        <v>18</v>
      </c>
      <c r="B10" t="s">
        <v>85</v>
      </c>
      <c r="C10">
        <v>380</v>
      </c>
      <c r="D10">
        <v>390</v>
      </c>
      <c r="E10">
        <v>400</v>
      </c>
      <c r="F10">
        <v>405</v>
      </c>
      <c r="G10">
        <v>415</v>
      </c>
    </row>
    <row r="11" spans="1:12" x14ac:dyDescent="0.3">
      <c r="A11" s="2" t="s">
        <v>107</v>
      </c>
      <c r="B11" t="s">
        <v>86</v>
      </c>
      <c r="C11">
        <f>VALUE(LEFT(H11,4))</f>
        <v>1.49</v>
      </c>
      <c r="D11">
        <f t="shared" ref="D11:G11" si="0">VALUE(LEFT(I11,4))</f>
        <v>1.48</v>
      </c>
      <c r="E11">
        <f t="shared" si="0"/>
        <v>1.47</v>
      </c>
      <c r="F11">
        <f>VALUE(LEFT(K11,3))</f>
        <v>1.5</v>
      </c>
      <c r="G11">
        <f t="shared" si="0"/>
        <v>1.52</v>
      </c>
      <c r="H11" t="s">
        <v>104</v>
      </c>
      <c r="I11" t="s">
        <v>87</v>
      </c>
      <c r="J11" t="s">
        <v>105</v>
      </c>
      <c r="K11" t="s">
        <v>88</v>
      </c>
      <c r="L11" t="s">
        <v>89</v>
      </c>
    </row>
    <row r="12" spans="1:12" x14ac:dyDescent="0.3">
      <c r="A12" t="s">
        <v>7</v>
      </c>
      <c r="B12" t="s">
        <v>90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108</v>
      </c>
      <c r="B13" t="s">
        <v>91</v>
      </c>
      <c r="C13">
        <v>12.7</v>
      </c>
      <c r="D13">
        <v>11.5</v>
      </c>
      <c r="E13">
        <v>9.1999999999999993</v>
      </c>
      <c r="F13">
        <v>8.4</v>
      </c>
      <c r="G13">
        <v>7.2</v>
      </c>
    </row>
    <row r="14" spans="1:12" x14ac:dyDescent="0.3">
      <c r="A14" t="s">
        <v>9</v>
      </c>
      <c r="B14" t="s">
        <v>92</v>
      </c>
      <c r="C14">
        <v>70</v>
      </c>
      <c r="D14">
        <v>71</v>
      </c>
      <c r="E14">
        <v>71</v>
      </c>
      <c r="F14">
        <v>72</v>
      </c>
      <c r="G14">
        <v>72</v>
      </c>
    </row>
    <row r="15" spans="1:12" x14ac:dyDescent="0.3">
      <c r="A15" t="s">
        <v>10</v>
      </c>
      <c r="B15" t="s">
        <v>93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94</v>
      </c>
      <c r="C16">
        <v>100</v>
      </c>
      <c r="D16">
        <v>110</v>
      </c>
      <c r="E16">
        <v>120</v>
      </c>
      <c r="F16">
        <v>140</v>
      </c>
      <c r="G16">
        <v>160</v>
      </c>
    </row>
    <row r="17" spans="1:7" x14ac:dyDescent="0.3">
      <c r="A17" t="s">
        <v>11</v>
      </c>
      <c r="B17" t="s">
        <v>95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109</v>
      </c>
      <c r="B18" t="s">
        <v>96</v>
      </c>
      <c r="C18">
        <v>286</v>
      </c>
      <c r="D18">
        <v>286</v>
      </c>
      <c r="E18">
        <v>286</v>
      </c>
      <c r="F18">
        <v>286</v>
      </c>
      <c r="G18">
        <v>286</v>
      </c>
    </row>
    <row r="19" spans="1:7" x14ac:dyDescent="0.3">
      <c r="A19" t="s">
        <v>14</v>
      </c>
      <c r="B19" t="s">
        <v>97</v>
      </c>
      <c r="C19">
        <v>442</v>
      </c>
      <c r="D19">
        <v>442</v>
      </c>
      <c r="E19">
        <v>442</v>
      </c>
      <c r="F19">
        <v>442</v>
      </c>
      <c r="G19">
        <v>442</v>
      </c>
    </row>
    <row r="20" spans="1:7" x14ac:dyDescent="0.3">
      <c r="A20" s="2" t="s">
        <v>110</v>
      </c>
      <c r="B20" t="s">
        <v>98</v>
      </c>
      <c r="C20">
        <v>435.6</v>
      </c>
      <c r="D20">
        <v>435.6</v>
      </c>
      <c r="E20">
        <v>435.6</v>
      </c>
      <c r="F20">
        <v>435.6</v>
      </c>
      <c r="G20">
        <v>435.6</v>
      </c>
    </row>
    <row r="21" spans="1:7" x14ac:dyDescent="0.3">
      <c r="A21" t="s">
        <v>15</v>
      </c>
      <c r="B21" t="s">
        <v>99</v>
      </c>
      <c r="C21">
        <v>613</v>
      </c>
      <c r="D21">
        <v>622</v>
      </c>
      <c r="E21">
        <v>636.79999999999995</v>
      </c>
      <c r="F21">
        <v>641.79999999999995</v>
      </c>
      <c r="G21">
        <v>652.70000000000005</v>
      </c>
    </row>
    <row r="22" spans="1:7" x14ac:dyDescent="0.3">
      <c r="A22" s="2" t="s">
        <v>111</v>
      </c>
      <c r="B22" t="s">
        <v>100</v>
      </c>
      <c r="C22">
        <v>608.4</v>
      </c>
      <c r="D22">
        <v>617.4</v>
      </c>
      <c r="E22">
        <v>632.4</v>
      </c>
      <c r="F22">
        <v>637.4</v>
      </c>
      <c r="G22">
        <v>648.4</v>
      </c>
    </row>
    <row r="23" spans="1:7" x14ac:dyDescent="0.3">
      <c r="A23" t="s">
        <v>12</v>
      </c>
      <c r="B23" t="s">
        <v>101</v>
      </c>
      <c r="C23">
        <v>1044</v>
      </c>
      <c r="D23">
        <v>1053</v>
      </c>
      <c r="E23">
        <v>1068</v>
      </c>
      <c r="F23">
        <v>1073</v>
      </c>
      <c r="G23">
        <v>1084</v>
      </c>
    </row>
    <row r="24" spans="1:7" x14ac:dyDescent="0.3">
      <c r="A24" t="s">
        <v>20</v>
      </c>
      <c r="B24" t="s">
        <v>102</v>
      </c>
      <c r="C24">
        <v>51</v>
      </c>
      <c r="D24">
        <v>51</v>
      </c>
      <c r="E24">
        <v>51</v>
      </c>
      <c r="F24">
        <v>51</v>
      </c>
      <c r="G24">
        <v>51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78</v>
      </c>
    </row>
    <row r="28" spans="1:7" x14ac:dyDescent="0.3">
      <c r="A28" t="s">
        <v>19</v>
      </c>
      <c r="C28">
        <v>436</v>
      </c>
      <c r="D28">
        <v>436</v>
      </c>
      <c r="E28">
        <v>436</v>
      </c>
      <c r="F28">
        <v>436</v>
      </c>
      <c r="G28">
        <v>436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50</v>
      </c>
      <c r="D34">
        <v>50</v>
      </c>
      <c r="E34">
        <v>50</v>
      </c>
      <c r="F34">
        <v>50</v>
      </c>
      <c r="G34">
        <v>50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t="s">
        <v>70</v>
      </c>
    </row>
    <row r="42" spans="1:7" x14ac:dyDescent="0.3">
      <c r="A42" t="s">
        <v>71</v>
      </c>
      <c r="B42" s="2" t="s">
        <v>80</v>
      </c>
    </row>
    <row r="43" spans="1:7" x14ac:dyDescent="0.3">
      <c r="A43" t="s">
        <v>32</v>
      </c>
      <c r="B43" s="2" t="s">
        <v>79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  <c r="B48">
        <v>40</v>
      </c>
    </row>
    <row r="49" spans="1:2" x14ac:dyDescent="0.3">
      <c r="A49" t="s">
        <v>38</v>
      </c>
      <c r="B49">
        <v>40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72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/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72</v>
      </c>
    </row>
    <row r="74" spans="1:2" x14ac:dyDescent="0.3">
      <c r="A74" t="s">
        <v>63</v>
      </c>
    </row>
    <row r="75" spans="1:2" x14ac:dyDescent="0.3">
      <c r="A75" t="s">
        <v>64</v>
      </c>
      <c r="B75">
        <v>19999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2025-10-14T22:49:36Z</dcterms:modified>
</cp:coreProperties>
</file>