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BD11700-871E-4C40-93E9-EEC564768DC7}" xr6:coauthVersionLast="47" xr6:coauthVersionMax="47" xr10:uidLastSave="{00000000-0000-0000-0000-000000000000}"/>
  <bookViews>
    <workbookView xWindow="101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C22" i="1"/>
  <c r="D32" i="1"/>
  <c r="E32" i="1"/>
  <c r="F32" i="1"/>
  <c r="D33" i="1"/>
  <c r="E33" i="1"/>
  <c r="C33" i="1"/>
  <c r="C32" i="1"/>
</calcChain>
</file>

<file path=xl/sharedStrings.xml><?xml version="1.0" encoding="utf-8"?>
<sst xmlns="http://schemas.openxmlformats.org/spreadsheetml/2006/main" count="132" uniqueCount="129">
  <si>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</si>
  <si>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</si>
  <si>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</si>
  <si>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</si>
  <si>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</si>
  <si>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</si>
  <si>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</si>
  <si>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</si>
  <si>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</si>
  <si>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</si>
  <si>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</si>
  <si>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</si>
  <si>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</si>
  <si>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</si>
  <si>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</si>
  <si>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</si>
  <si>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</si>
  <si>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</si>
  <si>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</si>
  <si>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</si>
  <si>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</si>
  <si>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</si>
  <si>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</si>
  <si>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</si>
  <si>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</si>
  <si>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</si>
  <si>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</si>
  <si>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</si>
  <si>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</si>
  <si>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</si>
  <si>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</si>
  <si>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</si>
  <si>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</si>
  <si>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</si>
  <si>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</si>
  <si>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</si>
  <si>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</si>
  <si>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</si>
  <si>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</si>
  <si>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</si>
  <si>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</si>
  <si>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</si>
  <si>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</si>
  <si>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</si>
  <si>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</si>
  <si>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</si>
  <si>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</si>
  <si>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</si>
  <si>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</si>
  <si>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</si>
  <si>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</si>
  <si>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</si>
  <si>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</si>
  <si>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</si>
  <si>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</si>
  <si>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</si>
  <si>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</si>
  <si>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</si>
  <si>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</si>
  <si>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</si>
  <si>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</si>
  <si>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</si>
  <si>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</si>
  <si>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</si>
  <si>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</si>
  <si>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</si>
  <si>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</si>
  <si>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</si>
  <si>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</si>
  <si>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</si>
  <si>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</si>
  <si>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</si>
  <si>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front_center</t>
  </si>
  <si>
    <t>Reach</t>
  </si>
  <si>
    <t>Stack</t>
  </si>
  <si>
    <t>titanium</t>
  </si>
  <si>
    <t>internal</t>
  </si>
  <si>
    <t>USD</t>
  </si>
  <si>
    <t>fork_travel</t>
  </si>
  <si>
    <t>hard tail</t>
  </si>
  <si>
    <t>flat bar</t>
  </si>
  <si>
    <t>suspension</t>
  </si>
  <si>
    <t>XL</t>
  </si>
  <si>
    <t>external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</si>
  <si>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</si>
  <si>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</si>
  <si>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</si>
  <si>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</si>
  <si>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</si>
  <si>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</si>
  <si>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</si>
  <si>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fork_sag</t>
  </si>
  <si>
    <t>Lynskey</t>
  </si>
  <si>
    <t>Atlas</t>
  </si>
  <si>
    <t>https://lynskeyperformance.com/collections/atlas</t>
  </si>
  <si>
    <t>Chattanooga, Tennessee, USA</t>
  </si>
  <si>
    <t>Atlas Geometry</t>
  </si>
  <si>
    <t>SM</t>
  </si>
  <si>
    <t>MD</t>
  </si>
  <si>
    <t>LG</t>
  </si>
  <si>
    <t>Rec. Height Domestic</t>
  </si>
  <si>
    <t>5"3"-5'5"</t>
  </si>
  <si>
    <t>5'6"-5'9"</t>
  </si>
  <si>
    <t>5'10"-6'2"</t>
  </si>
  <si>
    <t>6'3"+</t>
  </si>
  <si>
    <t>Rec. Height International</t>
  </si>
  <si>
    <t>160-169</t>
  </si>
  <si>
    <t>170-179</t>
  </si>
  <si>
    <t>180-188</t>
  </si>
  <si>
    <t>190+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</si>
  <si>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</si>
  <si>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</si>
  <si>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</si>
  <si>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</si>
  <si>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</si>
  <si>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</si>
  <si>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</si>
  <si>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</si>
  <si>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Standover Height</t>
  </si>
  <si>
    <t>Wheelbase</t>
  </si>
  <si>
    <t>Front Center</t>
  </si>
  <si>
    <t>Frame Weight (lbs.)</t>
  </si>
  <si>
    <t>1.125 - 1.5</t>
  </si>
  <si>
    <t>IS42</t>
  </si>
  <si>
    <t>IS52</t>
  </si>
  <si>
    <t>threaded 73</t>
  </si>
  <si>
    <t>BSA</t>
  </si>
  <si>
    <t>a8:f33</t>
  </si>
  <si>
    <t>https://lynskeyperformance.com/cdn/shop/files/DSC_3684-1.jpg?v=1753277742&amp;width=2048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</si>
</sst>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21" workbookViewId="0">
      <selection activeCell="C29" sqref="C29:F31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7" width="10.77734375" style="2"/>
    <col min="8" max="8" width="11.44140625" style="2" customWidth="1"/>
    <col min="9" max="16384" width="10.77734375" style="2"/>
  </cols>
  <sheetData>
    <row r="1" spans="1:22" x14ac:dyDescent="0.3">
      <c r="A1" s="2" t="s">
        <v>0</v>
      </c>
      <c r="B1" s="2" t="s">
        <v>92</v>
      </c>
    </row>
    <row r="2" spans="1:22" x14ac:dyDescent="0.3">
      <c r="A2" s="2" t="s">
        <v>1</v>
      </c>
      <c r="B2" s="2" t="s">
        <v>93</v>
      </c>
    </row>
    <row r="3" spans="1:22" x14ac:dyDescent="0.3">
      <c r="A3" s="2" t="s">
        <v>2</v>
      </c>
      <c r="B3" s="2">
        <v>2026</v>
      </c>
    </row>
    <row r="4" spans="1:22" x14ac:dyDescent="0.3">
      <c r="A4" s="2" t="s">
        <v>3</v>
      </c>
      <c r="B4" s="3">
        <v>46024</v>
      </c>
    </row>
    <row r="5" spans="1:22" x14ac:dyDescent="0.3">
      <c r="A5" s="2" t="s">
        <v>4</v>
      </c>
      <c r="B5" s="2" t="s">
        <v>94</v>
      </c>
    </row>
    <row r="6" spans="1:22" x14ac:dyDescent="0.3">
      <c r="B6" s="2" t="s">
        <v>128</v>
      </c>
    </row>
    <row r="7" spans="1:22" x14ac:dyDescent="0.3">
      <c r="A7" s="2" t="s">
        <v>5</v>
      </c>
      <c r="B7" s="2" t="s">
        <v>127</v>
      </c>
    </row>
    <row r="8" spans="1:22" ht="22" x14ac:dyDescent="0.3">
      <c r="A8" s="2" t="s">
        <v>6</v>
      </c>
      <c r="B8" s="10" t="s">
        <v>96</v>
      </c>
      <c r="C8" s="10" t="s">
        <v>97</v>
      </c>
      <c r="D8" s="10" t="s">
        <v>98</v>
      </c>
      <c r="E8" s="10" t="s">
        <v>99</v>
      </c>
      <c r="F8" s="10" t="s">
        <v>82</v>
      </c>
      <c r="G8" s="10"/>
      <c r="H8" s="10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11" t="s">
        <v>110</v>
      </c>
      <c r="C9" s="11">
        <v>394</v>
      </c>
      <c r="D9" s="11">
        <v>432</v>
      </c>
      <c r="E9" s="11">
        <v>460</v>
      </c>
      <c r="F9" s="11">
        <v>495</v>
      </c>
      <c r="G9" s="11"/>
      <c r="H9" s="11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11" t="s">
        <v>111</v>
      </c>
      <c r="C10" s="11">
        <v>578</v>
      </c>
      <c r="D10" s="11">
        <v>593</v>
      </c>
      <c r="E10" s="11">
        <v>609</v>
      </c>
      <c r="F10" s="11">
        <v>625</v>
      </c>
      <c r="G10" s="11"/>
      <c r="H10" s="11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11</v>
      </c>
      <c r="B11" s="11" t="s">
        <v>112</v>
      </c>
      <c r="C11" s="11">
        <v>68.5</v>
      </c>
      <c r="D11" s="11">
        <v>68.5</v>
      </c>
      <c r="E11" s="11">
        <v>68.5</v>
      </c>
      <c r="F11" s="11">
        <v>68.5</v>
      </c>
      <c r="G11" s="11"/>
      <c r="H11" s="11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8</v>
      </c>
      <c r="B12" s="11" t="s">
        <v>113</v>
      </c>
      <c r="C12" s="11">
        <v>76</v>
      </c>
      <c r="D12" s="11">
        <v>76</v>
      </c>
      <c r="E12" s="11">
        <v>76</v>
      </c>
      <c r="F12" s="11">
        <v>76</v>
      </c>
      <c r="G12" s="11"/>
      <c r="H12" s="11"/>
      <c r="I12" s="9"/>
      <c r="J12" s="9"/>
      <c r="K12" s="9"/>
      <c r="L12" s="9"/>
      <c r="M12" s="9"/>
      <c r="N12" s="9"/>
      <c r="O12" s="5"/>
      <c r="P12" s="5"/>
      <c r="Q12" s="5"/>
      <c r="R12" s="5"/>
      <c r="S12" s="5"/>
      <c r="T12" s="5"/>
    </row>
    <row r="13" spans="1:22" ht="22" x14ac:dyDescent="0.3">
      <c r="A13" s="2" t="s">
        <v>15</v>
      </c>
      <c r="B13" s="11" t="s">
        <v>114</v>
      </c>
      <c r="C13" s="11">
        <v>58</v>
      </c>
      <c r="D13" s="11">
        <v>58</v>
      </c>
      <c r="E13" s="11">
        <v>58</v>
      </c>
      <c r="F13" s="11">
        <v>58</v>
      </c>
      <c r="G13" s="11"/>
      <c r="H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11" t="s">
        <v>115</v>
      </c>
      <c r="C14" s="11">
        <v>445</v>
      </c>
      <c r="D14" s="11">
        <v>445</v>
      </c>
      <c r="E14" s="11">
        <v>445</v>
      </c>
      <c r="F14" s="11">
        <v>445</v>
      </c>
      <c r="G14" s="11"/>
      <c r="H14" s="11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10</v>
      </c>
      <c r="B15" s="11" t="s">
        <v>116</v>
      </c>
      <c r="C15" s="11">
        <v>108</v>
      </c>
      <c r="D15" s="11">
        <v>108</v>
      </c>
      <c r="E15" s="11">
        <v>112</v>
      </c>
      <c r="F15" s="11">
        <v>116</v>
      </c>
      <c r="G15" s="11"/>
      <c r="H15" s="11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13</v>
      </c>
      <c r="B16" s="11" t="s">
        <v>117</v>
      </c>
      <c r="C16" s="11">
        <v>44</v>
      </c>
      <c r="D16" s="11">
        <v>44</v>
      </c>
      <c r="E16" s="11">
        <v>44</v>
      </c>
      <c r="F16" s="11">
        <v>44</v>
      </c>
      <c r="G16" s="11"/>
      <c r="H16" s="11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18</v>
      </c>
      <c r="B17" s="11" t="s">
        <v>118</v>
      </c>
      <c r="C17" s="11">
        <v>721</v>
      </c>
      <c r="D17" s="11">
        <v>757</v>
      </c>
      <c r="E17" s="11">
        <v>784</v>
      </c>
      <c r="F17" s="11">
        <v>839</v>
      </c>
      <c r="G17" s="11"/>
      <c r="H17" s="11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19</v>
      </c>
      <c r="B18" s="1" t="s">
        <v>119</v>
      </c>
      <c r="C18" s="12">
        <v>1135</v>
      </c>
      <c r="D18" s="12">
        <v>1150</v>
      </c>
      <c r="E18" s="12">
        <v>1166</v>
      </c>
      <c r="F18" s="12">
        <v>1182</v>
      </c>
      <c r="G18" s="11"/>
      <c r="H18" s="11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72</v>
      </c>
      <c r="B19" s="1" t="s">
        <v>120</v>
      </c>
      <c r="C19" s="12">
        <v>696</v>
      </c>
      <c r="D19" s="12">
        <v>711</v>
      </c>
      <c r="E19" s="12">
        <v>727</v>
      </c>
      <c r="F19" s="12">
        <v>744</v>
      </c>
      <c r="G19" s="11"/>
      <c r="H19" s="11"/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16</v>
      </c>
      <c r="B20" s="1" t="s">
        <v>74</v>
      </c>
      <c r="C20" s="2">
        <v>630</v>
      </c>
      <c r="D20" s="2">
        <v>630</v>
      </c>
      <c r="E20" s="2">
        <v>634</v>
      </c>
      <c r="F20" s="2">
        <v>637</v>
      </c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17</v>
      </c>
      <c r="B21" s="12" t="s">
        <v>73</v>
      </c>
      <c r="C21" s="12">
        <v>421</v>
      </c>
      <c r="D21" s="12">
        <v>436</v>
      </c>
      <c r="E21" s="12">
        <v>451</v>
      </c>
      <c r="F21" s="12">
        <v>466</v>
      </c>
      <c r="G21" s="12"/>
      <c r="H21" s="12"/>
      <c r="I21" s="7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23</v>
      </c>
      <c r="B22" s="12" t="s">
        <v>121</v>
      </c>
      <c r="C22" s="2">
        <f>G22/2.205*1000</f>
        <v>1859.4104308390019</v>
      </c>
      <c r="D22" s="2">
        <f t="shared" ref="D22:F22" si="0">H22/2.205*1000</f>
        <v>1904.7619047619048</v>
      </c>
      <c r="E22" s="2">
        <f t="shared" si="0"/>
        <v>1950.113378684807</v>
      </c>
      <c r="F22" s="2">
        <f t="shared" si="0"/>
        <v>1995.4648526077099</v>
      </c>
      <c r="G22" s="12">
        <v>4.0999999999999996</v>
      </c>
      <c r="H22" s="12">
        <v>4.2</v>
      </c>
      <c r="I22" s="12">
        <v>4.3</v>
      </c>
      <c r="J22" s="12">
        <v>4.4000000000000004</v>
      </c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G23" s="12"/>
      <c r="H23" s="8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78</v>
      </c>
      <c r="C24" s="2">
        <v>120</v>
      </c>
      <c r="D24" s="2">
        <v>120</v>
      </c>
      <c r="E24" s="2">
        <v>120</v>
      </c>
      <c r="F24" s="2">
        <v>120</v>
      </c>
      <c r="G24" s="12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91</v>
      </c>
      <c r="B25" s="12"/>
      <c r="C25" s="12"/>
      <c r="D25" s="12"/>
      <c r="E25" s="12"/>
      <c r="F25" s="12"/>
      <c r="G25" s="12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20</v>
      </c>
      <c r="B26" s="12"/>
      <c r="C26" s="12"/>
      <c r="D26" s="12"/>
      <c r="E26" s="12"/>
      <c r="F26" s="12"/>
      <c r="G26" s="12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21</v>
      </c>
      <c r="F27" s="6"/>
    </row>
    <row r="28" spans="1:21" x14ac:dyDescent="0.3">
      <c r="A28" s="2" t="s">
        <v>22</v>
      </c>
      <c r="C28" s="6"/>
      <c r="D28" s="6"/>
      <c r="E28" s="6"/>
      <c r="F28" s="6"/>
      <c r="G28" s="6"/>
      <c r="H28" s="6"/>
    </row>
    <row r="29" spans="1:21" x14ac:dyDescent="0.3">
      <c r="A29" s="2" t="s">
        <v>24</v>
      </c>
      <c r="B29" s="2" t="s">
        <v>24</v>
      </c>
      <c r="C29" s="2">
        <v>29</v>
      </c>
      <c r="D29" s="2">
        <v>29</v>
      </c>
      <c r="E29" s="2">
        <v>29</v>
      </c>
      <c r="F29" s="2">
        <v>29</v>
      </c>
    </row>
    <row r="30" spans="1:21" x14ac:dyDescent="0.3">
      <c r="A30" s="2" t="s">
        <v>25</v>
      </c>
      <c r="B30" s="2" t="s">
        <v>25</v>
      </c>
      <c r="C30" s="2">
        <v>2.4</v>
      </c>
      <c r="D30" s="2">
        <v>2.4</v>
      </c>
      <c r="E30" s="2">
        <v>2.4</v>
      </c>
      <c r="F30" s="2">
        <v>2.4</v>
      </c>
    </row>
    <row r="31" spans="1:21" x14ac:dyDescent="0.3">
      <c r="A31" s="2" t="s">
        <v>26</v>
      </c>
      <c r="B31" s="2" t="s">
        <v>26</v>
      </c>
      <c r="C31" s="2">
        <v>2.5</v>
      </c>
      <c r="D31" s="2">
        <v>2.5</v>
      </c>
      <c r="E31" s="2">
        <v>2.5</v>
      </c>
      <c r="F31" s="2">
        <v>2.5</v>
      </c>
    </row>
    <row r="32" spans="1:21" x14ac:dyDescent="0.3">
      <c r="A32" s="2" t="s">
        <v>27</v>
      </c>
      <c r="B32" s="2" t="s">
        <v>28</v>
      </c>
      <c r="C32" s="2">
        <f>VALUE(LEFT(C35,3))</f>
        <v>160</v>
      </c>
      <c r="D32" s="2">
        <f t="shared" ref="D32:F32" si="1">VALUE(LEFT(D35,3))</f>
        <v>170</v>
      </c>
      <c r="E32" s="2">
        <f t="shared" si="1"/>
        <v>180</v>
      </c>
      <c r="F32" s="2">
        <f t="shared" si="1"/>
        <v>190</v>
      </c>
    </row>
    <row r="33" spans="1:12" x14ac:dyDescent="0.3">
      <c r="A33" s="2" t="s">
        <v>29</v>
      </c>
      <c r="B33" s="2" t="s">
        <v>30</v>
      </c>
      <c r="C33" s="2">
        <f>VALUE(RIGHT(C35,3))</f>
        <v>169</v>
      </c>
      <c r="D33" s="2">
        <f t="shared" ref="D33:E33" si="2">VALUE(RIGHT(D35,3))</f>
        <v>179</v>
      </c>
      <c r="E33" s="2">
        <f t="shared" si="2"/>
        <v>188</v>
      </c>
      <c r="F33" s="2">
        <v>198</v>
      </c>
    </row>
    <row r="34" spans="1:12" x14ac:dyDescent="0.3">
      <c r="C34" s="11" t="s">
        <v>101</v>
      </c>
      <c r="D34" s="11" t="s">
        <v>102</v>
      </c>
      <c r="E34" s="11" t="s">
        <v>103</v>
      </c>
      <c r="F34" s="11" t="s">
        <v>104</v>
      </c>
      <c r="G34" s="11" t="s">
        <v>100</v>
      </c>
      <c r="L34" s="1"/>
    </row>
    <row r="35" spans="1:12" x14ac:dyDescent="0.3">
      <c r="A35" s="2" t="s">
        <v>31</v>
      </c>
      <c r="B35" s="2" t="s">
        <v>32</v>
      </c>
      <c r="C35" s="11" t="s">
        <v>106</v>
      </c>
      <c r="D35" s="11" t="s">
        <v>107</v>
      </c>
      <c r="E35" s="11" t="s">
        <v>108</v>
      </c>
      <c r="F35" s="11" t="s">
        <v>109</v>
      </c>
      <c r="G35" s="11" t="s">
        <v>105</v>
      </c>
    </row>
    <row r="36" spans="1:12" x14ac:dyDescent="0.3">
      <c r="A36" s="2" t="s">
        <v>68</v>
      </c>
      <c r="B36" s="2" t="s">
        <v>79</v>
      </c>
    </row>
    <row r="37" spans="1:12" x14ac:dyDescent="0.3">
      <c r="A37" s="2" t="s">
        <v>69</v>
      </c>
      <c r="B37" s="2" t="s">
        <v>80</v>
      </c>
    </row>
    <row r="38" spans="1:12" x14ac:dyDescent="0.3">
      <c r="A38" s="2" t="s">
        <v>70</v>
      </c>
      <c r="B38" s="2" t="s">
        <v>81</v>
      </c>
    </row>
    <row r="39" spans="1:12" x14ac:dyDescent="0.3">
      <c r="A39" s="2" t="s">
        <v>33</v>
      </c>
      <c r="B39" s="2" t="s">
        <v>75</v>
      </c>
    </row>
    <row r="40" spans="1:12" x14ac:dyDescent="0.3">
      <c r="A40" s="2" t="s">
        <v>34</v>
      </c>
      <c r="B40" s="2" t="s">
        <v>71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2.5</v>
      </c>
    </row>
    <row r="43" spans="1:12" x14ac:dyDescent="0.3">
      <c r="A43" s="2" t="s">
        <v>37</v>
      </c>
    </row>
    <row r="44" spans="1:12" x14ac:dyDescent="0.3">
      <c r="A44" s="2" t="s">
        <v>38</v>
      </c>
      <c r="B44" s="2">
        <v>120</v>
      </c>
    </row>
    <row r="45" spans="1:12" x14ac:dyDescent="0.3">
      <c r="A45" s="2" t="s">
        <v>39</v>
      </c>
      <c r="B45" s="2">
        <v>120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  <c r="B48" s="2">
        <v>148</v>
      </c>
    </row>
    <row r="49" spans="1:3" x14ac:dyDescent="0.3">
      <c r="A49" s="2" t="s">
        <v>43</v>
      </c>
    </row>
    <row r="50" spans="1:3" x14ac:dyDescent="0.3">
      <c r="A50" s="2" t="s">
        <v>85</v>
      </c>
      <c r="B50" s="2" t="s">
        <v>122</v>
      </c>
    </row>
    <row r="51" spans="1:3" x14ac:dyDescent="0.3">
      <c r="A51" s="2" t="s">
        <v>86</v>
      </c>
      <c r="B51" s="2" t="s">
        <v>123</v>
      </c>
    </row>
    <row r="52" spans="1:3" x14ac:dyDescent="0.3">
      <c r="A52" s="2" t="s">
        <v>87</v>
      </c>
      <c r="B52" s="2" t="s">
        <v>124</v>
      </c>
    </row>
    <row r="53" spans="1:3" x14ac:dyDescent="0.3">
      <c r="A53" s="2" t="s">
        <v>88</v>
      </c>
    </row>
    <row r="54" spans="1:3" x14ac:dyDescent="0.3">
      <c r="A54" s="2" t="s">
        <v>89</v>
      </c>
    </row>
    <row r="55" spans="1:3" x14ac:dyDescent="0.3">
      <c r="A55" s="2" t="s">
        <v>90</v>
      </c>
    </row>
    <row r="56" spans="1:3" x14ac:dyDescent="0.3">
      <c r="A56" s="2" t="s">
        <v>44</v>
      </c>
      <c r="B56" s="2" t="s">
        <v>125</v>
      </c>
      <c r="C56" s="2" t="s">
        <v>126</v>
      </c>
    </row>
    <row r="57" spans="1:3" x14ac:dyDescent="0.3">
      <c r="A57" s="2" t="s">
        <v>45</v>
      </c>
    </row>
    <row r="58" spans="1:3" x14ac:dyDescent="0.3">
      <c r="A58" s="2" t="s">
        <v>46</v>
      </c>
      <c r="B58" s="2">
        <v>31.6</v>
      </c>
    </row>
    <row r="59" spans="1:3" x14ac:dyDescent="0.3">
      <c r="A59" s="2" t="s">
        <v>47</v>
      </c>
    </row>
    <row r="60" spans="1:3" x14ac:dyDescent="0.3">
      <c r="A60" s="2" t="s">
        <v>48</v>
      </c>
    </row>
    <row r="61" spans="1:3" x14ac:dyDescent="0.3">
      <c r="A61" s="2" t="s">
        <v>49</v>
      </c>
    </row>
    <row r="62" spans="1:3" x14ac:dyDescent="0.3">
      <c r="A62" s="2" t="s">
        <v>50</v>
      </c>
    </row>
    <row r="63" spans="1:3" x14ac:dyDescent="0.3">
      <c r="A63" s="2" t="s">
        <v>51</v>
      </c>
      <c r="B63" s="2">
        <v>180</v>
      </c>
    </row>
    <row r="64" spans="1:3" x14ac:dyDescent="0.3">
      <c r="A64" s="2" t="s">
        <v>52</v>
      </c>
    </row>
    <row r="65" spans="1:2" x14ac:dyDescent="0.3">
      <c r="A65" s="2" t="s">
        <v>53</v>
      </c>
      <c r="B65" s="2" t="s">
        <v>83</v>
      </c>
    </row>
    <row r="66" spans="1:2" x14ac:dyDescent="0.3">
      <c r="A66" s="2" t="s">
        <v>54</v>
      </c>
      <c r="B66" s="2" t="s">
        <v>76</v>
      </c>
    </row>
    <row r="67" spans="1:2" x14ac:dyDescent="0.3">
      <c r="A67" s="2" t="s">
        <v>55</v>
      </c>
    </row>
    <row r="68" spans="1:2" x14ac:dyDescent="0.3">
      <c r="A68" s="2" t="s">
        <v>56</v>
      </c>
    </row>
    <row r="69" spans="1:2" x14ac:dyDescent="0.3">
      <c r="A69" s="2" t="s">
        <v>57</v>
      </c>
      <c r="B69" s="2">
        <v>2</v>
      </c>
    </row>
    <row r="70" spans="1:2" x14ac:dyDescent="0.3">
      <c r="A70" s="2" t="s">
        <v>58</v>
      </c>
    </row>
    <row r="71" spans="1:2" x14ac:dyDescent="0.3">
      <c r="A71" s="2" t="s">
        <v>59</v>
      </c>
    </row>
    <row r="72" spans="1:2" x14ac:dyDescent="0.3">
      <c r="A72" s="2" t="s">
        <v>60</v>
      </c>
    </row>
    <row r="73" spans="1:2" x14ac:dyDescent="0.3">
      <c r="A73" s="2" t="s">
        <v>61</v>
      </c>
    </row>
    <row r="74" spans="1:2" x14ac:dyDescent="0.3">
      <c r="A74" s="2" t="s">
        <v>62</v>
      </c>
    </row>
    <row r="75" spans="1:2" x14ac:dyDescent="0.3">
      <c r="A75" s="2" t="s">
        <v>63</v>
      </c>
    </row>
    <row r="76" spans="1:2" x14ac:dyDescent="0.3">
      <c r="A76" s="2" t="s">
        <v>64</v>
      </c>
      <c r="B76" s="2">
        <v>4125</v>
      </c>
    </row>
    <row r="77" spans="1:2" x14ac:dyDescent="0.3">
      <c r="A77" s="2" t="s">
        <v>65</v>
      </c>
      <c r="B77" s="2">
        <v>6250</v>
      </c>
    </row>
    <row r="78" spans="1:2" x14ac:dyDescent="0.3">
      <c r="A78" s="2" t="s">
        <v>66</v>
      </c>
    </row>
    <row r="79" spans="1:2" x14ac:dyDescent="0.3">
      <c r="A79" s="2" t="s">
        <v>67</v>
      </c>
      <c r="B79" s="13" t="s">
        <v>77</v>
      </c>
    </row>
    <row r="80" spans="1:2" x14ac:dyDescent="0.3">
      <c r="A80" s="2" t="s">
        <v>84</v>
      </c>
      <c r="B80" s="1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2026-01-02T13:25:50Z</dcterms:modified>
</cp:coreProperties>
</file>