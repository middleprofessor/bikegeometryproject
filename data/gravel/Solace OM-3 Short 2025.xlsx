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0E7E4A0-CC53-F446-AE4A-18CA01E1A39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C17" i="1"/>
  <c r="O14" i="1"/>
  <c r="O16" i="1"/>
  <c r="O15" i="1"/>
  <c r="O13" i="1"/>
  <c r="O12" i="1"/>
  <c r="O19" i="1" s="1"/>
  <c r="O11" i="1"/>
  <c r="O10" i="1"/>
  <c r="O9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6" i="1"/>
  <c r="K16" i="1"/>
  <c r="L16" i="1"/>
  <c r="J18" i="1"/>
  <c r="K18" i="1"/>
  <c r="K19" i="1" s="1"/>
  <c r="K20" i="1" s="1"/>
  <c r="J25" i="1"/>
  <c r="K25" i="1"/>
  <c r="L25" i="1"/>
  <c r="I13" i="1"/>
  <c r="I11" i="1"/>
  <c r="I16" i="1" s="1"/>
  <c r="I12" i="1"/>
  <c r="I10" i="1"/>
  <c r="I9" i="1"/>
  <c r="L18" i="1" l="1"/>
  <c r="L19" i="1" s="1"/>
  <c r="L20" i="1" s="1"/>
  <c r="J19" i="1"/>
  <c r="J20" i="1" s="1"/>
  <c r="J17" i="1"/>
  <c r="J26" i="1"/>
  <c r="J27" i="1" s="1"/>
  <c r="J28" i="1" s="1"/>
  <c r="J29" i="1" s="1"/>
  <c r="J30" i="1" s="1"/>
  <c r="K17" i="1"/>
  <c r="K21" i="1" s="1"/>
  <c r="K22" i="1" s="1"/>
  <c r="K26" i="1"/>
  <c r="K27" i="1" s="1"/>
  <c r="K28" i="1" s="1"/>
  <c r="L17" i="1"/>
  <c r="L26" i="1"/>
  <c r="L27" i="1" s="1"/>
  <c r="L28" i="1" s="1"/>
  <c r="L29" i="1" s="1"/>
  <c r="L30" i="1" s="1"/>
  <c r="O29" i="1"/>
  <c r="O30" i="1" s="1"/>
  <c r="O31" i="1" s="1"/>
  <c r="O23" i="1"/>
  <c r="O21" i="1"/>
  <c r="O22" i="1" s="1"/>
  <c r="O36" i="1"/>
  <c r="O20" i="1"/>
  <c r="O37" i="1"/>
  <c r="I25" i="1"/>
  <c r="I18" i="1"/>
  <c r="I19" i="1" s="1"/>
  <c r="I20" i="1" s="1"/>
  <c r="I26" i="1"/>
  <c r="I27" i="1" s="1"/>
  <c r="I28" i="1" s="1"/>
  <c r="I17" i="1"/>
  <c r="J21" i="1" l="1"/>
  <c r="J22" i="1" s="1"/>
  <c r="L21" i="1"/>
  <c r="L22" i="1" s="1"/>
  <c r="K29" i="1"/>
  <c r="K30" i="1" s="1"/>
  <c r="I21" i="1"/>
  <c r="I22" i="1" s="1"/>
  <c r="C16" i="1" s="1"/>
  <c r="O38" i="1"/>
  <c r="O39" i="1" s="1"/>
  <c r="O40" i="1" s="1"/>
  <c r="O41" i="1" s="1"/>
  <c r="O32" i="1"/>
  <c r="O33" i="1" s="1"/>
  <c r="I29" i="1"/>
  <c r="I30" i="1" s="1"/>
  <c r="O24" i="1" l="1"/>
  <c r="O25" i="1" s="1"/>
</calcChain>
</file>

<file path=xl/sharedStrings.xml><?xml version="1.0" encoding="utf-8"?>
<sst xmlns="http://schemas.openxmlformats.org/spreadsheetml/2006/main" count="180" uniqueCount="138">
  <si>
    <t>brand</t>
  </si>
  <si>
    <t>Solace</t>
  </si>
  <si>
    <t>model</t>
  </si>
  <si>
    <t xml:space="preserve">OM-3 Short </t>
  </si>
  <si>
    <t>model_year</t>
  </si>
  <si>
    <t>2022</t>
  </si>
  <si>
    <t>input_date</t>
  </si>
  <si>
    <t>url</t>
  </si>
  <si>
    <t>data_range</t>
  </si>
  <si>
    <t>frame_size</t>
  </si>
  <si>
    <t>frame size</t>
  </si>
  <si>
    <t>S</t>
  </si>
  <si>
    <t>M</t>
  </si>
  <si>
    <t>L</t>
  </si>
  <si>
    <t>XL</t>
  </si>
  <si>
    <t>reach</t>
  </si>
  <si>
    <t>REACH</t>
  </si>
  <si>
    <t>stack</t>
  </si>
  <si>
    <t>STACK</t>
  </si>
  <si>
    <t>head_tube_angle</t>
  </si>
  <si>
    <t>HEAD TUBE ANGLE</t>
  </si>
  <si>
    <t>bottom_bracket_drop</t>
  </si>
  <si>
    <t>BB DROP</t>
  </si>
  <si>
    <t>wheelbase</t>
  </si>
  <si>
    <t>WHEELBASE</t>
  </si>
  <si>
    <t>chainstay_length</t>
  </si>
  <si>
    <t>CHAINSTAY LENGTH</t>
  </si>
  <si>
    <t>seat_tube_angle</t>
  </si>
  <si>
    <t>SEAT TUBE 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</si>
  <si>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</si>
  <si>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</si>
  <si>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</si>
  <si>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</si>
  <si>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</si>
  <si>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</si>
  <si>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</si>
  <si>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</si>
  <si>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</si>
  <si>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</si>
  <si>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</si>
  <si>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</si>
  <si>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</si>
  <si>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</si>
  <si>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</si>
  <si>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</si>
  <si>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</si>
  <si>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</si>
  <si>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</si>
  <si>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</si>
  <si>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</si>
  <si>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</si>
  <si>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</si>
  <si>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</si>
  <si>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</si>
  <si>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</si>
  <si>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</si>
  <si>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</si>
  <si>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</si>
  <si>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</si>
  <si>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</si>
  <si>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</si>
  <si>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</si>
  <si>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</si>
  <si>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</si>
  <si>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</si>
  <si>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</si>
  <si>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</si>
  <si>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</si>
  <si>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</si>
  <si>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</si>
  <si>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</si>
  <si>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</si>
  <si>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</si>
  <si>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</si>
  <si>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</si>
  <si>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</si>
  <si>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</si>
  <si>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</si>
  <si>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</si>
  <si>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</si>
  <si>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</si>
  <si>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</si>
  <si>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</si>
  <si>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</si>
  <si>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</si>
  <si>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</si>
  <si>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</si>
  <si>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</si>
  <si>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https://www.solacecycles.com/bikes/om-3</t>
  </si>
  <si>
    <t>Whisky MCX</t>
  </si>
  <si>
    <t>internal</t>
  </si>
  <si>
    <t>alpha</t>
  </si>
  <si>
    <t>offset</t>
  </si>
  <si>
    <t>beta</t>
  </si>
  <si>
    <t>ac.v</t>
  </si>
  <si>
    <t>h.v</t>
  </si>
  <si>
    <t>ht length</t>
  </si>
  <si>
    <t>a8:f31</t>
  </si>
  <si>
    <t>bb drop</t>
  </si>
  <si>
    <t>hta</t>
  </si>
  <si>
    <t>axle-crown</t>
  </si>
  <si>
    <t>crown-race</t>
  </si>
  <si>
    <t>hta rad</t>
  </si>
  <si>
    <t>crown-race.v</t>
  </si>
  <si>
    <t>bike geometry goodnotes</t>
  </si>
  <si>
    <t>delta</t>
  </si>
  <si>
    <t>gamma</t>
  </si>
  <si>
    <t>chainstay</t>
  </si>
  <si>
    <t>steer_axis_v</t>
  </si>
  <si>
    <t>steer_axis_h</t>
  </si>
  <si>
    <t>rc.h</t>
  </si>
  <si>
    <t>offset_h</t>
  </si>
  <si>
    <t>*</t>
  </si>
  <si>
    <t>Hi Jeff!</t>
  </si>
  <si>
    <t>Pulled together some numbers for you</t>
  </si>
  <si>
    <t>1. $5800 is for a simple, high quality full build featuring companies like I9, whiskey and Sram</t>
  </si>
  <si>
    <t>2. Yes! We design around a ~410mm fork length, which is comfortably in the gravel/MCX world</t>
  </si>
  <si>
    <t>3. Wheelbase on the geometry chart WAS around the longest rocker position, I've modified it so it now shows the full range (thank you for that)</t>
  </si>
  <si>
    <t>S 1011-1029    M 1026-1044    L 1053-1071    XL 1079-1097</t>
  </si>
  <si>
    <t>4. Headtube lengths: S 145mm  M 165mm  L 185mm  XL 205mm</t>
  </si>
  <si>
    <t>Seat tube lengths: S 470  M 540  L 565  XL 580 </t>
  </si>
  <si>
    <t>Due to the lack of an XS frame, we designed the seat tube shorter in the small size to allow use of a dropper post. The standover height between sizes remains fairly linear. </t>
  </si>
  <si>
    <t>Thanks for your interest in Solace! </t>
  </si>
  <si>
    <t>Please reach out with any more design questions or any thoughts at all!</t>
  </si>
  <si>
    <t>(We love to talk about bikes and ourselves )</t>
  </si>
  <si>
    <t>-- </t>
  </si>
  <si>
    <t>Tyler Kepes</t>
  </si>
  <si>
    <t>wheelbase.long (see email)</t>
  </si>
  <si>
    <t>USD</t>
  </si>
  <si>
    <t>https://cdn.prod.website-files.com/61d760661f2d63979bdb4b3c/61fc87d2ea6ac83d9ea1e4d0_Hero-Cover-OM3-2x-p-2600.jpeg</t>
  </si>
  <si>
    <t>location</t>
  </si>
  <si>
    <t>Elizabethtown, New York,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</si>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</sst>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topLeftCell="A54" workbookViewId="0">
      <selection activeCell="B73" sqref="B73"/>
    </sheetView>
  </sheetViews>
  <sheetFormatPr baseColWidth="10" defaultRowHeight="20" x14ac:dyDescent="0.3"/>
  <cols>
    <col min="1" max="2" width="19.6640625" customWidth="1"/>
  </cols>
  <sheetData>
    <row r="1" spans="1:20" x14ac:dyDescent="0.3">
      <c r="A1" t="s">
        <v>0</v>
      </c>
      <c r="B1" t="s">
        <v>1</v>
      </c>
    </row>
    <row r="2" spans="1:20" x14ac:dyDescent="0.3">
      <c r="A2" t="s">
        <v>2</v>
      </c>
      <c r="B2" t="s">
        <v>3</v>
      </c>
    </row>
    <row r="3" spans="1:20" x14ac:dyDescent="0.3">
      <c r="A3" t="s">
        <v>4</v>
      </c>
      <c r="B3" t="s">
        <v>5</v>
      </c>
    </row>
    <row r="4" spans="1:20" x14ac:dyDescent="0.3">
      <c r="A4" t="s">
        <v>6</v>
      </c>
      <c r="B4" s="2">
        <v>45920</v>
      </c>
    </row>
    <row r="5" spans="1:20" x14ac:dyDescent="0.3">
      <c r="A5" t="s">
        <v>7</v>
      </c>
      <c r="B5" t="s">
        <v>88</v>
      </c>
    </row>
    <row r="6" spans="1:20" x14ac:dyDescent="0.3">
      <c r="B6" t="s">
        <v>129</v>
      </c>
      <c r="Q6">
        <v>1011</v>
      </c>
      <c r="R6">
        <v>1026</v>
      </c>
      <c r="S6">
        <v>1053</v>
      </c>
      <c r="T6">
        <v>1079</v>
      </c>
    </row>
    <row r="7" spans="1:20" x14ac:dyDescent="0.3">
      <c r="A7" t="s">
        <v>8</v>
      </c>
      <c r="B7" s="1" t="s">
        <v>97</v>
      </c>
    </row>
    <row r="8" spans="1:20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20" x14ac:dyDescent="0.3">
      <c r="A9" t="s">
        <v>15</v>
      </c>
      <c r="B9" t="s">
        <v>16</v>
      </c>
      <c r="C9">
        <v>370</v>
      </c>
      <c r="D9">
        <v>383</v>
      </c>
      <c r="E9">
        <v>403</v>
      </c>
      <c r="F9">
        <v>422</v>
      </c>
      <c r="H9" s="1" t="s">
        <v>17</v>
      </c>
      <c r="I9">
        <f>C10</f>
        <v>586</v>
      </c>
      <c r="J9">
        <f t="shared" ref="J9:L9" si="0">D10</f>
        <v>609</v>
      </c>
      <c r="K9">
        <f t="shared" si="0"/>
        <v>630</v>
      </c>
      <c r="L9">
        <f t="shared" si="0"/>
        <v>651</v>
      </c>
      <c r="N9" s="1" t="s">
        <v>17</v>
      </c>
      <c r="O9">
        <f>C10</f>
        <v>586</v>
      </c>
      <c r="Q9" s="1" t="s">
        <v>113</v>
      </c>
    </row>
    <row r="10" spans="1:20" x14ac:dyDescent="0.3">
      <c r="A10" t="s">
        <v>17</v>
      </c>
      <c r="B10" t="s">
        <v>18</v>
      </c>
      <c r="C10">
        <v>586</v>
      </c>
      <c r="D10">
        <v>609</v>
      </c>
      <c r="E10">
        <v>630</v>
      </c>
      <c r="F10">
        <v>651</v>
      </c>
      <c r="H10" s="1" t="s">
        <v>98</v>
      </c>
      <c r="I10">
        <f>C12</f>
        <v>70</v>
      </c>
      <c r="J10">
        <f t="shared" ref="J10:L10" si="1">D12</f>
        <v>70</v>
      </c>
      <c r="K10">
        <f t="shared" si="1"/>
        <v>70</v>
      </c>
      <c r="L10">
        <f t="shared" si="1"/>
        <v>70</v>
      </c>
      <c r="N10" s="1" t="s">
        <v>15</v>
      </c>
      <c r="O10">
        <f>C9</f>
        <v>370</v>
      </c>
    </row>
    <row r="11" spans="1:20" x14ac:dyDescent="0.3">
      <c r="A11" t="s">
        <v>19</v>
      </c>
      <c r="B11" t="s">
        <v>20</v>
      </c>
      <c r="C11">
        <v>70</v>
      </c>
      <c r="D11">
        <v>70.5</v>
      </c>
      <c r="E11">
        <v>70.5</v>
      </c>
      <c r="F11">
        <v>70.5</v>
      </c>
      <c r="H11" s="1" t="s">
        <v>99</v>
      </c>
      <c r="I11">
        <f>C11</f>
        <v>70</v>
      </c>
      <c r="J11">
        <f t="shared" ref="J11:L11" si="2">D11</f>
        <v>70.5</v>
      </c>
      <c r="K11">
        <f t="shared" si="2"/>
        <v>70.5</v>
      </c>
      <c r="L11">
        <f t="shared" si="2"/>
        <v>70.5</v>
      </c>
      <c r="N11" s="1" t="s">
        <v>98</v>
      </c>
      <c r="O11">
        <f>C12</f>
        <v>70</v>
      </c>
      <c r="Q11" s="1" t="s">
        <v>114</v>
      </c>
    </row>
    <row r="12" spans="1:20" x14ac:dyDescent="0.3">
      <c r="A12" t="s">
        <v>21</v>
      </c>
      <c r="B12" t="s">
        <v>22</v>
      </c>
      <c r="C12">
        <v>70</v>
      </c>
      <c r="D12">
        <v>70</v>
      </c>
      <c r="E12">
        <v>70</v>
      </c>
      <c r="F12">
        <v>70</v>
      </c>
      <c r="H12" s="1" t="s">
        <v>100</v>
      </c>
      <c r="I12">
        <f>C21</f>
        <v>415</v>
      </c>
      <c r="J12">
        <f t="shared" ref="J12:L12" si="3">D21</f>
        <v>415</v>
      </c>
      <c r="K12">
        <f t="shared" si="3"/>
        <v>415</v>
      </c>
      <c r="L12">
        <f t="shared" si="3"/>
        <v>415</v>
      </c>
      <c r="N12" s="1" t="s">
        <v>99</v>
      </c>
      <c r="O12">
        <f>C11</f>
        <v>70</v>
      </c>
    </row>
    <row r="13" spans="1:20" x14ac:dyDescent="0.3">
      <c r="A13" s="1" t="s">
        <v>127</v>
      </c>
      <c r="B13" t="s">
        <v>24</v>
      </c>
      <c r="C13">
        <v>1029</v>
      </c>
      <c r="D13">
        <v>1044</v>
      </c>
      <c r="E13">
        <v>1071</v>
      </c>
      <c r="F13">
        <v>1097</v>
      </c>
      <c r="H13" s="1" t="s">
        <v>92</v>
      </c>
      <c r="I13">
        <f>C20</f>
        <v>50</v>
      </c>
      <c r="J13">
        <f t="shared" ref="J13:L13" si="4">D20</f>
        <v>50</v>
      </c>
      <c r="K13">
        <f t="shared" si="4"/>
        <v>50</v>
      </c>
      <c r="L13">
        <f t="shared" si="4"/>
        <v>50</v>
      </c>
      <c r="N13" s="1" t="s">
        <v>107</v>
      </c>
      <c r="O13">
        <f>C14</f>
        <v>412</v>
      </c>
      <c r="Q13" s="1" t="s">
        <v>115</v>
      </c>
    </row>
    <row r="14" spans="1:20" x14ac:dyDescent="0.3">
      <c r="A14" t="s">
        <v>25</v>
      </c>
      <c r="B14" t="s">
        <v>26</v>
      </c>
      <c r="C14">
        <v>412</v>
      </c>
      <c r="D14">
        <v>412</v>
      </c>
      <c r="E14">
        <v>412</v>
      </c>
      <c r="F14">
        <v>412</v>
      </c>
      <c r="H14" s="1" t="s">
        <v>101</v>
      </c>
      <c r="I14" s="1">
        <v>10</v>
      </c>
      <c r="J14" s="1">
        <v>11</v>
      </c>
      <c r="K14" s="1">
        <v>12</v>
      </c>
      <c r="L14" s="1">
        <v>13</v>
      </c>
      <c r="N14" s="1" t="s">
        <v>23</v>
      </c>
      <c r="O14">
        <f>C13</f>
        <v>1029</v>
      </c>
    </row>
    <row r="15" spans="1:20" x14ac:dyDescent="0.3">
      <c r="A15" t="s">
        <v>27</v>
      </c>
      <c r="B15" t="s">
        <v>28</v>
      </c>
      <c r="C15">
        <v>73</v>
      </c>
      <c r="D15">
        <v>73</v>
      </c>
      <c r="E15">
        <v>73</v>
      </c>
      <c r="F15">
        <v>73</v>
      </c>
      <c r="N15" s="1" t="s">
        <v>100</v>
      </c>
      <c r="O15">
        <f>C21</f>
        <v>415</v>
      </c>
      <c r="Q15" s="1" t="s">
        <v>116</v>
      </c>
    </row>
    <row r="16" spans="1:20" x14ac:dyDescent="0.3">
      <c r="A16" t="s">
        <v>29</v>
      </c>
      <c r="B16" t="s">
        <v>29</v>
      </c>
      <c r="C16" s="3">
        <f>I22</f>
        <v>145.16322723728675</v>
      </c>
      <c r="D16" s="3">
        <v>165</v>
      </c>
      <c r="E16" s="3">
        <v>185</v>
      </c>
      <c r="F16" s="3">
        <v>205</v>
      </c>
      <c r="G16" s="1" t="s">
        <v>112</v>
      </c>
      <c r="H16" s="1" t="s">
        <v>102</v>
      </c>
      <c r="I16">
        <f>I11*PI()/180</f>
        <v>1.2217304763960306</v>
      </c>
      <c r="J16">
        <f t="shared" ref="J16:L16" si="5">J11*PI()/180</f>
        <v>1.2304571226560022</v>
      </c>
      <c r="K16">
        <f t="shared" si="5"/>
        <v>1.2304571226560022</v>
      </c>
      <c r="L16">
        <f t="shared" si="5"/>
        <v>1.2304571226560022</v>
      </c>
      <c r="N16" s="1" t="s">
        <v>92</v>
      </c>
      <c r="O16">
        <f>C20</f>
        <v>50</v>
      </c>
    </row>
    <row r="17" spans="1:17" x14ac:dyDescent="0.3">
      <c r="A17" t="s">
        <v>23</v>
      </c>
      <c r="C17" s="3">
        <f>C13-18</f>
        <v>1011</v>
      </c>
      <c r="D17" s="3">
        <f t="shared" ref="D17:F17" si="6">D13-18</f>
        <v>1026</v>
      </c>
      <c r="E17" s="3">
        <f t="shared" si="6"/>
        <v>1053</v>
      </c>
      <c r="F17" s="3">
        <f t="shared" si="6"/>
        <v>1079</v>
      </c>
      <c r="H17" s="1" t="s">
        <v>103</v>
      </c>
      <c r="I17">
        <f>I14*SIN(I16)</f>
        <v>9.3969262078590834</v>
      </c>
      <c r="J17">
        <f t="shared" ref="J17:L17" si="7">J14*SIN(J16)</f>
        <v>10.369056402013962</v>
      </c>
      <c r="K17">
        <f t="shared" si="7"/>
        <v>11.311697893106139</v>
      </c>
      <c r="L17">
        <f t="shared" si="7"/>
        <v>12.254339384198317</v>
      </c>
      <c r="N17" s="1" t="s">
        <v>101</v>
      </c>
      <c r="O17" s="1">
        <v>10</v>
      </c>
      <c r="Q17" s="1" t="s">
        <v>117</v>
      </c>
    </row>
    <row r="18" spans="1:17" x14ac:dyDescent="0.3">
      <c r="A18" t="s">
        <v>30</v>
      </c>
      <c r="B18" t="s">
        <v>30</v>
      </c>
      <c r="C18">
        <v>470</v>
      </c>
      <c r="D18">
        <v>540</v>
      </c>
      <c r="E18">
        <v>565</v>
      </c>
      <c r="F18">
        <v>580</v>
      </c>
      <c r="G18" s="1" t="s">
        <v>112</v>
      </c>
      <c r="H18" s="1" t="s">
        <v>91</v>
      </c>
      <c r="I18">
        <f>ATAN(I13/I12)</f>
        <v>0.1199039853650239</v>
      </c>
      <c r="J18">
        <f t="shared" ref="J18:L18" si="8">ATAN(J13/J12)</f>
        <v>0.1199039853650239</v>
      </c>
      <c r="K18">
        <f t="shared" si="8"/>
        <v>0.1199039853650239</v>
      </c>
      <c r="L18">
        <f t="shared" si="8"/>
        <v>0.1199039853650239</v>
      </c>
      <c r="N18" s="1"/>
      <c r="O18" s="1"/>
      <c r="Q18" s="1" t="s">
        <v>118</v>
      </c>
    </row>
    <row r="19" spans="1:17" x14ac:dyDescent="0.3">
      <c r="A19" t="s">
        <v>31</v>
      </c>
      <c r="B19" t="s">
        <v>31</v>
      </c>
      <c r="H19" s="1" t="s">
        <v>93</v>
      </c>
      <c r="I19">
        <f>I18 + ( PI()/2 - I16)</f>
        <v>0.46896983576388984</v>
      </c>
      <c r="J19">
        <f t="shared" ref="J19:L19" si="9">J18 + ( PI()/2 - J16)</f>
        <v>0.46024318950391829</v>
      </c>
      <c r="K19">
        <f t="shared" si="9"/>
        <v>0.46024318950391829</v>
      </c>
      <c r="L19">
        <f t="shared" si="9"/>
        <v>0.46024318950391829</v>
      </c>
      <c r="N19" s="1" t="s">
        <v>102</v>
      </c>
      <c r="O19">
        <f>O12*PI()/180</f>
        <v>1.2217304763960306</v>
      </c>
    </row>
    <row r="20" spans="1:17" x14ac:dyDescent="0.3">
      <c r="A20" t="s">
        <v>32</v>
      </c>
      <c r="B20" t="s">
        <v>32</v>
      </c>
      <c r="C20">
        <v>50</v>
      </c>
      <c r="D20">
        <v>50</v>
      </c>
      <c r="E20">
        <v>50</v>
      </c>
      <c r="F20">
        <v>50</v>
      </c>
      <c r="G20" s="1" t="s">
        <v>89</v>
      </c>
      <c r="H20" s="1" t="s">
        <v>94</v>
      </c>
      <c r="I20">
        <f>COS(I19)*I12</f>
        <v>370.19426034779457</v>
      </c>
      <c r="J20">
        <f t="shared" ref="J20:L20" si="10">COS(J19)*J12</f>
        <v>371.81697061661282</v>
      </c>
      <c r="K20">
        <f t="shared" si="10"/>
        <v>371.81697061661282</v>
      </c>
      <c r="L20">
        <f t="shared" si="10"/>
        <v>371.81697061661282</v>
      </c>
      <c r="N20" s="1" t="s">
        <v>103</v>
      </c>
      <c r="O20">
        <f>O17*SIN(O19)</f>
        <v>9.3969262078590834</v>
      </c>
      <c r="Q20" s="1" t="s">
        <v>119</v>
      </c>
    </row>
    <row r="21" spans="1:17" x14ac:dyDescent="0.3">
      <c r="A21" t="s">
        <v>33</v>
      </c>
      <c r="B21" t="s">
        <v>33</v>
      </c>
      <c r="C21">
        <v>415</v>
      </c>
      <c r="D21">
        <v>415</v>
      </c>
      <c r="E21">
        <v>415</v>
      </c>
      <c r="F21">
        <v>415</v>
      </c>
      <c r="H21" s="1" t="s">
        <v>95</v>
      </c>
      <c r="I21">
        <f>I9-I10-I17-I20</f>
        <v>136.40881344434632</v>
      </c>
      <c r="J21">
        <f t="shared" ref="J21:L21" si="11">J9-J10-J17-J20</f>
        <v>156.81397298137324</v>
      </c>
      <c r="K21">
        <f t="shared" si="11"/>
        <v>176.87133149028102</v>
      </c>
      <c r="L21">
        <f t="shared" si="11"/>
        <v>196.9286899991888</v>
      </c>
      <c r="N21" s="1" t="s">
        <v>108</v>
      </c>
      <c r="O21" s="4">
        <f>O9-O11</f>
        <v>516</v>
      </c>
      <c r="Q21" s="1" t="s">
        <v>120</v>
      </c>
    </row>
    <row r="22" spans="1:17" x14ac:dyDescent="0.3">
      <c r="A22" t="s">
        <v>34</v>
      </c>
      <c r="B22" t="s">
        <v>34</v>
      </c>
      <c r="H22" s="1" t="s">
        <v>96</v>
      </c>
      <c r="I22">
        <f>I21/SIN(I16)</f>
        <v>145.16322723728675</v>
      </c>
      <c r="J22">
        <f t="shared" ref="J22:L22" si="12">J21/SIN(J16)</f>
        <v>166.35589931404667</v>
      </c>
      <c r="K22">
        <f t="shared" si="12"/>
        <v>187.63372200533158</v>
      </c>
      <c r="L22">
        <f t="shared" si="12"/>
        <v>208.91154469661646</v>
      </c>
      <c r="M22" s="1"/>
      <c r="N22" s="1" t="s">
        <v>109</v>
      </c>
      <c r="O22">
        <f>O21/TAN(O19)</f>
        <v>187.8086408813605</v>
      </c>
    </row>
    <row r="23" spans="1:17" x14ac:dyDescent="0.3">
      <c r="A23" t="s">
        <v>35</v>
      </c>
      <c r="B23" t="s">
        <v>35</v>
      </c>
      <c r="M23" s="1"/>
      <c r="N23" s="1" t="s">
        <v>110</v>
      </c>
      <c r="O23">
        <f>SQRT(O13^2 - O11^2)</f>
        <v>406.00985209721205</v>
      </c>
      <c r="Q23" s="1" t="s">
        <v>121</v>
      </c>
    </row>
    <row r="24" spans="1:17" x14ac:dyDescent="0.3">
      <c r="A24" t="s">
        <v>36</v>
      </c>
      <c r="B24" t="s">
        <v>36</v>
      </c>
      <c r="H24" s="1" t="s">
        <v>104</v>
      </c>
      <c r="N24" s="1" t="s">
        <v>111</v>
      </c>
      <c r="O24">
        <f>O14-O23-O10-O22</f>
        <v>65.18150702142745</v>
      </c>
    </row>
    <row r="25" spans="1:17" x14ac:dyDescent="0.3">
      <c r="A25" t="s">
        <v>37</v>
      </c>
      <c r="B25" t="s">
        <v>37</v>
      </c>
      <c r="H25" s="1" t="s">
        <v>93</v>
      </c>
      <c r="I25">
        <f>ACOS(I13/I12)</f>
        <v>1.4500209946179365</v>
      </c>
      <c r="J25">
        <f t="shared" ref="J25:L25" si="13">ACOS(J13/J12)</f>
        <v>1.4500209946179365</v>
      </c>
      <c r="K25">
        <f t="shared" si="13"/>
        <v>1.4500209946179365</v>
      </c>
      <c r="L25">
        <f t="shared" si="13"/>
        <v>1.4500209946179365</v>
      </c>
      <c r="N25" s="1" t="s">
        <v>92</v>
      </c>
      <c r="O25">
        <f>O24*SIN(O19)</f>
        <v>61.250581159740243</v>
      </c>
      <c r="Q25" s="1" t="s">
        <v>122</v>
      </c>
    </row>
    <row r="26" spans="1:17" x14ac:dyDescent="0.3">
      <c r="A26" t="s">
        <v>38</v>
      </c>
      <c r="H26" s="1" t="s">
        <v>105</v>
      </c>
      <c r="I26">
        <f>PI()/2 - I16</f>
        <v>0.34906585039886595</v>
      </c>
      <c r="J26">
        <f t="shared" ref="J26:L26" si="14">PI()/2 - J16</f>
        <v>0.3403392041388944</v>
      </c>
      <c r="K26">
        <f t="shared" si="14"/>
        <v>0.3403392041388944</v>
      </c>
      <c r="L26">
        <f t="shared" si="14"/>
        <v>0.3403392041388944</v>
      </c>
    </row>
    <row r="27" spans="1:17" x14ac:dyDescent="0.3">
      <c r="A27" t="s">
        <v>39</v>
      </c>
      <c r="B27" t="s">
        <v>39</v>
      </c>
      <c r="C27">
        <v>700</v>
      </c>
      <c r="D27">
        <v>700</v>
      </c>
      <c r="E27">
        <v>700</v>
      </c>
      <c r="F27">
        <v>700</v>
      </c>
      <c r="H27" s="1" t="s">
        <v>106</v>
      </c>
      <c r="I27">
        <f>I25-I26</f>
        <v>1.1009551442190706</v>
      </c>
      <c r="J27">
        <f t="shared" ref="J27:L27" si="15">J25-J26</f>
        <v>1.1096817904790421</v>
      </c>
      <c r="K27">
        <f t="shared" si="15"/>
        <v>1.1096817904790421</v>
      </c>
      <c r="L27">
        <f t="shared" si="15"/>
        <v>1.1096817904790421</v>
      </c>
      <c r="N27" s="5"/>
      <c r="O27" s="5"/>
      <c r="Q27" s="1" t="s">
        <v>123</v>
      </c>
    </row>
    <row r="28" spans="1:17" x14ac:dyDescent="0.3">
      <c r="A28" t="s">
        <v>40</v>
      </c>
      <c r="B28" t="s">
        <v>40</v>
      </c>
      <c r="C28">
        <v>50</v>
      </c>
      <c r="D28">
        <v>50</v>
      </c>
      <c r="E28">
        <v>50</v>
      </c>
      <c r="F28">
        <v>50</v>
      </c>
      <c r="H28" s="1" t="s">
        <v>94</v>
      </c>
      <c r="I28">
        <f>I12*SIN(I27)</f>
        <v>370.03068432148956</v>
      </c>
      <c r="J28">
        <f t="shared" ref="J28:L28" si="16">J12*SIN(J27)</f>
        <v>371.65621509456895</v>
      </c>
      <c r="K28">
        <f t="shared" si="16"/>
        <v>371.65621509456895</v>
      </c>
      <c r="L28">
        <f t="shared" si="16"/>
        <v>371.65621509456895</v>
      </c>
      <c r="N28" s="5"/>
      <c r="O28" s="5"/>
      <c r="Q28" s="1" t="s">
        <v>124</v>
      </c>
    </row>
    <row r="29" spans="1:17" x14ac:dyDescent="0.3">
      <c r="A29" t="s">
        <v>41</v>
      </c>
      <c r="B29" t="s">
        <v>41</v>
      </c>
      <c r="C29">
        <v>56</v>
      </c>
      <c r="D29">
        <v>56</v>
      </c>
      <c r="E29">
        <v>56</v>
      </c>
      <c r="F29">
        <v>56</v>
      </c>
      <c r="H29" s="1" t="s">
        <v>95</v>
      </c>
      <c r="I29">
        <f>I9-I28-I17-I10</f>
        <v>136.57238947065136</v>
      </c>
      <c r="J29">
        <f t="shared" ref="J29:L29" si="17">J9-J28-J17-J10</f>
        <v>156.97472850341708</v>
      </c>
      <c r="K29">
        <f t="shared" si="17"/>
        <v>177.03208701232492</v>
      </c>
      <c r="L29">
        <f t="shared" si="17"/>
        <v>197.08944552123273</v>
      </c>
      <c r="N29" s="1" t="s">
        <v>91</v>
      </c>
      <c r="O29">
        <f>ATAN(O16/O15)</f>
        <v>0.1199039853650239</v>
      </c>
    </row>
    <row r="30" spans="1:17" x14ac:dyDescent="0.3">
      <c r="A30" t="s">
        <v>42</v>
      </c>
      <c r="H30" s="1" t="s">
        <v>96</v>
      </c>
      <c r="I30">
        <f>I29/SIN(I16)</f>
        <v>145.3373012085905</v>
      </c>
      <c r="J30">
        <f t="shared" ref="J30:L30" si="18">J29/SIN(J16)</f>
        <v>166.52643660055799</v>
      </c>
      <c r="K30">
        <f t="shared" si="18"/>
        <v>187.80425929184295</v>
      </c>
      <c r="L30">
        <f t="shared" si="18"/>
        <v>209.08208198312786</v>
      </c>
      <c r="N30" s="1" t="s">
        <v>93</v>
      </c>
      <c r="O30">
        <f>O29 + ( PI()/2 - O19)</f>
        <v>0.46896983576388984</v>
      </c>
      <c r="Q30" s="6" t="s">
        <v>125</v>
      </c>
    </row>
    <row r="31" spans="1:17" x14ac:dyDescent="0.3">
      <c r="A31" t="s">
        <v>43</v>
      </c>
      <c r="N31" s="1" t="s">
        <v>94</v>
      </c>
      <c r="O31">
        <f>COS(O30)*O15</f>
        <v>370.19426034779457</v>
      </c>
      <c r="Q31" s="6" t="s">
        <v>126</v>
      </c>
    </row>
    <row r="32" spans="1:17" x14ac:dyDescent="0.3">
      <c r="H32" s="1"/>
      <c r="I32" s="1"/>
      <c r="J32" s="1"/>
      <c r="K32" s="1"/>
      <c r="L32" s="1"/>
      <c r="N32" s="1" t="s">
        <v>95</v>
      </c>
      <c r="O32">
        <f>O9-O11-O20-O31</f>
        <v>136.40881344434632</v>
      </c>
    </row>
    <row r="33" spans="1:15" x14ac:dyDescent="0.3">
      <c r="A33" t="s">
        <v>44</v>
      </c>
      <c r="B33" t="s">
        <v>45</v>
      </c>
      <c r="H33" s="1"/>
      <c r="N33" s="1" t="s">
        <v>96</v>
      </c>
      <c r="O33">
        <f>O32/SIN(O19)</f>
        <v>145.16322723728675</v>
      </c>
    </row>
    <row r="34" spans="1:15" x14ac:dyDescent="0.3">
      <c r="A34" t="s">
        <v>82</v>
      </c>
      <c r="B34" t="s">
        <v>83</v>
      </c>
      <c r="H34" s="1"/>
    </row>
    <row r="35" spans="1:15" x14ac:dyDescent="0.3">
      <c r="A35" t="s">
        <v>84</v>
      </c>
      <c r="B35" t="s">
        <v>85</v>
      </c>
      <c r="H35" s="1"/>
      <c r="I35" s="1"/>
      <c r="J35" s="1"/>
      <c r="K35" s="1"/>
      <c r="L35" s="1"/>
      <c r="N35" s="1" t="s">
        <v>104</v>
      </c>
    </row>
    <row r="36" spans="1:15" x14ac:dyDescent="0.3">
      <c r="A36" t="s">
        <v>86</v>
      </c>
      <c r="B36" t="s">
        <v>87</v>
      </c>
      <c r="H36" s="1"/>
      <c r="N36" s="1" t="s">
        <v>93</v>
      </c>
      <c r="O36">
        <f>ACOS(O16/O15)</f>
        <v>1.4500209946179365</v>
      </c>
    </row>
    <row r="37" spans="1:15" x14ac:dyDescent="0.3">
      <c r="A37" t="s">
        <v>46</v>
      </c>
      <c r="B37" t="s">
        <v>47</v>
      </c>
      <c r="H37" s="1"/>
      <c r="N37" s="1" t="s">
        <v>105</v>
      </c>
      <c r="O37">
        <f>PI()/2 - O19</f>
        <v>0.34906585039886595</v>
      </c>
    </row>
    <row r="38" spans="1:15" x14ac:dyDescent="0.3">
      <c r="A38" t="s">
        <v>48</v>
      </c>
      <c r="H38" s="1"/>
      <c r="N38" s="1" t="s">
        <v>106</v>
      </c>
      <c r="O38">
        <f>O36-O37</f>
        <v>1.1009551442190706</v>
      </c>
    </row>
    <row r="39" spans="1:15" x14ac:dyDescent="0.3">
      <c r="A39" t="s">
        <v>49</v>
      </c>
      <c r="B39">
        <v>18</v>
      </c>
      <c r="H39" s="1"/>
      <c r="N39" s="1" t="s">
        <v>94</v>
      </c>
      <c r="O39">
        <f>O15*SIN(O38)</f>
        <v>370.03068432148956</v>
      </c>
    </row>
    <row r="40" spans="1:15" x14ac:dyDescent="0.3">
      <c r="A40" t="s">
        <v>50</v>
      </c>
      <c r="B40">
        <v>56</v>
      </c>
      <c r="H40" s="1"/>
      <c r="N40" s="1" t="s">
        <v>95</v>
      </c>
      <c r="O40">
        <f>O9-O39-O20-O11</f>
        <v>136.57238947065136</v>
      </c>
    </row>
    <row r="41" spans="1:15" x14ac:dyDescent="0.3">
      <c r="A41" t="s">
        <v>51</v>
      </c>
      <c r="H41" s="1"/>
      <c r="N41" s="1" t="s">
        <v>96</v>
      </c>
      <c r="O41">
        <f>O40/SIN(O19)</f>
        <v>145.3373012085905</v>
      </c>
    </row>
    <row r="42" spans="1:15" x14ac:dyDescent="0.3">
      <c r="A42" t="s">
        <v>52</v>
      </c>
      <c r="H42" s="1"/>
      <c r="I42" s="3"/>
      <c r="J42" s="3"/>
      <c r="K42" s="3"/>
      <c r="L42" s="3"/>
    </row>
    <row r="43" spans="1:15" x14ac:dyDescent="0.3">
      <c r="A43" t="s">
        <v>53</v>
      </c>
    </row>
    <row r="44" spans="1:15" x14ac:dyDescent="0.3">
      <c r="A44" t="s">
        <v>54</v>
      </c>
      <c r="H44" s="1"/>
    </row>
    <row r="45" spans="1:15" x14ac:dyDescent="0.3">
      <c r="A45" t="s">
        <v>55</v>
      </c>
    </row>
    <row r="46" spans="1:15" x14ac:dyDescent="0.3">
      <c r="A46" t="s">
        <v>56</v>
      </c>
    </row>
    <row r="47" spans="1:15" x14ac:dyDescent="0.3">
      <c r="A47" t="s">
        <v>57</v>
      </c>
    </row>
    <row r="48" spans="1:15" x14ac:dyDescent="0.3">
      <c r="A48" t="s">
        <v>132</v>
      </c>
    </row>
    <row r="49" spans="1:2" x14ac:dyDescent="0.3">
      <c r="A49" t="s">
        <v>133</v>
      </c>
    </row>
    <row r="50" spans="1:2" x14ac:dyDescent="0.3">
      <c r="A50" t="s">
        <v>134</v>
      </c>
    </row>
    <row r="51" spans="1:2" x14ac:dyDescent="0.3">
      <c r="A51" t="s">
        <v>135</v>
      </c>
    </row>
    <row r="52" spans="1:2" x14ac:dyDescent="0.3">
      <c r="A52" t="s">
        <v>136</v>
      </c>
    </row>
    <row r="53" spans="1:2" x14ac:dyDescent="0.3">
      <c r="A53" t="s">
        <v>137</v>
      </c>
    </row>
    <row r="54" spans="1:2" x14ac:dyDescent="0.3">
      <c r="A54" t="s">
        <v>58</v>
      </c>
    </row>
    <row r="55" spans="1:2" x14ac:dyDescent="0.3">
      <c r="A55" t="s">
        <v>59</v>
      </c>
    </row>
    <row r="56" spans="1:2" x14ac:dyDescent="0.3">
      <c r="A56" t="s">
        <v>60</v>
      </c>
    </row>
    <row r="57" spans="1:2" x14ac:dyDescent="0.3">
      <c r="A57" t="s">
        <v>61</v>
      </c>
    </row>
    <row r="58" spans="1:2" x14ac:dyDescent="0.3">
      <c r="A58" t="s">
        <v>62</v>
      </c>
    </row>
    <row r="59" spans="1:2" x14ac:dyDescent="0.3">
      <c r="A59" t="s">
        <v>63</v>
      </c>
    </row>
    <row r="60" spans="1:2" x14ac:dyDescent="0.3">
      <c r="A60" t="s">
        <v>64</v>
      </c>
    </row>
    <row r="61" spans="1:2" x14ac:dyDescent="0.3">
      <c r="A61" t="s">
        <v>65</v>
      </c>
    </row>
    <row r="62" spans="1:2" x14ac:dyDescent="0.3">
      <c r="A62" t="s">
        <v>66</v>
      </c>
    </row>
    <row r="63" spans="1:2" x14ac:dyDescent="0.3">
      <c r="A63" t="s">
        <v>67</v>
      </c>
      <c r="B63" s="1" t="s">
        <v>90</v>
      </c>
    </row>
    <row r="64" spans="1:2" x14ac:dyDescent="0.3">
      <c r="A64" t="s">
        <v>68</v>
      </c>
      <c r="B64" s="1" t="s">
        <v>90</v>
      </c>
    </row>
    <row r="65" spans="1:2" x14ac:dyDescent="0.3">
      <c r="A65" t="s">
        <v>69</v>
      </c>
    </row>
    <row r="66" spans="1:2" x14ac:dyDescent="0.3">
      <c r="A66" t="s">
        <v>70</v>
      </c>
    </row>
    <row r="67" spans="1:2" x14ac:dyDescent="0.3">
      <c r="A67" t="s">
        <v>71</v>
      </c>
    </row>
    <row r="68" spans="1:2" x14ac:dyDescent="0.3">
      <c r="A68" t="s">
        <v>72</v>
      </c>
    </row>
    <row r="69" spans="1:2" x14ac:dyDescent="0.3">
      <c r="A69" t="s">
        <v>73</v>
      </c>
      <c r="B69">
        <v>2</v>
      </c>
    </row>
    <row r="70" spans="1:2" x14ac:dyDescent="0.3">
      <c r="A70" t="s">
        <v>74</v>
      </c>
    </row>
    <row r="71" spans="1:2" x14ac:dyDescent="0.3">
      <c r="A71" t="s">
        <v>75</v>
      </c>
    </row>
    <row r="72" spans="1:2" x14ac:dyDescent="0.3">
      <c r="A72" t="s">
        <v>76</v>
      </c>
    </row>
    <row r="73" spans="1:2" x14ac:dyDescent="0.3">
      <c r="A73" t="s">
        <v>77</v>
      </c>
    </row>
    <row r="74" spans="1:2" x14ac:dyDescent="0.3">
      <c r="A74" t="s">
        <v>78</v>
      </c>
    </row>
    <row r="75" spans="1:2" x14ac:dyDescent="0.3">
      <c r="A75" t="s">
        <v>79</v>
      </c>
      <c r="B75">
        <v>5800</v>
      </c>
    </row>
    <row r="76" spans="1:2" x14ac:dyDescent="0.3">
      <c r="A76" t="s">
        <v>80</v>
      </c>
    </row>
    <row r="77" spans="1:2" x14ac:dyDescent="0.3">
      <c r="A77" t="s">
        <v>81</v>
      </c>
      <c r="B77" s="1" t="s">
        <v>128</v>
      </c>
    </row>
    <row r="78" spans="1:2" x14ac:dyDescent="0.3">
      <c r="A78" t="s">
        <v>130</v>
      </c>
      <c r="B78" s="1" t="s">
        <v>131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2025-11-07T14:47:55Z</dcterms:modified>
</cp:coreProperties>
</file>