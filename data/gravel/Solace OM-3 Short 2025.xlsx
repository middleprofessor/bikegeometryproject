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6891268-0FF3-AE4E-B2EB-ACA109EB417F}" xr6:coauthVersionLast="47" xr6:coauthVersionMax="47" xr10:uidLastSave="{00000000-0000-0000-0000-000000000000}"/>
  <bookViews>
    <workbookView xWindow="1200" yWindow="3040" windowWidth="2680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J28" i="1"/>
  <c r="K28" i="1"/>
  <c r="L28" i="1"/>
  <c r="J29" i="1"/>
  <c r="K29" i="1"/>
  <c r="L29" i="1"/>
  <c r="I29" i="1"/>
  <c r="I28" i="1"/>
  <c r="I30" i="1" s="1"/>
  <c r="I31" i="1" s="1"/>
  <c r="J27" i="1"/>
  <c r="K27" i="1"/>
  <c r="L27" i="1"/>
  <c r="I27" i="1"/>
  <c r="J24" i="1"/>
  <c r="J25" i="1" s="1"/>
  <c r="K24" i="1"/>
  <c r="K25" i="1" s="1"/>
  <c r="L24" i="1"/>
  <c r="L25" i="1" s="1"/>
  <c r="I24" i="1"/>
  <c r="I25" i="1" s="1"/>
  <c r="K30" i="1" l="1"/>
  <c r="K31" i="1" s="1"/>
  <c r="K33" i="1" s="1"/>
  <c r="J30" i="1"/>
  <c r="J31" i="1" s="1"/>
  <c r="L30" i="1"/>
  <c r="L31" i="1" s="1"/>
  <c r="K32" i="1"/>
  <c r="L33" i="1"/>
  <c r="L34" i="1" s="1"/>
  <c r="L35" i="1" s="1"/>
  <c r="L37" i="1" s="1"/>
  <c r="F16" i="1" s="1"/>
  <c r="L32" i="1"/>
  <c r="I32" i="1"/>
  <c r="I33" i="1"/>
  <c r="I34" i="1" s="1"/>
  <c r="I35" i="1" s="1"/>
  <c r="I37" i="1" s="1"/>
  <c r="J32" i="1" l="1"/>
  <c r="J33" i="1"/>
  <c r="J34" i="1" s="1"/>
  <c r="J35" i="1" s="1"/>
  <c r="J37" i="1" s="1"/>
  <c r="D16" i="1" s="1"/>
  <c r="K34" i="1"/>
  <c r="K35" i="1"/>
  <c r="K37" i="1" s="1"/>
  <c r="E16" i="1" s="1"/>
  <c r="C16" i="1"/>
</calcChain>
</file>

<file path=xl/sharedStrings.xml><?xml version="1.0" encoding="utf-8"?>
<sst xmlns="http://schemas.openxmlformats.org/spreadsheetml/2006/main" count="124" uniqueCount="109">
  <si>
    <t>brand</t>
  </si>
  <si>
    <t>Solace</t>
  </si>
  <si>
    <t>model</t>
  </si>
  <si>
    <t xml:space="preserve">OM-3 Short </t>
  </si>
  <si>
    <t>model_year</t>
  </si>
  <si>
    <t>2022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</si>
  <si>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</si>
  <si>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</si>
  <si>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</si>
  <si>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</si>
  <si>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</si>
  <si>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</si>
  <si>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</si>
  <si>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</si>
  <si>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</si>
  <si>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reach</t>
  </si>
  <si>
    <t>REACH</t>
  </si>
  <si>
    <t>stack</t>
  </si>
  <si>
    <t>STACK</t>
  </si>
  <si>
    <t>head_tube_angle</t>
  </si>
  <si>
    <t>HEAD TUBE ANGLE</t>
  </si>
  <si>
    <t>bottom_bracket_drop</t>
  </si>
  <si>
    <t>BB DROP</t>
  </si>
  <si>
    <t>wheelbase</t>
  </si>
  <si>
    <t>WHEELBASE</t>
  </si>
  <si>
    <t>chainstay_length</t>
  </si>
  <si>
    <t>CHAINSTAY LENGTH</t>
  </si>
  <si>
    <t>seat_tube_angle</t>
  </si>
  <si>
    <t>SEAT TUBE 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</si>
  <si>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</si>
  <si>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</si>
  <si>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</si>
  <si>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</si>
  <si>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</si>
  <si>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</si>
  <si>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</si>
  <si>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</si>
  <si>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</si>
  <si>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</si>
  <si>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</si>
  <si>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</si>
  <si>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</si>
  <si>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</si>
  <si>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</si>
  <si>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</si>
  <si>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</si>
  <si>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</si>
  <si>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</si>
  <si>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</si>
  <si>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</si>
  <si>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</si>
  <si>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</si>
  <si>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</si>
  <si>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</si>
  <si>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</si>
  <si>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</si>
  <si>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</si>
  <si>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</si>
  <si>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</si>
  <si>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</si>
  <si>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</si>
  <si>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</si>
  <si>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</si>
  <si>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</si>
  <si>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</si>
  <si>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</si>
  <si>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</si>
  <si>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</si>
  <si>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</si>
  <si>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</si>
  <si>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</si>
  <si>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</si>
  <si>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</si>
  <si>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</si>
  <si>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</si>
  <si>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</si>
  <si>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</si>
  <si>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</si>
  <si>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</si>
  <si>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</si>
  <si>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</si>
  <si>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</si>
  <si>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</si>
  <si>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</si>
  <si>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</si>
  <si>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</si>
  <si>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</si>
  <si>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</si>
  <si>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https://www.solacecycles.com/bikes/om-3</t>
  </si>
  <si>
    <t>Whisky MCX</t>
  </si>
  <si>
    <t>internal</t>
  </si>
  <si>
    <t>mid</t>
  </si>
  <si>
    <t>chainstay.h</t>
  </si>
  <si>
    <t>frontcenter.h</t>
  </si>
  <si>
    <t>alpha</t>
  </si>
  <si>
    <t>offset</t>
  </si>
  <si>
    <t>HTA rad</t>
  </si>
  <si>
    <t>ac</t>
  </si>
  <si>
    <t>beta</t>
  </si>
  <si>
    <t>ac.v</t>
  </si>
  <si>
    <t>beta deg</t>
  </si>
  <si>
    <t>h.v</t>
  </si>
  <si>
    <t>ht length</t>
  </si>
  <si>
    <t>crown race</t>
  </si>
  <si>
    <t>HT length</t>
  </si>
  <si>
    <t>chainstay mid</t>
  </si>
  <si>
    <t>wheelbase mid</t>
  </si>
  <si>
    <t>wheelbase.mid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</si>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</sst>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t="s">
        <v>1</v>
      </c>
    </row>
    <row r="2" spans="1:6" x14ac:dyDescent="0.3">
      <c r="A2" t="s">
        <v>2</v>
      </c>
      <c r="B2" t="s">
        <v>3</v>
      </c>
    </row>
    <row r="3" spans="1:6" x14ac:dyDescent="0.3">
      <c r="A3" t="s">
        <v>4</v>
      </c>
      <c r="B3" t="s">
        <v>5</v>
      </c>
    </row>
    <row r="4" spans="1:6" x14ac:dyDescent="0.3">
      <c r="A4" t="s">
        <v>6</v>
      </c>
      <c r="B4" s="2">
        <v>45920</v>
      </c>
    </row>
    <row r="5" spans="1:6" x14ac:dyDescent="0.3">
      <c r="A5" t="s">
        <v>7</v>
      </c>
      <c r="B5" t="s">
        <v>88</v>
      </c>
    </row>
    <row r="7" spans="1:6" x14ac:dyDescent="0.3">
      <c r="A7" t="s">
        <v>8</v>
      </c>
      <c r="B7" s="1" t="s">
        <v>108</v>
      </c>
    </row>
    <row r="8" spans="1:6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</row>
    <row r="9" spans="1:6" x14ac:dyDescent="0.3">
      <c r="A9" t="s">
        <v>15</v>
      </c>
      <c r="B9" t="s">
        <v>16</v>
      </c>
      <c r="C9">
        <v>370</v>
      </c>
      <c r="D9">
        <v>383</v>
      </c>
      <c r="E9">
        <v>403</v>
      </c>
      <c r="F9">
        <v>422</v>
      </c>
    </row>
    <row r="10" spans="1:6" x14ac:dyDescent="0.3">
      <c r="A10" t="s">
        <v>17</v>
      </c>
      <c r="B10" t="s">
        <v>18</v>
      </c>
      <c r="C10">
        <v>586</v>
      </c>
      <c r="D10">
        <v>609</v>
      </c>
      <c r="E10">
        <v>630</v>
      </c>
      <c r="F10">
        <v>651</v>
      </c>
    </row>
    <row r="11" spans="1:6" x14ac:dyDescent="0.3">
      <c r="A11" t="s">
        <v>19</v>
      </c>
      <c r="B11" t="s">
        <v>20</v>
      </c>
      <c r="C11">
        <v>70</v>
      </c>
      <c r="D11">
        <v>70.5</v>
      </c>
      <c r="E11">
        <v>70.5</v>
      </c>
      <c r="F11">
        <v>70.5</v>
      </c>
    </row>
    <row r="12" spans="1:6" x14ac:dyDescent="0.3">
      <c r="A12" t="s">
        <v>21</v>
      </c>
      <c r="B12" t="s">
        <v>22</v>
      </c>
      <c r="C12">
        <v>70</v>
      </c>
      <c r="D12">
        <v>70</v>
      </c>
      <c r="E12">
        <v>70</v>
      </c>
      <c r="F12">
        <v>70</v>
      </c>
    </row>
    <row r="13" spans="1:6" x14ac:dyDescent="0.3">
      <c r="A13" s="1" t="s">
        <v>107</v>
      </c>
      <c r="B13" t="s">
        <v>24</v>
      </c>
      <c r="C13">
        <v>1029</v>
      </c>
      <c r="D13">
        <v>1044</v>
      </c>
      <c r="E13">
        <v>1071</v>
      </c>
      <c r="F13">
        <v>1097</v>
      </c>
    </row>
    <row r="14" spans="1:6" x14ac:dyDescent="0.3">
      <c r="A14" t="s">
        <v>25</v>
      </c>
      <c r="B14" t="s">
        <v>26</v>
      </c>
      <c r="C14">
        <v>412</v>
      </c>
      <c r="D14">
        <v>412</v>
      </c>
      <c r="E14">
        <v>412</v>
      </c>
      <c r="F14">
        <v>412</v>
      </c>
    </row>
    <row r="15" spans="1:6" x14ac:dyDescent="0.3">
      <c r="A15" t="s">
        <v>27</v>
      </c>
      <c r="B15" t="s">
        <v>28</v>
      </c>
      <c r="C15">
        <v>73</v>
      </c>
      <c r="D15">
        <v>73</v>
      </c>
      <c r="E15">
        <v>73</v>
      </c>
      <c r="F15">
        <v>73</v>
      </c>
    </row>
    <row r="16" spans="1:6" x14ac:dyDescent="0.3">
      <c r="A16" t="s">
        <v>29</v>
      </c>
      <c r="B16" t="s">
        <v>29</v>
      </c>
      <c r="C16" s="3">
        <f>I37</f>
        <v>145.16322723728678</v>
      </c>
      <c r="D16" s="3">
        <f>J37</f>
        <v>167.35589931404664</v>
      </c>
      <c r="E16" s="3">
        <f>K37</f>
        <v>189.63372200533158</v>
      </c>
      <c r="F16" s="3">
        <f>L37</f>
        <v>211.91154469661652</v>
      </c>
    </row>
    <row r="17" spans="1:13" x14ac:dyDescent="0.3">
      <c r="A17" t="s">
        <v>23</v>
      </c>
      <c r="C17" s="3">
        <f>C13-9</f>
        <v>1020</v>
      </c>
      <c r="D17" s="3">
        <f t="shared" ref="D17:F17" si="0">D13-9</f>
        <v>1035</v>
      </c>
      <c r="E17" s="3">
        <f t="shared" si="0"/>
        <v>1062</v>
      </c>
      <c r="F17" s="3">
        <f t="shared" si="0"/>
        <v>1088</v>
      </c>
    </row>
    <row r="18" spans="1:13" x14ac:dyDescent="0.3">
      <c r="A18" t="s">
        <v>30</v>
      </c>
      <c r="B18" t="s">
        <v>30</v>
      </c>
    </row>
    <row r="19" spans="1:13" x14ac:dyDescent="0.3">
      <c r="A19" t="s">
        <v>31</v>
      </c>
      <c r="B19" t="s">
        <v>31</v>
      </c>
    </row>
    <row r="20" spans="1:13" x14ac:dyDescent="0.3">
      <c r="A20" t="s">
        <v>32</v>
      </c>
      <c r="B20" t="s">
        <v>32</v>
      </c>
      <c r="C20">
        <v>50</v>
      </c>
      <c r="D20">
        <v>50</v>
      </c>
      <c r="E20">
        <v>50</v>
      </c>
      <c r="F20">
        <v>50</v>
      </c>
      <c r="G20" s="1" t="s">
        <v>89</v>
      </c>
    </row>
    <row r="21" spans="1:13" x14ac:dyDescent="0.3">
      <c r="A21" t="s">
        <v>33</v>
      </c>
      <c r="B21" t="s">
        <v>33</v>
      </c>
      <c r="C21">
        <v>415</v>
      </c>
      <c r="D21">
        <v>415</v>
      </c>
      <c r="E21">
        <v>415</v>
      </c>
      <c r="F21">
        <v>415</v>
      </c>
      <c r="H21" t="s">
        <v>22</v>
      </c>
      <c r="I21">
        <v>70</v>
      </c>
      <c r="J21">
        <v>70</v>
      </c>
      <c r="K21">
        <v>70</v>
      </c>
      <c r="L21">
        <v>70</v>
      </c>
    </row>
    <row r="22" spans="1:13" x14ac:dyDescent="0.3">
      <c r="A22" t="s">
        <v>34</v>
      </c>
      <c r="B22" t="s">
        <v>34</v>
      </c>
      <c r="H22" s="1" t="s">
        <v>105</v>
      </c>
      <c r="I22">
        <v>421</v>
      </c>
      <c r="J22">
        <v>421</v>
      </c>
      <c r="K22">
        <v>421</v>
      </c>
      <c r="L22">
        <v>421</v>
      </c>
      <c r="M22" s="1" t="s">
        <v>91</v>
      </c>
    </row>
    <row r="23" spans="1:13" x14ac:dyDescent="0.3">
      <c r="A23" t="s">
        <v>35</v>
      </c>
      <c r="B23" t="s">
        <v>35</v>
      </c>
      <c r="H23" s="1" t="s">
        <v>106</v>
      </c>
      <c r="I23">
        <v>1029</v>
      </c>
      <c r="J23">
        <v>1044</v>
      </c>
      <c r="K23">
        <v>1071</v>
      </c>
      <c r="L23">
        <v>1097</v>
      </c>
      <c r="M23" s="1" t="s">
        <v>91</v>
      </c>
    </row>
    <row r="24" spans="1:13" x14ac:dyDescent="0.3">
      <c r="A24" t="s">
        <v>36</v>
      </c>
      <c r="B24" t="s">
        <v>36</v>
      </c>
      <c r="H24" s="1" t="s">
        <v>92</v>
      </c>
      <c r="I24">
        <f>SQRT(I22^2 -I21^2)</f>
        <v>415.13973551082773</v>
      </c>
      <c r="J24">
        <f t="shared" ref="J24:L24" si="1">SQRT(J22^2 -J21^2)</f>
        <v>415.13973551082773</v>
      </c>
      <c r="K24">
        <f t="shared" si="1"/>
        <v>415.13973551082773</v>
      </c>
      <c r="L24">
        <f t="shared" si="1"/>
        <v>415.13973551082773</v>
      </c>
    </row>
    <row r="25" spans="1:13" x14ac:dyDescent="0.3">
      <c r="A25" t="s">
        <v>37</v>
      </c>
      <c r="B25" t="s">
        <v>37</v>
      </c>
      <c r="H25" s="1" t="s">
        <v>93</v>
      </c>
      <c r="I25">
        <f>I23-I24</f>
        <v>613.86026448917232</v>
      </c>
      <c r="J25">
        <f t="shared" ref="J25:L25" si="2">J23-J24</f>
        <v>628.86026448917232</v>
      </c>
      <c r="K25">
        <f t="shared" si="2"/>
        <v>655.86026448917232</v>
      </c>
      <c r="L25">
        <f t="shared" si="2"/>
        <v>681.86026448917232</v>
      </c>
    </row>
    <row r="26" spans="1:13" x14ac:dyDescent="0.3">
      <c r="A26" t="s">
        <v>38</v>
      </c>
    </row>
    <row r="27" spans="1:13" x14ac:dyDescent="0.3">
      <c r="A27" t="s">
        <v>39</v>
      </c>
      <c r="B27" t="s">
        <v>39</v>
      </c>
      <c r="C27">
        <v>700</v>
      </c>
      <c r="D27">
        <v>700</v>
      </c>
      <c r="E27">
        <v>700</v>
      </c>
      <c r="F27">
        <v>700</v>
      </c>
      <c r="H27" s="1" t="s">
        <v>96</v>
      </c>
      <c r="I27" s="1">
        <f>C11*PI()/180</f>
        <v>1.2217304763960306</v>
      </c>
      <c r="J27" s="1">
        <f>D11*PI()/180</f>
        <v>1.2304571226560022</v>
      </c>
      <c r="K27" s="1">
        <f>E11*PI()/180</f>
        <v>1.2304571226560022</v>
      </c>
      <c r="L27" s="1">
        <f>F11*PI()/180</f>
        <v>1.2304571226560022</v>
      </c>
    </row>
    <row r="28" spans="1:13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H28" s="1" t="s">
        <v>95</v>
      </c>
      <c r="I28">
        <f t="shared" ref="I28:L29" si="3">C20</f>
        <v>50</v>
      </c>
      <c r="J28">
        <f t="shared" si="3"/>
        <v>50</v>
      </c>
      <c r="K28">
        <f t="shared" si="3"/>
        <v>50</v>
      </c>
      <c r="L28">
        <f t="shared" si="3"/>
        <v>50</v>
      </c>
    </row>
    <row r="29" spans="1:13" x14ac:dyDescent="0.3">
      <c r="A29" t="s">
        <v>41</v>
      </c>
      <c r="B29" t="s">
        <v>41</v>
      </c>
      <c r="C29">
        <v>56</v>
      </c>
      <c r="D29">
        <v>56</v>
      </c>
      <c r="E29">
        <v>56</v>
      </c>
      <c r="F29">
        <v>56</v>
      </c>
      <c r="H29" s="1" t="s">
        <v>97</v>
      </c>
      <c r="I29">
        <f t="shared" si="3"/>
        <v>415</v>
      </c>
      <c r="J29">
        <f t="shared" si="3"/>
        <v>415</v>
      </c>
      <c r="K29">
        <f t="shared" si="3"/>
        <v>415</v>
      </c>
      <c r="L29">
        <f t="shared" si="3"/>
        <v>415</v>
      </c>
    </row>
    <row r="30" spans="1:13" x14ac:dyDescent="0.3">
      <c r="A30" t="s">
        <v>42</v>
      </c>
      <c r="H30" s="1" t="s">
        <v>94</v>
      </c>
      <c r="I30" s="1">
        <f>ATAN(I28/I29)</f>
        <v>0.1199039853650239</v>
      </c>
      <c r="J30" s="1">
        <f t="shared" ref="J30:L30" si="4">ATAN(J28/J29)</f>
        <v>0.1199039853650239</v>
      </c>
      <c r="K30" s="1">
        <f t="shared" si="4"/>
        <v>0.1199039853650239</v>
      </c>
      <c r="L30" s="1">
        <f t="shared" si="4"/>
        <v>0.1199039853650239</v>
      </c>
    </row>
    <row r="31" spans="1:13" x14ac:dyDescent="0.3">
      <c r="A31" t="s">
        <v>43</v>
      </c>
      <c r="H31" s="1" t="s">
        <v>98</v>
      </c>
      <c r="I31">
        <f>I30 + (PI()/2 - I27)</f>
        <v>0.46896983576388984</v>
      </c>
      <c r="J31">
        <f t="shared" ref="J31:L31" si="5">J30 + (PI()/2 - J27)</f>
        <v>0.46024318950391829</v>
      </c>
      <c r="K31">
        <f t="shared" si="5"/>
        <v>0.46024318950391829</v>
      </c>
      <c r="L31">
        <f t="shared" si="5"/>
        <v>0.46024318950391829</v>
      </c>
    </row>
    <row r="32" spans="1:13" x14ac:dyDescent="0.3">
      <c r="H32" s="1" t="s">
        <v>100</v>
      </c>
      <c r="I32">
        <f>I31*180/PI()</f>
        <v>26.869992308214261</v>
      </c>
      <c r="J32">
        <f t="shared" ref="J32:L32" si="6">J31*180/PI()</f>
        <v>26.369992308214268</v>
      </c>
      <c r="K32">
        <f t="shared" si="6"/>
        <v>26.369992308214268</v>
      </c>
      <c r="L32">
        <f t="shared" si="6"/>
        <v>26.369992308214268</v>
      </c>
    </row>
    <row r="33" spans="1:12" x14ac:dyDescent="0.3">
      <c r="A33" t="s">
        <v>44</v>
      </c>
      <c r="B33" t="s">
        <v>45</v>
      </c>
      <c r="H33" s="1" t="s">
        <v>99</v>
      </c>
      <c r="I33">
        <f>COS(I31)*I29</f>
        <v>370.19426034779457</v>
      </c>
      <c r="J33">
        <f t="shared" ref="J33:L33" si="7">COS(J31)*J29</f>
        <v>371.81697061661282</v>
      </c>
      <c r="K33">
        <f t="shared" si="7"/>
        <v>371.81697061661282</v>
      </c>
      <c r="L33">
        <f t="shared" si="7"/>
        <v>371.81697061661282</v>
      </c>
    </row>
    <row r="34" spans="1:12" x14ac:dyDescent="0.3">
      <c r="A34" t="s">
        <v>82</v>
      </c>
      <c r="B34" t="s">
        <v>83</v>
      </c>
      <c r="H34" s="1" t="s">
        <v>101</v>
      </c>
      <c r="I34">
        <f>C10-I33-I21</f>
        <v>145.80573965220543</v>
      </c>
      <c r="J34">
        <f t="shared" ref="J34:L34" si="8">D10-J33-J21</f>
        <v>167.18302938338718</v>
      </c>
      <c r="K34">
        <f t="shared" si="8"/>
        <v>188.18302938338718</v>
      </c>
      <c r="L34">
        <f t="shared" si="8"/>
        <v>209.18302938338718</v>
      </c>
    </row>
    <row r="35" spans="1:12" x14ac:dyDescent="0.3">
      <c r="A35" t="s">
        <v>84</v>
      </c>
      <c r="B35" t="s">
        <v>85</v>
      </c>
      <c r="H35" s="1" t="s">
        <v>102</v>
      </c>
      <c r="I35">
        <f>I34/SIN(I27)</f>
        <v>155.16322723728678</v>
      </c>
      <c r="J35">
        <f>J34/SIN(J27)</f>
        <v>177.35589931404664</v>
      </c>
      <c r="K35">
        <f>K34/SIN(K27)</f>
        <v>199.63372200533158</v>
      </c>
      <c r="L35">
        <f>L34/SIN(L27)</f>
        <v>221.91154469661652</v>
      </c>
    </row>
    <row r="36" spans="1:12" x14ac:dyDescent="0.3">
      <c r="A36" t="s">
        <v>86</v>
      </c>
      <c r="B36" t="s">
        <v>87</v>
      </c>
      <c r="H36" s="1" t="s">
        <v>103</v>
      </c>
      <c r="I36">
        <v>10</v>
      </c>
      <c r="J36">
        <v>10</v>
      </c>
      <c r="K36">
        <v>10</v>
      </c>
      <c r="L36">
        <v>10</v>
      </c>
    </row>
    <row r="37" spans="1:12" x14ac:dyDescent="0.3">
      <c r="A37" t="s">
        <v>46</v>
      </c>
      <c r="B37" t="s">
        <v>47</v>
      </c>
      <c r="H37" s="1" t="s">
        <v>104</v>
      </c>
      <c r="I37" s="3">
        <f>I35-I36</f>
        <v>145.16322723728678</v>
      </c>
      <c r="J37" s="3">
        <f>J35-J36</f>
        <v>167.35589931404664</v>
      </c>
      <c r="K37" s="3">
        <f>K35-K36</f>
        <v>189.63372200533158</v>
      </c>
      <c r="L37" s="3">
        <f>L35-L36</f>
        <v>211.91154469661652</v>
      </c>
    </row>
    <row r="38" spans="1:12" x14ac:dyDescent="0.3">
      <c r="A38" t="s">
        <v>48</v>
      </c>
      <c r="I38">
        <v>145</v>
      </c>
      <c r="J38">
        <v>167</v>
      </c>
      <c r="K38">
        <v>190</v>
      </c>
      <c r="L38">
        <v>212</v>
      </c>
    </row>
    <row r="39" spans="1:12" x14ac:dyDescent="0.3">
      <c r="A39" t="s">
        <v>49</v>
      </c>
      <c r="B39">
        <v>18</v>
      </c>
      <c r="H39" s="1"/>
    </row>
    <row r="40" spans="1:12" x14ac:dyDescent="0.3">
      <c r="A40" t="s">
        <v>50</v>
      </c>
      <c r="B40">
        <v>56</v>
      </c>
    </row>
    <row r="41" spans="1:12" x14ac:dyDescent="0.3">
      <c r="A41" t="s">
        <v>51</v>
      </c>
    </row>
    <row r="42" spans="1:12" x14ac:dyDescent="0.3">
      <c r="A42" t="s">
        <v>52</v>
      </c>
    </row>
    <row r="43" spans="1:12" x14ac:dyDescent="0.3">
      <c r="A43" t="s">
        <v>53</v>
      </c>
    </row>
    <row r="44" spans="1:12" x14ac:dyDescent="0.3">
      <c r="A44" t="s">
        <v>54</v>
      </c>
    </row>
    <row r="45" spans="1:12" x14ac:dyDescent="0.3">
      <c r="A45" t="s">
        <v>55</v>
      </c>
    </row>
    <row r="46" spans="1:12" x14ac:dyDescent="0.3">
      <c r="A46" t="s">
        <v>56</v>
      </c>
    </row>
    <row r="47" spans="1:12" x14ac:dyDescent="0.3">
      <c r="A47" t="s">
        <v>57</v>
      </c>
    </row>
    <row r="48" spans="1:12" x14ac:dyDescent="0.3">
      <c r="A48" t="s">
        <v>58</v>
      </c>
    </row>
    <row r="49" spans="1:2" x14ac:dyDescent="0.3">
      <c r="A49" t="s">
        <v>59</v>
      </c>
    </row>
    <row r="50" spans="1:2" x14ac:dyDescent="0.3">
      <c r="A50" t="s">
        <v>60</v>
      </c>
    </row>
    <row r="51" spans="1:2" x14ac:dyDescent="0.3">
      <c r="A51" t="s">
        <v>61</v>
      </c>
    </row>
    <row r="52" spans="1:2" x14ac:dyDescent="0.3">
      <c r="A52" t="s">
        <v>62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</row>
    <row r="57" spans="1:2" x14ac:dyDescent="0.3">
      <c r="A57" t="s">
        <v>67</v>
      </c>
      <c r="B57" s="1" t="s">
        <v>90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</row>
    <row r="60" spans="1:2" x14ac:dyDescent="0.3">
      <c r="A60" t="s">
        <v>70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  <c r="B63">
        <v>2</v>
      </c>
    </row>
    <row r="64" spans="1:2" x14ac:dyDescent="0.3">
      <c r="A64" t="s">
        <v>74</v>
      </c>
    </row>
    <row r="65" spans="1:1" x14ac:dyDescent="0.3">
      <c r="A65" t="s">
        <v>75</v>
      </c>
    </row>
    <row r="66" spans="1:1" x14ac:dyDescent="0.3">
      <c r="A66" t="s">
        <v>76</v>
      </c>
    </row>
    <row r="67" spans="1:1" x14ac:dyDescent="0.3">
      <c r="A67" t="s">
        <v>77</v>
      </c>
    </row>
    <row r="68" spans="1:1" x14ac:dyDescent="0.3">
      <c r="A68" t="s">
        <v>78</v>
      </c>
    </row>
    <row r="69" spans="1:1" x14ac:dyDescent="0.3">
      <c r="A69" t="s">
        <v>79</v>
      </c>
    </row>
    <row r="70" spans="1:1" x14ac:dyDescent="0.3">
      <c r="A70" t="s">
        <v>80</v>
      </c>
    </row>
    <row r="71" spans="1:1" x14ac:dyDescent="0.3">
      <c r="A71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2025-09-21T16:53:38Z</dcterms:modified>
</cp:coreProperties>
</file>