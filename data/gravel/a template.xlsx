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AB877D1-6C6A-7546-A0C6-4A4D01241B8B}" xr6:coauthVersionLast="47" xr6:coauthVersionMax="47" xr10:uidLastSave="{00000000-0000-0000-0000-000000000000}"/>
  <bookViews>
    <workbookView xWindow="14040" yWindow="-17180" windowWidth="25680" windowHeight="16760" xr2:uid="{ABFFBBBD-2C2A-DA41-8959-3BF392F3D8AC}"/>
  </bookViews>
  <sheets>
    <sheet name="Cervelo Asper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H19" i="1"/>
  <c r="I19" i="1"/>
  <c r="D19" i="1"/>
  <c r="E18" i="1"/>
  <c r="F18" i="1"/>
  <c r="G18" i="1"/>
  <c r="H18" i="1"/>
  <c r="I18" i="1"/>
  <c r="D18" i="1"/>
  <c r="E16" i="1"/>
  <c r="F16" i="1"/>
  <c r="G16" i="1"/>
  <c r="H16" i="1"/>
  <c r="I16" i="1"/>
  <c r="D16" i="1"/>
</calcChain>
</file>

<file path=xl/sharedStrings.xml><?xml version="1.0" encoding="utf-8"?>
<sst xmlns="http://schemas.openxmlformats.org/spreadsheetml/2006/main" count="122" uniqueCount="83">
  <si>
    <t>model</t>
  </si>
  <si>
    <t>model year</t>
  </si>
  <si>
    <t>input date</t>
  </si>
  <si>
    <t>URL</t>
  </si>
  <si>
    <t>frame_size</t>
  </si>
  <si>
    <t>seat_tube_length</t>
  </si>
  <si>
    <t>top_tube_effective_length</t>
  </si>
  <si>
    <t>reach</t>
  </si>
  <si>
    <t>stack</t>
  </si>
  <si>
    <t>head_tube_length</t>
  </si>
  <si>
    <t>head_tube_angle</t>
  </si>
  <si>
    <t>seat_tube_angle</t>
  </si>
  <si>
    <t>front_center</t>
  </si>
  <si>
    <t>chainstay_length</t>
  </si>
  <si>
    <t>wheelbase</t>
  </si>
  <si>
    <t>bottom_bracket_drop</t>
  </si>
  <si>
    <t>axle_crown</t>
  </si>
  <si>
    <t>fork_offset_rake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</si>
  <si>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</si>
  <si>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</si>
  <si>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</si>
  <si>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</si>
  <si>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</si>
  <si>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</si>
  <si>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</si>
  <si>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</si>
  <si>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</si>
  <si>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</si>
  <si>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E - BB DROP (MM)</t>
  </si>
  <si>
    <t>F - *SEAT ANGLE°</t>
  </si>
  <si>
    <t>G - *HEAD ANGLE°</t>
  </si>
  <si>
    <t>H - FORK OFFSET</t>
  </si>
  <si>
    <t>I - STACK (MM)</t>
  </si>
  <si>
    <t>J - REACH (MM)</t>
  </si>
  <si>
    <t>K - WHEEL BASE (MM)</t>
  </si>
  <si>
    <t>DOWN TUBE OD</t>
  </si>
  <si>
    <t>TOP TUBE OD</t>
  </si>
  <si>
    <t>brand</t>
  </si>
  <si>
    <t>material</t>
  </si>
  <si>
    <t>frame weight</t>
  </si>
  <si>
    <t>UDH</t>
  </si>
  <si>
    <t>yes</t>
  </si>
  <si>
    <t>Head Tube Angle</t>
  </si>
  <si>
    <t>Seat Tube Angle</t>
  </si>
  <si>
    <t>Trail | mm</t>
  </si>
  <si>
    <t>Chumba</t>
  </si>
  <si>
    <t>Cenote</t>
  </si>
  <si>
    <t>https://chumbausa.com/cenote-titanium-suspension-gravel-bike</t>
  </si>
  <si>
    <t>titanium</t>
  </si>
  <si>
    <t>Measurement</t>
  </si>
  <si>
    <t>Suggested Rider</t>
  </si>
  <si>
    <t>&lt;5'3"</t>
  </si>
  <si>
    <t>5'4" - 5'7"</t>
  </si>
  <si>
    <t>5'8" - 5'10"</t>
  </si>
  <si>
    <t>5'10" - 6"</t>
  </si>
  <si>
    <t>6 - 6'1.5"</t>
  </si>
  <si>
    <t>6'2 - 6'3"</t>
  </si>
  <si>
    <t>Effective Top Tube</t>
  </si>
  <si>
    <t>70°</t>
  </si>
  <si>
    <t>Head Tube Length</t>
  </si>
  <si>
    <t>74.5°</t>
  </si>
  <si>
    <t>74°</t>
  </si>
  <si>
    <t>73.5°</t>
  </si>
  <si>
    <t>Seat Tube Length</t>
  </si>
  <si>
    <t>Chainstay Length</t>
  </si>
  <si>
    <t>425-445</t>
  </si>
  <si>
    <t>430-450</t>
  </si>
  <si>
    <t>Bottom Bracket Drop</t>
  </si>
  <si>
    <t>Wheelbase</t>
  </si>
  <si>
    <t>1015-1035</t>
  </si>
  <si>
    <t>1028-1048</t>
  </si>
  <si>
    <t>1050-1070</t>
  </si>
  <si>
    <t>1067-1087</t>
  </si>
  <si>
    <t>1084-2004</t>
  </si>
  <si>
    <t>1111-1131</t>
  </si>
  <si>
    <t>Standover Height</t>
  </si>
  <si>
    <t>28.7"</t>
  </si>
  <si>
    <t>29.7"</t>
  </si>
  <si>
    <t>30"</t>
  </si>
  <si>
    <t>31.9"</t>
  </si>
  <si>
    <t>32.7"</t>
  </si>
  <si>
    <t>Reach</t>
  </si>
  <si>
    <t>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</si>
</sst>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theme="1"/>
      <name val="Futura Medium"/>
    </font>
    <font>
      <b/>
      <sz val="12"/>
      <color rgb="FFFFFFFF"/>
      <name val="Inherit"/>
    </font>
    <font>
      <sz val="12"/>
      <color rgb="FF000000"/>
      <name val="Inherit"/>
    </font>
    <font>
      <b/>
      <sz val="12"/>
      <color theme="1"/>
      <name val="Inherit"/>
    </font>
    <font>
      <b/>
      <sz val="14"/>
      <color theme="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5" fontId="1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50800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38DC2D-E858-8C44-BCBB-D793340C9A17}"/>
            </a:ext>
          </a:extLst>
        </xdr:cNvPr>
        <xdr:cNvSpPr>
          <a:spLocks noChangeAspect="1" noChangeArrowheads="1"/>
        </xdr:cNvSpPr>
      </xdr:nvSpPr>
      <xdr:spPr bwMode="auto">
        <a:xfrm>
          <a:off x="223520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29</xdr:row>
      <xdr:rowOff>50800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17DF1B68-5743-5C42-AE7C-EAE776B227D6}"/>
            </a:ext>
          </a:extLst>
        </xdr:cNvPr>
        <xdr:cNvSpPr>
          <a:spLocks noChangeAspect="1" noChangeArrowheads="1"/>
        </xdr:cNvSpPr>
      </xdr:nvSpPr>
      <xdr:spPr bwMode="auto">
        <a:xfrm>
          <a:off x="3708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7818D9B2-83FF-3F41-9103-FB43F1544CEE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0</xdr:rowOff>
    </xdr:from>
    <xdr:ext cx="304800" cy="304800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072652A-5DDE-A54B-90E9-CC26FB9B856F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545F601-5ED2-6D42-9AE6-16E19AFD0D78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8D79FE7-8A0E-FD41-A37E-C21D1ADBA6A0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</xdr:row>
      <xdr:rowOff>0</xdr:rowOff>
    </xdr:from>
    <xdr:ext cx="304800" cy="304800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35AC469-7452-7949-AFBB-80F69ADA9BDC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88900</xdr:colOff>
      <xdr:row>27</xdr:row>
      <xdr:rowOff>114300</xdr:rowOff>
    </xdr:from>
    <xdr:ext cx="304800" cy="317500"/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2050D579-6446-F849-BEE4-FFC905AC63CB}"/>
            </a:ext>
          </a:extLst>
        </xdr:cNvPr>
        <xdr:cNvSpPr>
          <a:spLocks noChangeAspect="1" noChangeArrowheads="1"/>
        </xdr:cNvSpPr>
      </xdr:nvSpPr>
      <xdr:spPr bwMode="auto">
        <a:xfrm>
          <a:off x="9575800" y="62103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17500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C8362FDA-0932-B14E-944A-B44AF65D7550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0</xdr:rowOff>
    </xdr:from>
    <xdr:ext cx="304800" cy="3175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BE47742-2C1F-F54D-AC9E-3AADD3ABAD25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28</xdr:row>
      <xdr:rowOff>0</xdr:rowOff>
    </xdr:from>
    <xdr:ext cx="304800" cy="317500"/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6ECD7A36-9E4D-0E4B-A2F4-809DD25A0111}"/>
            </a:ext>
          </a:extLst>
        </xdr:cNvPr>
        <xdr:cNvSpPr>
          <a:spLocks noChangeAspect="1" noChangeArrowheads="1"/>
        </xdr:cNvSpPr>
      </xdr:nvSpPr>
      <xdr:spPr bwMode="auto">
        <a:xfrm>
          <a:off x="7010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17500"/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E0549CBF-CB10-B54B-9403-170FF3CC3D1F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</xdr:row>
      <xdr:rowOff>0</xdr:rowOff>
    </xdr:from>
    <xdr:ext cx="304800" cy="317500"/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612A7929-3B56-FE42-8899-1474AA71AFA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17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12700</xdr:colOff>
      <xdr:row>27</xdr:row>
      <xdr:rowOff>165100</xdr:rowOff>
    </xdr:from>
    <xdr:ext cx="304800" cy="30480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0118349-5BAA-D946-AD1B-E67D8BD82827}"/>
            </a:ext>
          </a:extLst>
        </xdr:cNvPr>
        <xdr:cNvSpPr>
          <a:spLocks noChangeAspect="1" noChangeArrowheads="1"/>
        </xdr:cNvSpPr>
      </xdr:nvSpPr>
      <xdr:spPr bwMode="auto">
        <a:xfrm>
          <a:off x="10248900" y="70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92797B-DDFA-4F4A-B804-D52B907AFB56}"/>
            </a:ext>
          </a:extLst>
        </xdr:cNvPr>
        <xdr:cNvSpPr>
          <a:spLocks noChangeAspect="1" noChangeArrowheads="1"/>
        </xdr:cNvSpPr>
      </xdr:nvSpPr>
      <xdr:spPr bwMode="auto">
        <a:xfrm>
          <a:off x="5359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0</xdr:rowOff>
    </xdr:from>
    <xdr:ext cx="304800" cy="304800"/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F3EB6EED-D2CE-684E-B486-D611D1FFE066}"/>
            </a:ext>
          </a:extLst>
        </xdr:cNvPr>
        <xdr:cNvSpPr>
          <a:spLocks noChangeAspect="1" noChangeArrowheads="1"/>
        </xdr:cNvSpPr>
      </xdr:nvSpPr>
      <xdr:spPr bwMode="auto">
        <a:xfrm>
          <a:off x="6184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0</xdr:colOff>
      <xdr:row>29</xdr:row>
      <xdr:rowOff>50800</xdr:rowOff>
    </xdr:from>
    <xdr:ext cx="304800" cy="304800"/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B901711F-16F5-0B47-AC09-EEB13ECFFE9F}"/>
            </a:ext>
          </a:extLst>
        </xdr:cNvPr>
        <xdr:cNvSpPr>
          <a:spLocks noChangeAspect="1" noChangeArrowheads="1"/>
        </xdr:cNvSpPr>
      </xdr:nvSpPr>
      <xdr:spPr bwMode="auto">
        <a:xfrm>
          <a:off x="12712700" y="74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28</xdr:row>
      <xdr:rowOff>0</xdr:rowOff>
    </xdr:from>
    <xdr:ext cx="304800" cy="304800"/>
    <xdr:sp macro="" textlink="">
      <xdr:nvSpPr>
        <xdr:cNvPr id="27" name="AutoShape 2">
          <a:extLst>
            <a:ext uri="{FF2B5EF4-FFF2-40B4-BE49-F238E27FC236}">
              <a16:creationId xmlns:a16="http://schemas.microsoft.com/office/drawing/2014/main" id="{247A2D5E-CADC-7442-9D45-311F8EFA59D5}"/>
            </a:ext>
          </a:extLst>
        </xdr:cNvPr>
        <xdr:cNvSpPr>
          <a:spLocks noChangeAspect="1" noChangeArrowheads="1"/>
        </xdr:cNvSpPr>
      </xdr:nvSpPr>
      <xdr:spPr bwMode="auto">
        <a:xfrm>
          <a:off x="86614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28</xdr:row>
      <xdr:rowOff>0</xdr:rowOff>
    </xdr:from>
    <xdr:ext cx="304800" cy="304800"/>
    <xdr:sp macro="" textlink="">
      <xdr:nvSpPr>
        <xdr:cNvPr id="28" name="AutoShape 2">
          <a:extLst>
            <a:ext uri="{FF2B5EF4-FFF2-40B4-BE49-F238E27FC236}">
              <a16:creationId xmlns:a16="http://schemas.microsoft.com/office/drawing/2014/main" id="{1BEBBE93-EDB2-844B-91C3-08F04644C9E7}"/>
            </a:ext>
          </a:extLst>
        </xdr:cNvPr>
        <xdr:cNvSpPr>
          <a:spLocks noChangeAspect="1" noChangeArrowheads="1"/>
        </xdr:cNvSpPr>
      </xdr:nvSpPr>
      <xdr:spPr bwMode="auto">
        <a:xfrm>
          <a:off x="9486900" y="63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2865921F-66BE-7845-A9F2-215DBDD79B9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0</xdr:rowOff>
    </xdr:from>
    <xdr:ext cx="304800" cy="304800"/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658584C-381D-5044-AE4E-1929155FB38D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304800" cy="304800"/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04F244B-2581-F744-BCAC-C2896FA4C8EC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28</xdr:row>
      <xdr:rowOff>0</xdr:rowOff>
    </xdr:from>
    <xdr:ext cx="304800" cy="304800"/>
    <xdr:sp macro="" textlink="">
      <xdr:nvSpPr>
        <xdr:cNvPr id="29" name="AutoShape 2">
          <a:extLst>
            <a:ext uri="{FF2B5EF4-FFF2-40B4-BE49-F238E27FC236}">
              <a16:creationId xmlns:a16="http://schemas.microsoft.com/office/drawing/2014/main" id="{D8B0BB83-3AFD-B540-AE65-841DEB2F4246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4FCB5D10-4672-7243-9D0A-07705234BED1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AF123A8D-0A31-1140-91D2-2AFEB31D57E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304800" cy="304800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341C746C-0C84-BF4C-841E-C5CD8D402789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28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BE0AAB82-FC40-7549-B727-60B837FFB35E}"/>
            </a:ext>
          </a:extLst>
        </xdr:cNvPr>
        <xdr:cNvSpPr>
          <a:spLocks noChangeAspect="1" noChangeArrowheads="1"/>
        </xdr:cNvSpPr>
      </xdr:nvSpPr>
      <xdr:spPr bwMode="auto">
        <a:xfrm>
          <a:off x="61976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19</xdr:row>
      <xdr:rowOff>0</xdr:rowOff>
    </xdr:from>
    <xdr:ext cx="304800" cy="2921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C73386B7-C1B0-4F47-A067-2CC70A23403B}"/>
            </a:ext>
          </a:extLst>
        </xdr:cNvPr>
        <xdr:cNvSpPr>
          <a:spLocks noChangeAspect="1" noChangeArrowheads="1"/>
        </xdr:cNvSpPr>
      </xdr:nvSpPr>
      <xdr:spPr bwMode="auto">
        <a:xfrm>
          <a:off x="5384800" y="4826000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35" name="AutoShape 2">
          <a:extLst>
            <a:ext uri="{FF2B5EF4-FFF2-40B4-BE49-F238E27FC236}">
              <a16:creationId xmlns:a16="http://schemas.microsoft.com/office/drawing/2014/main" id="{526B8CB6-8182-C942-8F13-2168D4AD14E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0</xdr:rowOff>
    </xdr:from>
    <xdr:ext cx="304800" cy="304800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0428ABC1-EA92-0047-80A4-D0DB21CD37EA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304800" cy="3048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BD420393-5B97-0A49-9C26-3C7E1FDB78D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28</xdr:row>
      <xdr:rowOff>0</xdr:rowOff>
    </xdr:from>
    <xdr:ext cx="304800" cy="304800"/>
    <xdr:sp macro="" textlink="">
      <xdr:nvSpPr>
        <xdr:cNvPr id="38" name="AutoShape 2">
          <a:extLst>
            <a:ext uri="{FF2B5EF4-FFF2-40B4-BE49-F238E27FC236}">
              <a16:creationId xmlns:a16="http://schemas.microsoft.com/office/drawing/2014/main" id="{2B5220EA-8961-244B-BBC8-5F2062C95193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</xdr:row>
      <xdr:rowOff>0</xdr:rowOff>
    </xdr:from>
    <xdr:ext cx="304800" cy="30480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74EB6EFA-6CFB-064F-A69A-FD76C1E2CB22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28</xdr:row>
      <xdr:rowOff>0</xdr:rowOff>
    </xdr:from>
    <xdr:ext cx="304800" cy="304800"/>
    <xdr:sp macro="" textlink="">
      <xdr:nvSpPr>
        <xdr:cNvPr id="40" name="AutoShape 2">
          <a:extLst>
            <a:ext uri="{FF2B5EF4-FFF2-40B4-BE49-F238E27FC236}">
              <a16:creationId xmlns:a16="http://schemas.microsoft.com/office/drawing/2014/main" id="{F93F93A5-9432-7648-807B-F03B242BD22C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0</xdr:rowOff>
    </xdr:from>
    <xdr:ext cx="304800" cy="304800"/>
    <xdr:sp macro="" textlink="">
      <xdr:nvSpPr>
        <xdr:cNvPr id="41" name="AutoShape 2">
          <a:extLst>
            <a:ext uri="{FF2B5EF4-FFF2-40B4-BE49-F238E27FC236}">
              <a16:creationId xmlns:a16="http://schemas.microsoft.com/office/drawing/2014/main" id="{6B302F67-6FDD-9E4B-822D-8A2F6D09684B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28</xdr:row>
      <xdr:rowOff>0</xdr:rowOff>
    </xdr:from>
    <xdr:ext cx="304800" cy="304800"/>
    <xdr:sp macro="" textlink="">
      <xdr:nvSpPr>
        <xdr:cNvPr id="42" name="AutoShape 2">
          <a:extLst>
            <a:ext uri="{FF2B5EF4-FFF2-40B4-BE49-F238E27FC236}">
              <a16:creationId xmlns:a16="http://schemas.microsoft.com/office/drawing/2014/main" id="{7603DDF9-1138-104A-91AC-9660EEE1F91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28</xdr:row>
      <xdr:rowOff>0</xdr:rowOff>
    </xdr:from>
    <xdr:ext cx="304800" cy="304800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9488326C-35BD-A745-93D3-00C603638239}"/>
            </a:ext>
          </a:extLst>
        </xdr:cNvPr>
        <xdr:cNvSpPr>
          <a:spLocks noChangeAspect="1" noChangeArrowheads="1"/>
        </xdr:cNvSpPr>
      </xdr:nvSpPr>
      <xdr:spPr bwMode="auto">
        <a:xfrm>
          <a:off x="4343400" y="71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DE37-3828-6849-A98A-EC05E320BDEE}">
  <dimension ref="A1:AB35"/>
  <sheetViews>
    <sheetView tabSelected="1" topLeftCell="A6" workbookViewId="0">
      <selection activeCell="A8" sqref="A8"/>
    </sheetView>
  </sheetViews>
  <sheetFormatPr baseColWidth="10" defaultRowHeight="20"/>
  <cols>
    <col min="1" max="2" width="29.33203125" style="1" bestFit="1" customWidth="1"/>
    <col min="3" max="3" width="27.6640625" style="1" customWidth="1"/>
    <col min="4" max="9" width="13.5" style="1" customWidth="1"/>
    <col min="10" max="16384" width="10.83203125" style="1"/>
  </cols>
  <sheetData>
    <row r="1" spans="1:28">
      <c r="B1" s="1" t="s">
        <v>37</v>
      </c>
      <c r="C1" s="1" t="s">
        <v>45</v>
      </c>
    </row>
    <row r="2" spans="1:28">
      <c r="B2" s="1" t="s">
        <v>0</v>
      </c>
      <c r="C2" s="1" t="s">
        <v>46</v>
      </c>
    </row>
    <row r="3" spans="1:28">
      <c r="B3" s="1" t="s">
        <v>1</v>
      </c>
      <c r="C3" s="1">
        <v>2025</v>
      </c>
    </row>
    <row r="4" spans="1:28">
      <c r="B4" s="1" t="s">
        <v>2</v>
      </c>
      <c r="C4" s="5">
        <v>45846</v>
      </c>
    </row>
    <row r="5" spans="1:28">
      <c r="B5" s="1" t="s">
        <v>3</v>
      </c>
      <c r="C5" s="1" t="s">
        <v>47</v>
      </c>
    </row>
    <row r="6" spans="1:28">
      <c r="B6" s="1" t="s">
        <v>38</v>
      </c>
      <c r="C6" s="1" t="s">
        <v>44</v>
      </c>
    </row>
    <row r="7" spans="1:28">
      <c r="B7" s="1" t="s">
        <v>39</v>
      </c>
      <c r="C7" s="1" t="s">
        <v>48</v>
      </c>
    </row>
    <row r="8" spans="1:28">
      <c r="B8" s="1" t="s">
        <v>40</v>
      </c>
      <c r="C8" s="1" t="s">
        <v>41</v>
      </c>
    </row>
    <row r="9" spans="1:28">
      <c r="B9" s="1" t="s">
        <v>4</v>
      </c>
      <c r="C9" t="s">
        <v>49</v>
      </c>
      <c r="D9" s="1">
        <v>50</v>
      </c>
      <c r="E9" s="1">
        <v>52</v>
      </c>
      <c r="F9" s="1">
        <v>54</v>
      </c>
      <c r="G9" s="1">
        <v>56</v>
      </c>
      <c r="H9" s="1">
        <v>58</v>
      </c>
      <c r="I9" s="1">
        <v>60</v>
      </c>
      <c r="K9" t="s">
        <v>49</v>
      </c>
      <c r="L9" s="1">
        <v>50</v>
      </c>
      <c r="M9" s="1">
        <v>52</v>
      </c>
      <c r="N9" s="1">
        <v>54</v>
      </c>
      <c r="O9" s="1">
        <v>56</v>
      </c>
      <c r="P9" s="1">
        <v>58</v>
      </c>
      <c r="Q9" s="1">
        <v>60</v>
      </c>
      <c r="T9" s="2" t="s">
        <v>28</v>
      </c>
      <c r="U9" s="2" t="s">
        <v>29</v>
      </c>
      <c r="V9" s="2" t="s">
        <v>30</v>
      </c>
      <c r="W9" s="2" t="s">
        <v>31</v>
      </c>
      <c r="X9" s="2" t="s">
        <v>32</v>
      </c>
      <c r="Y9" s="2" t="s">
        <v>33</v>
      </c>
      <c r="Z9" s="2" t="s">
        <v>34</v>
      </c>
      <c r="AA9" s="2" t="s">
        <v>35</v>
      </c>
      <c r="AB9" s="2" t="s">
        <v>36</v>
      </c>
    </row>
    <row r="10" spans="1:28">
      <c r="A10" s="1" t="s">
        <v>7</v>
      </c>
      <c r="C10" s="6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56</v>
      </c>
      <c r="K10" s="6" t="s">
        <v>50</v>
      </c>
      <c r="L10" s="1" t="s">
        <v>51</v>
      </c>
      <c r="M10" s="1" t="s">
        <v>52</v>
      </c>
      <c r="N10" s="1" t="s">
        <v>53</v>
      </c>
      <c r="O10" s="1" t="s">
        <v>54</v>
      </c>
      <c r="P10" s="1" t="s">
        <v>55</v>
      </c>
      <c r="Q10" s="1" t="s">
        <v>56</v>
      </c>
      <c r="T10" s="4"/>
      <c r="U10" s="4"/>
      <c r="V10" s="4"/>
      <c r="W10" s="4"/>
      <c r="X10" s="4"/>
      <c r="Y10" s="4"/>
      <c r="Z10" s="4"/>
      <c r="AA10" s="4"/>
      <c r="AB10" s="4"/>
    </row>
    <row r="11" spans="1:28">
      <c r="A11" s="1" t="s">
        <v>8</v>
      </c>
      <c r="C11" s="6" t="s">
        <v>57</v>
      </c>
      <c r="D11" s="1">
        <v>524</v>
      </c>
      <c r="E11" s="1">
        <v>542</v>
      </c>
      <c r="F11" s="1">
        <v>562</v>
      </c>
      <c r="G11" s="1">
        <v>578</v>
      </c>
      <c r="H11" s="1">
        <v>598</v>
      </c>
      <c r="I11" s="1">
        <v>618</v>
      </c>
      <c r="K11" s="6" t="s">
        <v>57</v>
      </c>
      <c r="L11" s="1">
        <v>524</v>
      </c>
      <c r="M11" s="1">
        <v>542</v>
      </c>
      <c r="N11" s="1">
        <v>562</v>
      </c>
      <c r="O11" s="1">
        <v>578</v>
      </c>
      <c r="P11" s="1">
        <v>598</v>
      </c>
      <c r="Q11" s="1">
        <v>618</v>
      </c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1" t="s">
        <v>10</v>
      </c>
      <c r="C12" s="6" t="s">
        <v>42</v>
      </c>
      <c r="D12" s="1">
        <v>70</v>
      </c>
      <c r="E12" s="1">
        <v>70</v>
      </c>
      <c r="F12" s="1">
        <v>70</v>
      </c>
      <c r="G12" s="1">
        <v>70</v>
      </c>
      <c r="H12" s="1">
        <v>70</v>
      </c>
      <c r="I12" s="1">
        <v>70</v>
      </c>
      <c r="K12" s="6" t="s">
        <v>42</v>
      </c>
      <c r="L12" s="1" t="s">
        <v>58</v>
      </c>
      <c r="M12" s="1" t="s">
        <v>58</v>
      </c>
      <c r="N12" s="1" t="s">
        <v>58</v>
      </c>
      <c r="O12" s="1" t="s">
        <v>58</v>
      </c>
      <c r="P12" s="1" t="s">
        <v>58</v>
      </c>
      <c r="Q12" s="1" t="s">
        <v>58</v>
      </c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1" t="s">
        <v>12</v>
      </c>
      <c r="C13" s="6" t="s">
        <v>59</v>
      </c>
      <c r="D13" s="1">
        <v>90</v>
      </c>
      <c r="E13" s="1">
        <v>100</v>
      </c>
      <c r="F13" s="1">
        <v>120</v>
      </c>
      <c r="G13" s="1">
        <v>140</v>
      </c>
      <c r="H13" s="1">
        <v>160</v>
      </c>
      <c r="I13" s="1">
        <v>180</v>
      </c>
      <c r="K13" s="6" t="s">
        <v>59</v>
      </c>
      <c r="L13" s="1">
        <v>90</v>
      </c>
      <c r="M13" s="1">
        <v>100</v>
      </c>
      <c r="N13" s="1">
        <v>120</v>
      </c>
      <c r="O13" s="1">
        <v>140</v>
      </c>
      <c r="P13" s="1">
        <v>160</v>
      </c>
      <c r="Q13" s="1">
        <v>180</v>
      </c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1" t="s">
        <v>15</v>
      </c>
      <c r="C14" s="6" t="s">
        <v>43</v>
      </c>
      <c r="D14" s="1">
        <v>74.5</v>
      </c>
      <c r="E14" s="1">
        <v>74</v>
      </c>
      <c r="F14" s="1">
        <v>74</v>
      </c>
      <c r="G14" s="1">
        <v>74</v>
      </c>
      <c r="H14" s="1">
        <v>74</v>
      </c>
      <c r="I14" s="1">
        <v>73.5</v>
      </c>
      <c r="K14" s="6" t="s">
        <v>43</v>
      </c>
      <c r="L14" s="1" t="s">
        <v>60</v>
      </c>
      <c r="M14" s="1" t="s">
        <v>61</v>
      </c>
      <c r="N14" s="1" t="s">
        <v>61</v>
      </c>
      <c r="O14" s="1" t="s">
        <v>61</v>
      </c>
      <c r="P14" s="1" t="s">
        <v>61</v>
      </c>
      <c r="Q14" s="1" t="s">
        <v>62</v>
      </c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1" t="s">
        <v>9</v>
      </c>
      <c r="C15" s="6" t="s">
        <v>63</v>
      </c>
      <c r="D15" s="1">
        <v>430</v>
      </c>
      <c r="E15" s="1">
        <v>465</v>
      </c>
      <c r="F15" s="1">
        <v>490</v>
      </c>
      <c r="G15" s="1">
        <v>495</v>
      </c>
      <c r="H15" s="1">
        <v>520</v>
      </c>
      <c r="I15" s="1">
        <v>545</v>
      </c>
      <c r="K15" s="6" t="s">
        <v>63</v>
      </c>
      <c r="L15" s="1">
        <v>430</v>
      </c>
      <c r="M15" s="1">
        <v>465</v>
      </c>
      <c r="N15" s="1">
        <v>490</v>
      </c>
      <c r="O15" s="1">
        <v>495</v>
      </c>
      <c r="P15" s="1">
        <v>520</v>
      </c>
      <c r="Q15" s="1">
        <v>545</v>
      </c>
      <c r="T15"/>
      <c r="U15"/>
      <c r="V15"/>
      <c r="W15"/>
      <c r="X15"/>
      <c r="Y15"/>
      <c r="Z15"/>
      <c r="AA15"/>
      <c r="AB15"/>
    </row>
    <row r="16" spans="1:28">
      <c r="A16" s="1" t="s">
        <v>6</v>
      </c>
      <c r="C16" s="6" t="s">
        <v>64</v>
      </c>
      <c r="D16" s="1">
        <f>VALUE(LEFT(L16,3))</f>
        <v>425</v>
      </c>
      <c r="E16" s="1">
        <f t="shared" ref="E16:I16" si="0">VALUE(LEFT(M16,3))</f>
        <v>425</v>
      </c>
      <c r="F16" s="1">
        <f t="shared" si="0"/>
        <v>425</v>
      </c>
      <c r="G16" s="1">
        <f t="shared" si="0"/>
        <v>425</v>
      </c>
      <c r="H16" s="1">
        <f t="shared" si="0"/>
        <v>425</v>
      </c>
      <c r="I16" s="1">
        <f t="shared" si="0"/>
        <v>430</v>
      </c>
      <c r="K16" s="6" t="s">
        <v>64</v>
      </c>
      <c r="L16" s="1" t="s">
        <v>65</v>
      </c>
      <c r="M16" s="1" t="s">
        <v>65</v>
      </c>
      <c r="N16" s="1" t="s">
        <v>65</v>
      </c>
      <c r="O16" s="1" t="s">
        <v>65</v>
      </c>
      <c r="P16" s="1" t="s">
        <v>65</v>
      </c>
      <c r="Q16" s="1" t="s">
        <v>66</v>
      </c>
    </row>
    <row r="17" spans="1:20">
      <c r="A17" s="1" t="s">
        <v>11</v>
      </c>
      <c r="C17" s="6" t="s">
        <v>67</v>
      </c>
      <c r="D17" s="1">
        <v>68</v>
      </c>
      <c r="E17" s="1">
        <v>68</v>
      </c>
      <c r="F17" s="1">
        <v>68</v>
      </c>
      <c r="G17" s="1">
        <v>68</v>
      </c>
      <c r="H17" s="1">
        <v>65</v>
      </c>
      <c r="I17" s="1">
        <v>65</v>
      </c>
      <c r="K17" s="6" t="s">
        <v>67</v>
      </c>
      <c r="L17" s="1">
        <v>68</v>
      </c>
      <c r="M17" s="1">
        <v>68</v>
      </c>
      <c r="N17" s="1">
        <v>68</v>
      </c>
      <c r="O17" s="1">
        <v>68</v>
      </c>
      <c r="P17" s="1">
        <v>65</v>
      </c>
      <c r="Q17" s="1">
        <v>65</v>
      </c>
    </row>
    <row r="18" spans="1:20">
      <c r="A18" s="1" t="s">
        <v>22</v>
      </c>
      <c r="C18" s="6" t="s">
        <v>68</v>
      </c>
      <c r="D18" s="1">
        <f>VALUE(LEFT(L18,4))</f>
        <v>1015</v>
      </c>
      <c r="E18" s="1">
        <f t="shared" ref="E18:I18" si="1">VALUE(LEFT(M18,4))</f>
        <v>1028</v>
      </c>
      <c r="F18" s="1">
        <f t="shared" si="1"/>
        <v>1050</v>
      </c>
      <c r="G18" s="1">
        <f t="shared" si="1"/>
        <v>1067</v>
      </c>
      <c r="H18" s="1">
        <f t="shared" si="1"/>
        <v>1084</v>
      </c>
      <c r="I18" s="1">
        <f t="shared" si="1"/>
        <v>1111</v>
      </c>
      <c r="K18" s="6" t="s">
        <v>68</v>
      </c>
      <c r="L18" s="1" t="s">
        <v>69</v>
      </c>
      <c r="M18" s="1" t="s">
        <v>70</v>
      </c>
      <c r="N18" s="1" t="s">
        <v>71</v>
      </c>
      <c r="O18" s="1" t="s">
        <v>72</v>
      </c>
      <c r="P18" s="1" t="s">
        <v>73</v>
      </c>
      <c r="Q18" s="1" t="s">
        <v>74</v>
      </c>
      <c r="T18"/>
    </row>
    <row r="19" spans="1:20">
      <c r="A19" s="1" t="s">
        <v>18</v>
      </c>
      <c r="C19" s="6" t="s">
        <v>75</v>
      </c>
      <c r="D19" s="1">
        <f>VALUE(LEFT(L19,4))*25.4</f>
        <v>728.9799999999999</v>
      </c>
      <c r="E19" s="1">
        <f t="shared" ref="E19:I19" si="2">VALUE(LEFT(M19,4))*25.4</f>
        <v>754.38</v>
      </c>
      <c r="F19" s="1">
        <f>VALUE(LEFT(N19,2))*25.4</f>
        <v>762</v>
      </c>
      <c r="G19" s="1">
        <f>VALUE(LEFT(O19,2))*25.4</f>
        <v>762</v>
      </c>
      <c r="H19" s="1">
        <f t="shared" si="2"/>
        <v>810.25999999999988</v>
      </c>
      <c r="I19" s="1">
        <f t="shared" si="2"/>
        <v>830.58</v>
      </c>
      <c r="K19" s="6" t="s">
        <v>75</v>
      </c>
      <c r="L19" s="1" t="s">
        <v>76</v>
      </c>
      <c r="M19" s="1" t="s">
        <v>77</v>
      </c>
      <c r="N19" s="1" t="s">
        <v>78</v>
      </c>
      <c r="O19" s="1" t="s">
        <v>78</v>
      </c>
      <c r="P19" s="1" t="s">
        <v>79</v>
      </c>
      <c r="Q19" s="1" t="s">
        <v>80</v>
      </c>
      <c r="T19"/>
    </row>
    <row r="20" spans="1:20">
      <c r="A20" s="1" t="s">
        <v>23</v>
      </c>
      <c r="C20" s="6" t="s">
        <v>81</v>
      </c>
      <c r="D20" s="1">
        <v>370</v>
      </c>
      <c r="E20" s="1">
        <v>380</v>
      </c>
      <c r="F20" s="1">
        <v>395</v>
      </c>
      <c r="G20" s="1">
        <v>405</v>
      </c>
      <c r="H20" s="1">
        <v>415</v>
      </c>
      <c r="I20" s="1">
        <v>430</v>
      </c>
      <c r="K20" s="6" t="s">
        <v>81</v>
      </c>
      <c r="L20" s="1">
        <v>370</v>
      </c>
      <c r="M20" s="1">
        <v>380</v>
      </c>
      <c r="N20" s="1">
        <v>395</v>
      </c>
      <c r="O20" s="1">
        <v>405</v>
      </c>
      <c r="P20" s="1">
        <v>415</v>
      </c>
      <c r="Q20" s="1">
        <v>430</v>
      </c>
      <c r="T20"/>
    </row>
    <row r="21" spans="1:20">
      <c r="A21" s="1" t="s">
        <v>17</v>
      </c>
      <c r="C21" s="6" t="s">
        <v>82</v>
      </c>
      <c r="D21" s="1">
        <v>555</v>
      </c>
      <c r="E21" s="1">
        <v>564</v>
      </c>
      <c r="F21" s="1">
        <v>583</v>
      </c>
      <c r="G21" s="1">
        <v>602</v>
      </c>
      <c r="H21" s="1">
        <v>618</v>
      </c>
      <c r="I21" s="1">
        <v>637</v>
      </c>
      <c r="K21" s="6" t="s">
        <v>82</v>
      </c>
      <c r="L21" s="1">
        <v>555</v>
      </c>
      <c r="M21" s="1">
        <v>564</v>
      </c>
      <c r="N21" s="1">
        <v>583</v>
      </c>
      <c r="O21" s="1">
        <v>602</v>
      </c>
      <c r="P21" s="1">
        <v>618</v>
      </c>
      <c r="Q21" s="1">
        <v>637</v>
      </c>
      <c r="T21"/>
    </row>
    <row r="22" spans="1:20">
      <c r="A22" s="1" t="s">
        <v>14</v>
      </c>
      <c r="C22" s="6"/>
      <c r="T22"/>
    </row>
    <row r="23" spans="1:20">
      <c r="A23" s="1" t="s">
        <v>13</v>
      </c>
      <c r="C23" s="6"/>
      <c r="T23"/>
    </row>
    <row r="24" spans="1:20">
      <c r="A24" s="1" t="s">
        <v>5</v>
      </c>
      <c r="T24"/>
    </row>
    <row r="25" spans="1:20">
      <c r="A25" s="1" t="s">
        <v>16</v>
      </c>
      <c r="T25"/>
    </row>
    <row r="26" spans="1:20">
      <c r="A26" s="1" t="s">
        <v>19</v>
      </c>
      <c r="T26"/>
    </row>
    <row r="27" spans="1:20">
      <c r="A27" s="1" t="s">
        <v>20</v>
      </c>
      <c r="T27"/>
    </row>
    <row r="28" spans="1:20">
      <c r="A28" s="1" t="s">
        <v>21</v>
      </c>
      <c r="T28"/>
    </row>
    <row r="29" spans="1:20">
      <c r="A29" s="1" t="s">
        <v>24</v>
      </c>
      <c r="D29" s="1">
        <v>50</v>
      </c>
      <c r="E29" s="1">
        <v>50</v>
      </c>
      <c r="F29" s="1">
        <v>50</v>
      </c>
      <c r="G29" s="1">
        <v>50</v>
      </c>
      <c r="H29" s="1">
        <v>50</v>
      </c>
      <c r="I29" s="1">
        <v>50</v>
      </c>
      <c r="T29"/>
    </row>
    <row r="30" spans="1:20">
      <c r="A30" s="1" t="s">
        <v>25</v>
      </c>
      <c r="D30" s="1">
        <v>50</v>
      </c>
      <c r="E30" s="1">
        <v>50</v>
      </c>
      <c r="F30" s="1">
        <v>50</v>
      </c>
      <c r="G30" s="1">
        <v>50</v>
      </c>
      <c r="H30" s="1">
        <v>50</v>
      </c>
      <c r="I30" s="1">
        <v>50</v>
      </c>
      <c r="T30"/>
    </row>
    <row r="31" spans="1:20">
      <c r="A31" s="1" t="s">
        <v>26</v>
      </c>
      <c r="D31" s="1">
        <v>150</v>
      </c>
      <c r="E31" s="1">
        <v>160</v>
      </c>
      <c r="F31" s="1">
        <v>168</v>
      </c>
      <c r="G31" s="1">
        <v>176</v>
      </c>
      <c r="H31" s="1">
        <v>184</v>
      </c>
      <c r="I31" s="1">
        <v>192</v>
      </c>
    </row>
    <row r="32" spans="1:20">
      <c r="A32" s="1" t="s">
        <v>27</v>
      </c>
      <c r="D32" s="1">
        <v>160</v>
      </c>
      <c r="E32" s="1">
        <v>168</v>
      </c>
      <c r="F32" s="1">
        <v>176</v>
      </c>
      <c r="G32" s="1">
        <v>184</v>
      </c>
      <c r="H32" s="1">
        <v>192</v>
      </c>
      <c r="I32" s="1">
        <v>200</v>
      </c>
    </row>
    <row r="33" spans="3:9">
      <c r="D33" s="1">
        <v>60</v>
      </c>
      <c r="E33" s="1">
        <v>63.5</v>
      </c>
      <c r="F33" s="1">
        <v>67.5</v>
      </c>
      <c r="G33" s="1">
        <v>70</v>
      </c>
      <c r="H33" s="1">
        <v>72</v>
      </c>
      <c r="I33" s="1">
        <v>73.5</v>
      </c>
    </row>
    <row r="34" spans="3:9">
      <c r="D34" s="1">
        <v>63.5</v>
      </c>
      <c r="E34" s="1">
        <v>67.5</v>
      </c>
      <c r="F34" s="1">
        <v>70</v>
      </c>
      <c r="G34" s="1">
        <v>72</v>
      </c>
      <c r="H34" s="1">
        <v>73.5</v>
      </c>
      <c r="I34" s="1">
        <v>75</v>
      </c>
    </row>
    <row r="35" spans="3:9">
      <c r="C35" s="6" t="s">
        <v>50</v>
      </c>
      <c r="D35" s="1" t="s">
        <v>51</v>
      </c>
      <c r="E35" s="1" t="s">
        <v>52</v>
      </c>
      <c r="F35" s="1" t="s">
        <v>53</v>
      </c>
      <c r="G35" s="1" t="s">
        <v>54</v>
      </c>
      <c r="H35" s="1" t="s">
        <v>55</v>
      </c>
      <c r="I35" s="1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Cervelo Aspero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2025-07-06T21:01:48Z</dcterms:created>
  <dcterms:modified xsi:type="dcterms:W3CDTF">2025-07-08T10:37:14Z</dcterms:modified>
</cp:coreProperties>
</file>