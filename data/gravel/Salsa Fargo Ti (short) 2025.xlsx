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230744-8511-2C41-9E95-0EFC2742E4B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C21" i="1"/>
  <c r="D18" i="1"/>
  <c r="E18" i="1"/>
  <c r="F18" i="1"/>
  <c r="G18" i="1"/>
  <c r="C18" i="1"/>
  <c r="H25" i="1"/>
</calcChain>
</file>

<file path=xl/sharedStrings.xml><?xml version="1.0" encoding="utf-8"?>
<sst xmlns="http://schemas.openxmlformats.org/spreadsheetml/2006/main" count="130" uniqueCount="119">
  <si>
    <t>brand</t>
  </si>
  <si>
    <t>Salsa</t>
  </si>
  <si>
    <t>model</t>
  </si>
  <si>
    <t>model_year</t>
  </si>
  <si>
    <t>input_date</t>
  </si>
  <si>
    <t>url</t>
  </si>
  <si>
    <t>data_range</t>
  </si>
  <si>
    <t>a8:g30</t>
  </si>
  <si>
    <t>frame_size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</si>
  <si>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</si>
  <si>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</si>
  <si>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</si>
  <si>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</si>
  <si>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</si>
  <si>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</si>
  <si>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</si>
  <si>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</si>
  <si>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</si>
  <si>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</si>
  <si>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</si>
  <si>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</si>
  <si>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</si>
  <si>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</si>
  <si>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</si>
  <si>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</si>
  <si>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</si>
  <si>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</si>
  <si>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</si>
  <si>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</si>
  <si>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</si>
  <si>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</si>
  <si>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</si>
  <si>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</si>
  <si>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</si>
  <si>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</si>
  <si>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</si>
  <si>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</si>
  <si>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</si>
  <si>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</si>
  <si>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</si>
  <si>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</si>
  <si>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</si>
  <si>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</si>
  <si>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</si>
  <si>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</si>
  <si>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</si>
  <si>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</si>
  <si>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</si>
  <si>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</si>
  <si>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</si>
  <si>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</si>
  <si>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</si>
  <si>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</si>
  <si>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</si>
  <si>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</si>
  <si>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</si>
  <si>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</si>
  <si>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</si>
  <si>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</si>
  <si>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</si>
  <si>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</si>
  <si>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</si>
  <si>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</si>
  <si>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</si>
  <si>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</si>
  <si>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</si>
  <si>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</si>
  <si>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</si>
  <si>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</si>
  <si>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</si>
  <si>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</si>
  <si>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</si>
  <si>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</si>
  <si>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</si>
  <si>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</si>
  <si>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</si>
  <si>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</si>
  <si>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</si>
  <si>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</si>
  <si>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</si>
  <si>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</si>
  <si>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</si>
  <si>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</si>
  <si>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</si>
  <si>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</si>
  <si>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</si>
  <si>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</si>
  <si>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</si>
  <si>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</si>
  <si>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</si>
  <si>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https://www.salsacycles.com/collections/fargo</t>
  </si>
  <si>
    <t>USD</t>
  </si>
  <si>
    <t>445.0- 462.0</t>
  </si>
  <si>
    <t>1050.0- 1067.0</t>
  </si>
  <si>
    <t>1067.0- 1084.0</t>
  </si>
  <si>
    <t>1083.0- 1100.0</t>
  </si>
  <si>
    <t>1110.0- 1127.0</t>
  </si>
  <si>
    <t>1141.0- 1158.0</t>
  </si>
  <si>
    <t>Salsa Cutthroat fork</t>
  </si>
  <si>
    <t>threaded 73</t>
  </si>
  <si>
    <t>yes</t>
  </si>
  <si>
    <t>no</t>
  </si>
  <si>
    <t>Fargo Ti (short)</t>
  </si>
  <si>
    <t>titanium</t>
  </si>
  <si>
    <t>Size</t>
  </si>
  <si>
    <t>X-Small</t>
  </si>
  <si>
    <t>Small</t>
  </si>
  <si>
    <t>Medium</t>
  </si>
  <si>
    <t>Large</t>
  </si>
  <si>
    <t>X-Large</t>
  </si>
  <si>
    <t>https://www.salsacycles.com/cdn/shop/files/salsa-fargo-ti-frameset-FM0872-1920x1080-uc-1.png?v=1739315596</t>
  </si>
  <si>
    <t>location</t>
  </si>
  <si>
    <t>Bloomington, Minnesota,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</si>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</sst>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1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45932</v>
      </c>
    </row>
    <row r="5" spans="1:7" x14ac:dyDescent="0.3">
      <c r="A5" t="s">
        <v>5</v>
      </c>
      <c r="B5" t="s">
        <v>90</v>
      </c>
    </row>
    <row r="6" spans="1:7" x14ac:dyDescent="0.3">
      <c r="B6" t="s">
        <v>110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</row>
    <row r="9" spans="1:7" x14ac:dyDescent="0.3">
      <c r="A9" t="s">
        <v>9</v>
      </c>
      <c r="B9" t="s">
        <v>10</v>
      </c>
      <c r="C9">
        <v>520</v>
      </c>
      <c r="D9">
        <v>540</v>
      </c>
      <c r="E9">
        <v>565</v>
      </c>
      <c r="F9">
        <v>590</v>
      </c>
      <c r="G9">
        <v>620</v>
      </c>
    </row>
    <row r="10" spans="1:7" x14ac:dyDescent="0.3">
      <c r="A10" t="s">
        <v>11</v>
      </c>
      <c r="B10" t="s">
        <v>12</v>
      </c>
      <c r="C10">
        <v>692</v>
      </c>
      <c r="D10">
        <v>734</v>
      </c>
      <c r="E10">
        <v>781</v>
      </c>
      <c r="F10">
        <v>823</v>
      </c>
      <c r="G10">
        <v>861</v>
      </c>
    </row>
    <row r="11" spans="1:7" x14ac:dyDescent="0.3">
      <c r="A11" t="s">
        <v>13</v>
      </c>
      <c r="B11" t="s">
        <v>14</v>
      </c>
      <c r="C11">
        <v>350</v>
      </c>
      <c r="D11">
        <v>364</v>
      </c>
      <c r="E11">
        <v>368</v>
      </c>
      <c r="F11">
        <v>385</v>
      </c>
      <c r="G11">
        <v>409</v>
      </c>
    </row>
    <row r="12" spans="1:7" x14ac:dyDescent="0.3">
      <c r="A12" t="s">
        <v>15</v>
      </c>
      <c r="B12" t="s">
        <v>16</v>
      </c>
      <c r="C12">
        <v>594</v>
      </c>
      <c r="D12">
        <v>615</v>
      </c>
      <c r="E12">
        <v>643</v>
      </c>
      <c r="F12">
        <v>671</v>
      </c>
      <c r="G12">
        <v>690</v>
      </c>
    </row>
    <row r="13" spans="1:7" x14ac:dyDescent="0.3">
      <c r="A13" t="s">
        <v>17</v>
      </c>
      <c r="B13" t="s">
        <v>18</v>
      </c>
      <c r="C13">
        <v>355.6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19</v>
      </c>
      <c r="B14" t="s">
        <v>20</v>
      </c>
      <c r="C14">
        <v>90</v>
      </c>
      <c r="D14">
        <v>110</v>
      </c>
      <c r="E14">
        <v>140</v>
      </c>
      <c r="F14">
        <v>170</v>
      </c>
      <c r="G14">
        <v>190</v>
      </c>
    </row>
    <row r="15" spans="1:7" x14ac:dyDescent="0.3">
      <c r="A15" t="s">
        <v>21</v>
      </c>
      <c r="B15" t="s">
        <v>22</v>
      </c>
      <c r="C15">
        <v>68.5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23</v>
      </c>
      <c r="B16" t="s">
        <v>24</v>
      </c>
      <c r="C16">
        <v>74</v>
      </c>
      <c r="D16">
        <v>74</v>
      </c>
      <c r="E16">
        <v>73</v>
      </c>
      <c r="F16">
        <v>73</v>
      </c>
      <c r="G16">
        <v>73</v>
      </c>
    </row>
    <row r="17" spans="1:12" x14ac:dyDescent="0.3">
      <c r="A17" t="s">
        <v>25</v>
      </c>
      <c r="B17" t="s">
        <v>26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12" x14ac:dyDescent="0.3">
      <c r="A18" t="s">
        <v>27</v>
      </c>
      <c r="B18" t="s">
        <v>28</v>
      </c>
      <c r="C18">
        <f>VALUE(LEFT(H18,3))</f>
        <v>445</v>
      </c>
      <c r="D18">
        <f t="shared" ref="D18:G18" si="0">VALUE(LEFT(I18,3))</f>
        <v>445</v>
      </c>
      <c r="E18">
        <f t="shared" si="0"/>
        <v>445</v>
      </c>
      <c r="F18">
        <f t="shared" si="0"/>
        <v>445</v>
      </c>
      <c r="G18">
        <f t="shared" si="0"/>
        <v>445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</row>
    <row r="19" spans="1:12" x14ac:dyDescent="0.3">
      <c r="A19" t="s">
        <v>29</v>
      </c>
      <c r="B19" t="s">
        <v>30</v>
      </c>
      <c r="C19">
        <v>480</v>
      </c>
      <c r="D19">
        <v>480</v>
      </c>
      <c r="E19">
        <v>480</v>
      </c>
      <c r="F19">
        <v>480</v>
      </c>
      <c r="G19">
        <v>480</v>
      </c>
      <c r="H19" s="2" t="s">
        <v>98</v>
      </c>
    </row>
    <row r="20" spans="1:12" x14ac:dyDescent="0.3">
      <c r="A20" t="s">
        <v>31</v>
      </c>
      <c r="B20" t="s">
        <v>32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12" x14ac:dyDescent="0.3">
      <c r="A21" t="s">
        <v>33</v>
      </c>
      <c r="B21" t="s">
        <v>34</v>
      </c>
      <c r="C21">
        <f>VALUE(LEFT(H21,4))</f>
        <v>1050</v>
      </c>
      <c r="D21">
        <f t="shared" ref="D21:G21" si="1">VALUE(LEFT(I21,4))</f>
        <v>1067</v>
      </c>
      <c r="E21">
        <f t="shared" si="1"/>
        <v>1083</v>
      </c>
      <c r="F21">
        <f t="shared" si="1"/>
        <v>1110</v>
      </c>
      <c r="G21">
        <f t="shared" si="1"/>
        <v>1141</v>
      </c>
      <c r="H21" t="s">
        <v>93</v>
      </c>
      <c r="I21" t="s">
        <v>94</v>
      </c>
      <c r="J21" t="s">
        <v>95</v>
      </c>
      <c r="K21" t="s">
        <v>96</v>
      </c>
      <c r="L21" t="s">
        <v>97</v>
      </c>
    </row>
    <row r="22" spans="1:12" x14ac:dyDescent="0.3">
      <c r="A22" t="s">
        <v>35</v>
      </c>
      <c r="B22" t="s">
        <v>36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12" x14ac:dyDescent="0.3">
      <c r="A23" t="s">
        <v>37</v>
      </c>
      <c r="B23" t="s">
        <v>38</v>
      </c>
      <c r="C23">
        <v>440</v>
      </c>
      <c r="D23">
        <v>460</v>
      </c>
      <c r="E23">
        <v>480</v>
      </c>
      <c r="F23">
        <v>500</v>
      </c>
      <c r="G23">
        <v>520</v>
      </c>
    </row>
    <row r="24" spans="1:12" x14ac:dyDescent="0.3">
      <c r="A24" t="s">
        <v>39</v>
      </c>
      <c r="B24" t="s">
        <v>40</v>
      </c>
      <c r="C24">
        <v>60</v>
      </c>
      <c r="D24">
        <v>70</v>
      </c>
      <c r="E24">
        <v>70</v>
      </c>
      <c r="F24">
        <v>80</v>
      </c>
      <c r="G24">
        <v>80</v>
      </c>
    </row>
    <row r="25" spans="1:12" x14ac:dyDescent="0.3">
      <c r="A25" t="s">
        <v>41</v>
      </c>
      <c r="E25">
        <v>2127</v>
      </c>
      <c r="H25">
        <f>6.3/2.205*1000 - 730</f>
        <v>2127.1428571428569</v>
      </c>
    </row>
    <row r="26" spans="1:12" x14ac:dyDescent="0.3">
      <c r="A26" t="s">
        <v>42</v>
      </c>
      <c r="B26" t="s">
        <v>42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12" x14ac:dyDescent="0.3">
      <c r="A27" t="s">
        <v>43</v>
      </c>
      <c r="B27" t="s">
        <v>43</v>
      </c>
      <c r="C27">
        <v>2.2000000000000002</v>
      </c>
      <c r="D27">
        <v>2.2000000000000002</v>
      </c>
      <c r="E27">
        <v>2.2000000000000002</v>
      </c>
      <c r="F27">
        <v>2.2000000000000002</v>
      </c>
      <c r="G27">
        <v>2.2000000000000002</v>
      </c>
    </row>
    <row r="28" spans="1:12" x14ac:dyDescent="0.3">
      <c r="A28" t="s">
        <v>44</v>
      </c>
      <c r="B28" t="s">
        <v>44</v>
      </c>
      <c r="C28">
        <v>2.6</v>
      </c>
      <c r="D28">
        <v>3</v>
      </c>
      <c r="E28">
        <v>3</v>
      </c>
      <c r="F28">
        <v>3</v>
      </c>
      <c r="G28">
        <v>3</v>
      </c>
    </row>
    <row r="29" spans="1:12" x14ac:dyDescent="0.3">
      <c r="A29" t="s">
        <v>45</v>
      </c>
      <c r="B29" t="s">
        <v>45</v>
      </c>
      <c r="C29">
        <v>150</v>
      </c>
      <c r="D29">
        <v>160</v>
      </c>
      <c r="E29">
        <v>173</v>
      </c>
      <c r="F29">
        <v>180</v>
      </c>
      <c r="G29">
        <v>188</v>
      </c>
    </row>
    <row r="30" spans="1:12" x14ac:dyDescent="0.3">
      <c r="A30" t="s">
        <v>46</v>
      </c>
      <c r="B30" t="s">
        <v>46</v>
      </c>
      <c r="C30">
        <v>160</v>
      </c>
      <c r="D30">
        <v>175</v>
      </c>
      <c r="E30">
        <v>183</v>
      </c>
      <c r="F30">
        <v>191</v>
      </c>
      <c r="G30">
        <v>198</v>
      </c>
    </row>
    <row r="32" spans="1:12" x14ac:dyDescent="0.3">
      <c r="A32" t="s">
        <v>47</v>
      </c>
      <c r="B32" t="s">
        <v>48</v>
      </c>
    </row>
    <row r="33" spans="1:2" x14ac:dyDescent="0.3">
      <c r="A33" t="s">
        <v>84</v>
      </c>
      <c r="B33" t="s">
        <v>85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49</v>
      </c>
      <c r="B36" s="2" t="s">
        <v>103</v>
      </c>
    </row>
    <row r="37" spans="1:2" x14ac:dyDescent="0.3">
      <c r="A37" t="s">
        <v>50</v>
      </c>
    </row>
    <row r="38" spans="1:2" x14ac:dyDescent="0.3">
      <c r="A38" t="s">
        <v>51</v>
      </c>
      <c r="B38">
        <v>17</v>
      </c>
    </row>
    <row r="39" spans="1:2" x14ac:dyDescent="0.3">
      <c r="A39" t="s">
        <v>52</v>
      </c>
      <c r="B39">
        <v>3</v>
      </c>
    </row>
    <row r="40" spans="1:2" x14ac:dyDescent="0.3">
      <c r="A40" t="s">
        <v>53</v>
      </c>
      <c r="B40">
        <v>3</v>
      </c>
    </row>
    <row r="41" spans="1:2" x14ac:dyDescent="0.3">
      <c r="A41" t="s">
        <v>54</v>
      </c>
      <c r="B41">
        <v>100</v>
      </c>
    </row>
    <row r="42" spans="1:2" x14ac:dyDescent="0.3">
      <c r="A42" t="s">
        <v>55</v>
      </c>
    </row>
    <row r="43" spans="1:2" x14ac:dyDescent="0.3">
      <c r="A43" t="s">
        <v>56</v>
      </c>
    </row>
    <row r="44" spans="1:2" x14ac:dyDescent="0.3">
      <c r="A44" t="s">
        <v>57</v>
      </c>
    </row>
    <row r="45" spans="1:2" x14ac:dyDescent="0.3">
      <c r="A45" t="s">
        <v>58</v>
      </c>
      <c r="B45">
        <v>148</v>
      </c>
    </row>
    <row r="46" spans="1:2" x14ac:dyDescent="0.3">
      <c r="A46" t="s">
        <v>59</v>
      </c>
      <c r="B46">
        <v>110</v>
      </c>
    </row>
    <row r="47" spans="1:2" x14ac:dyDescent="0.3">
      <c r="A47" t="s">
        <v>113</v>
      </c>
    </row>
    <row r="48" spans="1:2" x14ac:dyDescent="0.3">
      <c r="A48" t="s">
        <v>114</v>
      </c>
    </row>
    <row r="49" spans="1:2" x14ac:dyDescent="0.3">
      <c r="A49" t="s">
        <v>115</v>
      </c>
    </row>
    <row r="50" spans="1:2" x14ac:dyDescent="0.3">
      <c r="A50" t="s">
        <v>116</v>
      </c>
    </row>
    <row r="51" spans="1:2" x14ac:dyDescent="0.3">
      <c r="A51" t="s">
        <v>117</v>
      </c>
    </row>
    <row r="52" spans="1:2" x14ac:dyDescent="0.3">
      <c r="A52" t="s">
        <v>118</v>
      </c>
    </row>
    <row r="53" spans="1:2" x14ac:dyDescent="0.3">
      <c r="A53" t="s">
        <v>60</v>
      </c>
      <c r="B53" s="2" t="s">
        <v>99</v>
      </c>
    </row>
    <row r="54" spans="1:2" x14ac:dyDescent="0.3">
      <c r="A54" t="s">
        <v>61</v>
      </c>
    </row>
    <row r="55" spans="1:2" x14ac:dyDescent="0.3">
      <c r="A55" t="s">
        <v>62</v>
      </c>
      <c r="B55">
        <v>27.2</v>
      </c>
    </row>
    <row r="56" spans="1:2" x14ac:dyDescent="0.3">
      <c r="A56" t="s">
        <v>63</v>
      </c>
      <c r="B56" s="2" t="s">
        <v>100</v>
      </c>
    </row>
    <row r="57" spans="1:2" x14ac:dyDescent="0.3">
      <c r="A57" t="s">
        <v>64</v>
      </c>
      <c r="B57">
        <v>36</v>
      </c>
    </row>
    <row r="58" spans="1:2" x14ac:dyDescent="0.3">
      <c r="A58" t="s">
        <v>65</v>
      </c>
      <c r="B58">
        <v>42</v>
      </c>
    </row>
    <row r="59" spans="1:2" x14ac:dyDescent="0.3">
      <c r="A59" t="s">
        <v>66</v>
      </c>
      <c r="B59">
        <v>180</v>
      </c>
    </row>
    <row r="60" spans="1:2" x14ac:dyDescent="0.3">
      <c r="A60" t="s">
        <v>67</v>
      </c>
      <c r="B60">
        <v>160</v>
      </c>
    </row>
    <row r="61" spans="1:2" x14ac:dyDescent="0.3">
      <c r="A61" t="s">
        <v>68</v>
      </c>
    </row>
    <row r="62" spans="1:2" x14ac:dyDescent="0.3">
      <c r="A62" t="s">
        <v>69</v>
      </c>
    </row>
    <row r="63" spans="1:2" x14ac:dyDescent="0.3">
      <c r="A63" t="s">
        <v>70</v>
      </c>
      <c r="B63" s="2" t="s">
        <v>101</v>
      </c>
    </row>
    <row r="64" spans="1:2" x14ac:dyDescent="0.3">
      <c r="A64" t="s">
        <v>71</v>
      </c>
    </row>
    <row r="65" spans="1:2" x14ac:dyDescent="0.3">
      <c r="A65" t="s">
        <v>72</v>
      </c>
    </row>
    <row r="66" spans="1:2" x14ac:dyDescent="0.3">
      <c r="A66" t="s">
        <v>73</v>
      </c>
      <c r="B66">
        <v>2</v>
      </c>
    </row>
    <row r="67" spans="1:2" x14ac:dyDescent="0.3">
      <c r="A67" t="s">
        <v>74</v>
      </c>
      <c r="B67">
        <v>1</v>
      </c>
    </row>
    <row r="68" spans="1:2" x14ac:dyDescent="0.3">
      <c r="A68" t="s">
        <v>75</v>
      </c>
    </row>
    <row r="69" spans="1:2" x14ac:dyDescent="0.3">
      <c r="A69" t="s">
        <v>76</v>
      </c>
      <c r="B69">
        <v>3</v>
      </c>
    </row>
    <row r="70" spans="1:2" x14ac:dyDescent="0.3">
      <c r="A70" t="s">
        <v>77</v>
      </c>
    </row>
    <row r="71" spans="1:2" x14ac:dyDescent="0.3">
      <c r="A71" t="s">
        <v>78</v>
      </c>
      <c r="B71" s="2" t="s">
        <v>100</v>
      </c>
    </row>
    <row r="72" spans="1:2" x14ac:dyDescent="0.3">
      <c r="A72" t="s">
        <v>79</v>
      </c>
      <c r="B72" s="2" t="s">
        <v>100</v>
      </c>
    </row>
    <row r="73" spans="1:2" x14ac:dyDescent="0.3">
      <c r="A73" t="s">
        <v>80</v>
      </c>
      <c r="B73">
        <v>999</v>
      </c>
    </row>
    <row r="74" spans="1:2" x14ac:dyDescent="0.3">
      <c r="A74" t="s">
        <v>81</v>
      </c>
      <c r="B74">
        <v>2599</v>
      </c>
    </row>
    <row r="75" spans="1:2" x14ac:dyDescent="0.3">
      <c r="A75" t="s">
        <v>82</v>
      </c>
    </row>
    <row r="76" spans="1:2" x14ac:dyDescent="0.3">
      <c r="A76" t="s">
        <v>83</v>
      </c>
      <c r="B76" s="2" t="s">
        <v>91</v>
      </c>
    </row>
    <row r="77" spans="1:2" x14ac:dyDescent="0.3">
      <c r="A77" t="s">
        <v>111</v>
      </c>
      <c r="B77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2025-11-07T14:47:24Z</dcterms:modified>
</cp:coreProperties>
</file>