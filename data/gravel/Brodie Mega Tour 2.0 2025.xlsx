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508D50E-727C-474D-8C04-105F646D0DFF}" xr6:coauthVersionLast="47" xr6:coauthVersionMax="47" xr10:uidLastSave="{00000000-0000-0000-0000-000000000000}"/>
  <bookViews>
    <workbookView xWindow="6140" yWindow="8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E14" i="1"/>
  <c r="F14" i="1"/>
  <c r="C14" i="1"/>
  <c r="C31" i="1"/>
  <c r="D31" i="1"/>
  <c r="E31" i="1"/>
  <c r="F31" i="1"/>
  <c r="D30" i="1"/>
  <c r="E30" i="1"/>
  <c r="F30" i="1"/>
  <c r="C30" i="1"/>
</calcChain>
</file>

<file path=xl/sharedStrings.xml><?xml version="1.0" encoding="utf-8"?>
<sst xmlns="http://schemas.openxmlformats.org/spreadsheetml/2006/main" count="123" uniqueCount="112">
  <si>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</si>
  <si>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</si>
  <si>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</si>
  <si>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</si>
  <si>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</si>
  <si>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</si>
  <si>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</si>
  <si>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</si>
  <si>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</si>
  <si>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</si>
  <si>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</si>
  <si>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</si>
  <si>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</si>
  <si>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</si>
  <si>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</si>
  <si>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</si>
  <si>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</si>
  <si>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</si>
  <si>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</si>
  <si>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</si>
  <si>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</si>
  <si>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</si>
  <si>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</si>
  <si>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</si>
  <si>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</si>
  <si>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</si>
  <si>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</si>
  <si>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</si>
  <si>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</si>
  <si>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</si>
  <si>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</si>
  <si>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</si>
  <si>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</si>
  <si>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</si>
  <si>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</si>
  <si>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</si>
  <si>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</si>
  <si>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</si>
  <si>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</si>
  <si>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</si>
  <si>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</si>
  <si>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</si>
  <si>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</si>
  <si>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</si>
  <si>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</si>
  <si>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</si>
  <si>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</si>
  <si>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</si>
  <si>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</si>
  <si>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</si>
  <si>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</si>
  <si>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</si>
  <si>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</si>
  <si>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</si>
  <si>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</si>
  <si>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</si>
  <si>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</si>
  <si>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</si>
  <si>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</si>
  <si>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</si>
  <si>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</si>
  <si>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</si>
  <si>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</si>
  <si>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</si>
  <si>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</si>
  <si>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</si>
  <si>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</si>
  <si>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</si>
  <si>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</si>
  <si>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</si>
  <si>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</si>
  <si>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</si>
  <si>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</si>
  <si>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</si>
  <si>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</si>
  <si>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</si>
  <si>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</si>
  <si>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</si>
  <si>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Brodie</t>
  </si>
  <si>
    <t>Measure</t>
  </si>
  <si>
    <t>CAD</t>
  </si>
  <si>
    <t>Burnaby, British Columbia, Canada</t>
  </si>
  <si>
    <t>Seat Tube (mm)</t>
  </si>
  <si>
    <t>Top Tube (mm)</t>
  </si>
  <si>
    <t>Head Tube Angle (°)</t>
  </si>
  <si>
    <t>Seat Tube Angle (°)</t>
  </si>
  <si>
    <t>Chain Stay (mm)</t>
  </si>
  <si>
    <t>Head Tube (mm)</t>
  </si>
  <si>
    <t>Stack (mm)</t>
  </si>
  <si>
    <t>Reach (mm)</t>
  </si>
  <si>
    <t>yes</t>
  </si>
  <si>
    <t>internal</t>
  </si>
  <si>
    <t>BB Drop (mm)</t>
  </si>
  <si>
    <t>Fork Offset (mm)</t>
  </si>
  <si>
    <t>external</t>
  </si>
  <si>
    <t>Mega Tour 2.0</t>
  </si>
  <si>
    <t>https://www.brodiebicycles.com/mega-tour-20</t>
  </si>
  <si>
    <t>https://images.squarespace-cdn.com/content/v1/5a46bb31d74cffb073caad88/fbf50321-7d88-4e3a-b4aa-8406dff5545a/Mega+Tour+2.0.jpg?format=2500w</t>
  </si>
  <si>
    <t>S (15.5")</t>
  </si>
  <si>
    <t>M (17")</t>
  </si>
  <si>
    <t>L (18")</t>
  </si>
  <si>
    <t>XL (19.5")</t>
  </si>
  <si>
    <t>Standover (mm)</t>
  </si>
  <si>
    <t>Fork A-C (mm)</t>
  </si>
  <si>
    <t>Tire Size</t>
  </si>
  <si>
    <t>29×2.6</t>
  </si>
  <si>
    <t>tire_size</t>
  </si>
  <si>
    <t>aluminum</t>
  </si>
  <si>
    <t>flat bar</t>
  </si>
  <si>
    <t>chart says 490, specs say 500</t>
  </si>
  <si>
    <t>carbon</t>
  </si>
  <si>
    <t>a8:f31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</si>
</sst>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  <font>
      <sz val="14"/>
      <color rgb="FF0A0A0A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workbookViewId="0">
      <selection activeCell="B48" sqref="B4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0" x14ac:dyDescent="0.3">
      <c r="A1" s="1" t="s">
        <v>0</v>
      </c>
      <c r="B1" s="1" t="s">
        <v>78</v>
      </c>
    </row>
    <row r="2" spans="1:10" x14ac:dyDescent="0.3">
      <c r="A2" s="1" t="s">
        <v>1</v>
      </c>
      <c r="B2" s="1" t="s">
        <v>95</v>
      </c>
    </row>
    <row r="3" spans="1:10" x14ac:dyDescent="0.3">
      <c r="A3" s="1" t="s">
        <v>2</v>
      </c>
      <c r="B3" s="1">
        <v>2025</v>
      </c>
    </row>
    <row r="4" spans="1:10" x14ac:dyDescent="0.3">
      <c r="A4" s="1" t="s">
        <v>3</v>
      </c>
      <c r="B4" s="2">
        <v>45988</v>
      </c>
    </row>
    <row r="5" spans="1:10" x14ac:dyDescent="0.3">
      <c r="A5" s="1" t="s">
        <v>4</v>
      </c>
      <c r="B5" s="1" t="s">
        <v>96</v>
      </c>
    </row>
    <row r="6" spans="1:10" x14ac:dyDescent="0.3">
      <c r="B6" s="1" t="s">
        <v>97</v>
      </c>
      <c r="C6" s="3"/>
      <c r="D6" s="3"/>
      <c r="E6" s="3"/>
      <c r="F6" s="3"/>
      <c r="G6" s="3"/>
      <c r="H6" s="3"/>
      <c r="I6" s="3"/>
    </row>
    <row r="7" spans="1:10" x14ac:dyDescent="0.3">
      <c r="A7" s="1" t="s">
        <v>5</v>
      </c>
      <c r="B7" s="1" t="s">
        <v>111</v>
      </c>
      <c r="C7" s="3"/>
      <c r="D7" s="3"/>
      <c r="E7" s="3"/>
      <c r="F7" s="3"/>
      <c r="G7" s="3"/>
      <c r="H7" s="3"/>
      <c r="I7" s="3"/>
    </row>
    <row r="8" spans="1:10" x14ac:dyDescent="0.3">
      <c r="A8" s="1" t="s">
        <v>6</v>
      </c>
      <c r="B8" s="5" t="s">
        <v>79</v>
      </c>
      <c r="C8" s="1" t="s">
        <v>98</v>
      </c>
      <c r="D8" s="1" t="s">
        <v>99</v>
      </c>
      <c r="E8" s="1" t="s">
        <v>100</v>
      </c>
      <c r="F8" s="1" t="s">
        <v>101</v>
      </c>
    </row>
    <row r="9" spans="1:10" x14ac:dyDescent="0.3">
      <c r="A9" s="1" t="s">
        <v>7</v>
      </c>
      <c r="B9" s="1" t="s">
        <v>82</v>
      </c>
      <c r="C9" s="1">
        <v>395</v>
      </c>
      <c r="D9" s="1">
        <v>432</v>
      </c>
      <c r="E9" s="1">
        <v>458</v>
      </c>
      <c r="F9" s="1">
        <v>495</v>
      </c>
    </row>
    <row r="10" spans="1:10" x14ac:dyDescent="0.3">
      <c r="A10" s="1" t="s">
        <v>8</v>
      </c>
      <c r="B10" s="1" t="s">
        <v>83</v>
      </c>
      <c r="C10" s="1">
        <v>575</v>
      </c>
      <c r="D10" s="1">
        <v>600</v>
      </c>
      <c r="E10" s="1">
        <v>625</v>
      </c>
      <c r="F10" s="1">
        <v>640</v>
      </c>
    </row>
    <row r="11" spans="1:10" x14ac:dyDescent="0.3">
      <c r="A11" s="1" t="s">
        <v>11</v>
      </c>
      <c r="B11" s="1" t="s">
        <v>84</v>
      </c>
      <c r="C11" s="1">
        <v>68.2</v>
      </c>
      <c r="D11" s="1">
        <v>68.2</v>
      </c>
      <c r="E11" s="1">
        <v>68.2</v>
      </c>
      <c r="F11" s="1">
        <v>68.2</v>
      </c>
    </row>
    <row r="12" spans="1:10" x14ac:dyDescent="0.3">
      <c r="A12" s="1" t="s">
        <v>10</v>
      </c>
      <c r="B12" s="1" t="s">
        <v>85</v>
      </c>
      <c r="C12" s="1">
        <v>75</v>
      </c>
      <c r="D12" s="1">
        <v>75</v>
      </c>
      <c r="E12" s="1">
        <v>74</v>
      </c>
      <c r="F12" s="1">
        <v>74</v>
      </c>
    </row>
    <row r="13" spans="1:10" x14ac:dyDescent="0.3">
      <c r="A13" s="1" t="s">
        <v>12</v>
      </c>
      <c r="B13" s="1" t="s">
        <v>86</v>
      </c>
      <c r="C13" s="1">
        <v>450</v>
      </c>
      <c r="D13" s="1">
        <v>455</v>
      </c>
      <c r="E13" s="1">
        <v>455</v>
      </c>
      <c r="F13" s="1">
        <v>455</v>
      </c>
    </row>
    <row r="14" spans="1:10" x14ac:dyDescent="0.3">
      <c r="A14" s="1" t="s">
        <v>13</v>
      </c>
      <c r="B14" s="1" t="s">
        <v>92</v>
      </c>
      <c r="C14" s="1">
        <f>G14*-1</f>
        <v>72</v>
      </c>
      <c r="D14" s="1">
        <f t="shared" ref="D14:F14" si="0">H14*-1</f>
        <v>70</v>
      </c>
      <c r="E14" s="1">
        <f t="shared" si="0"/>
        <v>70</v>
      </c>
      <c r="F14" s="1">
        <f t="shared" si="0"/>
        <v>70</v>
      </c>
      <c r="G14" s="1">
        <v>-72</v>
      </c>
      <c r="H14" s="1">
        <v>-70</v>
      </c>
      <c r="I14" s="1">
        <v>-70</v>
      </c>
      <c r="J14" s="1">
        <v>-70</v>
      </c>
    </row>
    <row r="15" spans="1:10" x14ac:dyDescent="0.3">
      <c r="A15" s="1" t="s">
        <v>9</v>
      </c>
      <c r="B15" s="1" t="s">
        <v>87</v>
      </c>
      <c r="C15" s="1">
        <v>100</v>
      </c>
      <c r="D15" s="1">
        <v>110</v>
      </c>
      <c r="E15" s="1">
        <v>125</v>
      </c>
      <c r="F15" s="1">
        <v>150</v>
      </c>
    </row>
    <row r="16" spans="1:10" x14ac:dyDescent="0.3">
      <c r="A16" s="1" t="s">
        <v>15</v>
      </c>
      <c r="B16" s="1" t="s">
        <v>102</v>
      </c>
      <c r="C16" s="1">
        <v>783</v>
      </c>
      <c r="D16" s="1">
        <v>814</v>
      </c>
      <c r="E16" s="1">
        <v>828</v>
      </c>
      <c r="F16" s="1">
        <v>862</v>
      </c>
    </row>
    <row r="17" spans="1:10" x14ac:dyDescent="0.3">
      <c r="A17" s="1" t="s">
        <v>18</v>
      </c>
      <c r="B17" s="1" t="s">
        <v>93</v>
      </c>
      <c r="C17" s="1">
        <v>51</v>
      </c>
      <c r="D17" s="1">
        <v>51</v>
      </c>
      <c r="E17" s="1">
        <v>51</v>
      </c>
      <c r="F17" s="1">
        <v>51</v>
      </c>
    </row>
    <row r="18" spans="1:10" x14ac:dyDescent="0.3">
      <c r="A18" s="1" t="s">
        <v>16</v>
      </c>
      <c r="B18" s="1" t="s">
        <v>88</v>
      </c>
      <c r="C18" s="1">
        <v>614</v>
      </c>
      <c r="D18" s="1">
        <v>621.29999999999995</v>
      </c>
      <c r="E18" s="1">
        <v>635.29999999999995</v>
      </c>
      <c r="F18" s="1">
        <v>655.7</v>
      </c>
    </row>
    <row r="19" spans="1:10" x14ac:dyDescent="0.3">
      <c r="A19" s="1" t="s">
        <v>17</v>
      </c>
      <c r="B19" s="1" t="s">
        <v>89</v>
      </c>
      <c r="C19" s="1">
        <v>410.5</v>
      </c>
      <c r="D19" s="1">
        <v>433.5</v>
      </c>
      <c r="E19" s="1">
        <v>442.8</v>
      </c>
      <c r="F19" s="1">
        <v>452</v>
      </c>
    </row>
    <row r="20" spans="1:10" x14ac:dyDescent="0.3">
      <c r="A20" s="1" t="s">
        <v>22</v>
      </c>
      <c r="B20" s="1" t="s">
        <v>103</v>
      </c>
      <c r="C20" s="1">
        <v>500</v>
      </c>
      <c r="D20" s="1">
        <v>500</v>
      </c>
      <c r="E20" s="1">
        <v>500</v>
      </c>
      <c r="F20" s="1">
        <v>500</v>
      </c>
      <c r="G20" s="1" t="s">
        <v>109</v>
      </c>
    </row>
    <row r="21" spans="1:10" x14ac:dyDescent="0.3">
      <c r="A21" s="1" t="s">
        <v>106</v>
      </c>
      <c r="B21" s="1" t="s">
        <v>104</v>
      </c>
      <c r="G21" s="1" t="s">
        <v>105</v>
      </c>
      <c r="H21" s="1" t="s">
        <v>105</v>
      </c>
      <c r="I21" s="1" t="s">
        <v>105</v>
      </c>
      <c r="J21" s="1" t="s">
        <v>105</v>
      </c>
    </row>
    <row r="22" spans="1:10" x14ac:dyDescent="0.3">
      <c r="A22" s="1" t="s">
        <v>14</v>
      </c>
    </row>
    <row r="23" spans="1:10" x14ac:dyDescent="0.3">
      <c r="A23" s="1" t="s">
        <v>19</v>
      </c>
    </row>
    <row r="24" spans="1:10" x14ac:dyDescent="0.3">
      <c r="A24" s="1" t="s">
        <v>20</v>
      </c>
    </row>
    <row r="25" spans="1:10" x14ac:dyDescent="0.3">
      <c r="A25" s="1" t="s">
        <v>21</v>
      </c>
      <c r="C25" s="1">
        <v>40</v>
      </c>
      <c r="D25" s="1">
        <v>50</v>
      </c>
      <c r="E25" s="1">
        <v>50</v>
      </c>
      <c r="F25" s="1">
        <v>60</v>
      </c>
    </row>
    <row r="26" spans="1:10" x14ac:dyDescent="0.3">
      <c r="A26" s="1" t="s">
        <v>23</v>
      </c>
    </row>
    <row r="27" spans="1:10" x14ac:dyDescent="0.3">
      <c r="A27" s="1" t="s">
        <v>24</v>
      </c>
      <c r="B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/>
      <c r="H27" s="4"/>
      <c r="I27" s="4"/>
    </row>
    <row r="28" spans="1:10" x14ac:dyDescent="0.3">
      <c r="A28" s="1" t="s">
        <v>25</v>
      </c>
      <c r="B28" s="1" t="s">
        <v>25</v>
      </c>
      <c r="C28" s="4">
        <v>2.6</v>
      </c>
      <c r="D28" s="4">
        <v>2.6</v>
      </c>
      <c r="E28" s="4">
        <v>2.6</v>
      </c>
      <c r="F28" s="4">
        <v>2.6</v>
      </c>
      <c r="G28" s="4"/>
      <c r="H28" s="4"/>
      <c r="I28" s="4"/>
    </row>
    <row r="29" spans="1:10" x14ac:dyDescent="0.3">
      <c r="A29" s="1" t="s">
        <v>26</v>
      </c>
      <c r="B29" s="1" t="s">
        <v>26</v>
      </c>
      <c r="C29" s="1">
        <v>2.6</v>
      </c>
      <c r="D29" s="1">
        <v>2.6</v>
      </c>
      <c r="E29" s="1">
        <v>2.6</v>
      </c>
      <c r="F29" s="1">
        <v>2.6</v>
      </c>
    </row>
    <row r="30" spans="1:10" x14ac:dyDescent="0.3">
      <c r="A30" s="1" t="s">
        <v>27</v>
      </c>
      <c r="B30" s="1" t="s">
        <v>27</v>
      </c>
      <c r="C30" s="1">
        <f>2.54*C32</f>
        <v>157.47999999999999</v>
      </c>
      <c r="D30" s="1">
        <f t="shared" ref="D30:F31" si="1">2.54*D32</f>
        <v>167.64000000000001</v>
      </c>
      <c r="E30" s="1">
        <f t="shared" si="1"/>
        <v>175.26</v>
      </c>
      <c r="F30" s="1">
        <f t="shared" si="1"/>
        <v>182.88</v>
      </c>
    </row>
    <row r="31" spans="1:10" x14ac:dyDescent="0.3">
      <c r="A31" s="1" t="s">
        <v>28</v>
      </c>
      <c r="B31" s="1" t="s">
        <v>28</v>
      </c>
      <c r="C31" s="1">
        <f>2.54*C33</f>
        <v>170.18</v>
      </c>
      <c r="D31" s="1">
        <f t="shared" si="1"/>
        <v>177.8</v>
      </c>
      <c r="E31" s="1">
        <f t="shared" si="1"/>
        <v>185.42000000000002</v>
      </c>
      <c r="F31" s="1">
        <f t="shared" si="1"/>
        <v>193.04</v>
      </c>
    </row>
    <row r="32" spans="1:10" x14ac:dyDescent="0.3">
      <c r="C32" s="1">
        <v>62</v>
      </c>
      <c r="D32" s="1">
        <v>66</v>
      </c>
      <c r="E32" s="1">
        <v>69</v>
      </c>
      <c r="F32" s="1">
        <v>72</v>
      </c>
    </row>
    <row r="33" spans="1:6" x14ac:dyDescent="0.3">
      <c r="A33" s="1" t="s">
        <v>29</v>
      </c>
      <c r="B33" s="1" t="s">
        <v>30</v>
      </c>
      <c r="C33" s="1">
        <v>67</v>
      </c>
      <c r="D33" s="1">
        <v>70</v>
      </c>
      <c r="E33" s="1">
        <v>73</v>
      </c>
      <c r="F33" s="1">
        <v>76</v>
      </c>
    </row>
    <row r="34" spans="1:6" x14ac:dyDescent="0.3">
      <c r="A34" s="1" t="s">
        <v>66</v>
      </c>
      <c r="B34" s="1" t="s">
        <v>67</v>
      </c>
      <c r="C34" s="4"/>
      <c r="D34" s="4"/>
      <c r="E34" s="4"/>
      <c r="F34" s="4"/>
    </row>
    <row r="35" spans="1:6" x14ac:dyDescent="0.3">
      <c r="A35" s="1" t="s">
        <v>68</v>
      </c>
      <c r="B35" s="1" t="s">
        <v>108</v>
      </c>
    </row>
    <row r="36" spans="1:6" x14ac:dyDescent="0.3">
      <c r="A36" s="1" t="s">
        <v>69</v>
      </c>
      <c r="B36" s="1" t="s">
        <v>70</v>
      </c>
    </row>
    <row r="37" spans="1:6" x14ac:dyDescent="0.3">
      <c r="A37" s="1" t="s">
        <v>31</v>
      </c>
      <c r="B37" s="1" t="s">
        <v>107</v>
      </c>
      <c r="C37" s="1">
        <v>6061</v>
      </c>
    </row>
    <row r="38" spans="1:6" x14ac:dyDescent="0.3">
      <c r="A38" s="1" t="s">
        <v>32</v>
      </c>
      <c r="B38" s="1" t="s">
        <v>90</v>
      </c>
    </row>
    <row r="39" spans="1:6" x14ac:dyDescent="0.3">
      <c r="A39" s="1" t="s">
        <v>33</v>
      </c>
    </row>
    <row r="40" spans="1:6" x14ac:dyDescent="0.3">
      <c r="A40" s="1" t="s">
        <v>34</v>
      </c>
      <c r="B40" s="1">
        <v>2.6</v>
      </c>
    </row>
    <row r="41" spans="1:6" x14ac:dyDescent="0.3">
      <c r="A41" s="1" t="s">
        <v>35</v>
      </c>
    </row>
    <row r="42" spans="1:6" x14ac:dyDescent="0.3">
      <c r="A42" s="1" t="s">
        <v>36</v>
      </c>
      <c r="B42" s="1">
        <v>120</v>
      </c>
    </row>
    <row r="43" spans="1:6" x14ac:dyDescent="0.3">
      <c r="A43" s="1" t="s">
        <v>37</v>
      </c>
    </row>
    <row r="44" spans="1:6" x14ac:dyDescent="0.3">
      <c r="A44" s="1" t="s">
        <v>38</v>
      </c>
    </row>
    <row r="45" spans="1:6" x14ac:dyDescent="0.3">
      <c r="A45" s="1" t="s">
        <v>39</v>
      </c>
    </row>
    <row r="46" spans="1:6" x14ac:dyDescent="0.3">
      <c r="A46" s="1" t="s">
        <v>40</v>
      </c>
      <c r="B46" s="1">
        <v>148</v>
      </c>
    </row>
    <row r="47" spans="1:6" x14ac:dyDescent="0.3">
      <c r="A47" s="1" t="s">
        <v>41</v>
      </c>
      <c r="B47" s="1">
        <v>110</v>
      </c>
    </row>
    <row r="48" spans="1:6" x14ac:dyDescent="0.3">
      <c r="A48" s="1" t="s">
        <v>72</v>
      </c>
    </row>
    <row r="49" spans="1:2" x14ac:dyDescent="0.3">
      <c r="A49" s="1" t="s">
        <v>73</v>
      </c>
    </row>
    <row r="50" spans="1:2" x14ac:dyDescent="0.3">
      <c r="A50" s="1" t="s">
        <v>74</v>
      </c>
    </row>
    <row r="51" spans="1:2" x14ac:dyDescent="0.3">
      <c r="A51" s="1" t="s">
        <v>75</v>
      </c>
    </row>
    <row r="52" spans="1:2" x14ac:dyDescent="0.3">
      <c r="A52" s="1" t="s">
        <v>76</v>
      </c>
    </row>
    <row r="53" spans="1:2" x14ac:dyDescent="0.3">
      <c r="A53" s="1" t="s">
        <v>77</v>
      </c>
      <c r="B53" s="1" t="s">
        <v>110</v>
      </c>
    </row>
    <row r="54" spans="1:2" x14ac:dyDescent="0.3">
      <c r="A54" s="1" t="s">
        <v>42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31.6</v>
      </c>
    </row>
    <row r="57" spans="1:2" x14ac:dyDescent="0.3">
      <c r="A57" s="1" t="s">
        <v>45</v>
      </c>
      <c r="B57" s="1" t="s">
        <v>90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  <c r="B60" s="1">
        <v>180</v>
      </c>
    </row>
    <row r="61" spans="1:2" x14ac:dyDescent="0.3">
      <c r="A61" s="1" t="s">
        <v>49</v>
      </c>
      <c r="B61" s="1">
        <v>180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94</v>
      </c>
    </row>
    <row r="64" spans="1:2" x14ac:dyDescent="0.3">
      <c r="A64" s="1" t="s">
        <v>52</v>
      </c>
      <c r="B64" s="1" t="s">
        <v>91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  <c r="B67" s="1">
        <v>4</v>
      </c>
    </row>
    <row r="68" spans="1:2" x14ac:dyDescent="0.3">
      <c r="A68" s="1" t="s">
        <v>56</v>
      </c>
      <c r="B68" s="1">
        <v>1</v>
      </c>
    </row>
    <row r="69" spans="1:2" x14ac:dyDescent="0.3">
      <c r="A69" s="1" t="s">
        <v>57</v>
      </c>
      <c r="B69" s="1">
        <v>1</v>
      </c>
    </row>
    <row r="70" spans="1:2" x14ac:dyDescent="0.3">
      <c r="A70" s="1" t="s">
        <v>58</v>
      </c>
      <c r="B70" s="1">
        <v>3</v>
      </c>
    </row>
    <row r="71" spans="1:2" x14ac:dyDescent="0.3">
      <c r="A71" s="1" t="s">
        <v>59</v>
      </c>
    </row>
    <row r="72" spans="1:2" x14ac:dyDescent="0.3">
      <c r="A72" s="1" t="s">
        <v>60</v>
      </c>
      <c r="B72" s="1" t="s">
        <v>90</v>
      </c>
    </row>
    <row r="73" spans="1:2" x14ac:dyDescent="0.3">
      <c r="A73" s="1" t="s">
        <v>61</v>
      </c>
      <c r="B73" s="1" t="s">
        <v>90</v>
      </c>
    </row>
    <row r="74" spans="1:2" x14ac:dyDescent="0.3">
      <c r="A74" s="1" t="s">
        <v>62</v>
      </c>
    </row>
    <row r="75" spans="1:2" x14ac:dyDescent="0.3">
      <c r="A75" s="1" t="s">
        <v>63</v>
      </c>
      <c r="B75" s="1">
        <v>2599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80</v>
      </c>
    </row>
    <row r="78" spans="1:2" x14ac:dyDescent="0.3">
      <c r="A78" s="1" t="s">
        <v>71</v>
      </c>
      <c r="B78" s="6" t="s">
        <v>81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2025-11-28T00:34:57Z</dcterms:modified>
</cp:coreProperties>
</file>