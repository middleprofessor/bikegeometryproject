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11F6344-4D39-5F47-995C-1050DC75D422}" xr6:coauthVersionLast="47" xr6:coauthVersionMax="47" xr10:uidLastSave="{00000000-0000-0000-0000-000000000000}"/>
  <bookViews>
    <workbookView xWindow="31560" yWindow="-25520" windowWidth="23100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E30" i="1"/>
  <c r="F30" i="1"/>
  <c r="G30" i="1"/>
  <c r="H30" i="1"/>
  <c r="I30" i="1"/>
  <c r="C29" i="1"/>
  <c r="D29" i="1"/>
  <c r="E29" i="1"/>
  <c r="F29" i="1"/>
  <c r="G29" i="1"/>
  <c r="H29" i="1"/>
  <c r="I29" i="1"/>
  <c r="D17" i="1"/>
  <c r="E17" i="1"/>
  <c r="F17" i="1"/>
  <c r="G17" i="1"/>
  <c r="H17" i="1"/>
  <c r="I17" i="1"/>
  <c r="C17" i="1"/>
  <c r="E16" i="1"/>
  <c r="F16" i="1"/>
  <c r="G16" i="1"/>
  <c r="H16" i="1"/>
  <c r="I16" i="1"/>
  <c r="D16" i="1"/>
  <c r="C16" i="1"/>
  <c r="D14" i="1"/>
  <c r="E14" i="1"/>
  <c r="F14" i="1"/>
  <c r="G14" i="1"/>
  <c r="H14" i="1"/>
  <c r="I14" i="1"/>
  <c r="C14" i="1"/>
</calcChain>
</file>

<file path=xl/sharedStrings.xml><?xml version="1.0" encoding="utf-8"?>
<sst xmlns="http://schemas.openxmlformats.org/spreadsheetml/2006/main" count="144" uniqueCount="129">
  <si>
    <t>brand</t>
  </si>
  <si>
    <t>Chumba</t>
  </si>
  <si>
    <t>model</t>
  </si>
  <si>
    <t>model_year</t>
  </si>
  <si>
    <t>input_date</t>
  </si>
  <si>
    <t>url</t>
  </si>
  <si>
    <t>https://chumbausa.com/terlingua-titanium-sl-gravel-allroad-bike</t>
  </si>
  <si>
    <t>data_range</t>
  </si>
  <si>
    <t>a8:h30</t>
  </si>
  <si>
    <t>frame_size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</si>
  <si>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</si>
  <si>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</si>
  <si>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</si>
  <si>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</si>
  <si>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</si>
  <si>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</si>
  <si>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</si>
  <si>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</si>
  <si>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</si>
  <si>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</si>
  <si>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</si>
  <si>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</si>
  <si>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</si>
  <si>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</si>
  <si>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</si>
  <si>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</si>
  <si>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</si>
  <si>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</si>
  <si>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</si>
  <si>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</si>
  <si>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</si>
  <si>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</si>
  <si>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</si>
  <si>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</si>
  <si>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</si>
  <si>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</si>
  <si>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</si>
  <si>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</si>
  <si>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</si>
  <si>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</si>
  <si>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</si>
  <si>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</si>
  <si>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</si>
  <si>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</si>
  <si>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</si>
  <si>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</si>
  <si>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</si>
  <si>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</si>
  <si>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</si>
  <si>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</si>
  <si>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</si>
  <si>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</si>
  <si>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</si>
  <si>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</si>
  <si>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</si>
  <si>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</si>
  <si>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</si>
  <si>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</si>
  <si>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</si>
  <si>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</si>
  <si>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</si>
  <si>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</si>
  <si>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</si>
  <si>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</si>
  <si>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</si>
  <si>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</si>
  <si>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</si>
  <si>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</si>
  <si>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</si>
  <si>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</si>
  <si>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</si>
  <si>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</si>
  <si>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</si>
  <si>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</si>
  <si>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</si>
  <si>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</si>
  <si>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</si>
  <si>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</si>
  <si>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</si>
  <si>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</si>
  <si>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</si>
  <si>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</si>
  <si>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</si>
  <si>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</si>
  <si>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</si>
  <si>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</si>
  <si>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</si>
  <si>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Terlingua SL Ti</t>
  </si>
  <si>
    <t>yes</t>
  </si>
  <si>
    <t>threaded</t>
  </si>
  <si>
    <t>no</t>
  </si>
  <si>
    <t>optional</t>
  </si>
  <si>
    <t>Measurement</t>
  </si>
  <si>
    <t>Suggested Rider</t>
  </si>
  <si>
    <t>&lt;5'3"</t>
  </si>
  <si>
    <t>5'4" - 5'7"</t>
  </si>
  <si>
    <t>5'8" - 5'10"</t>
  </si>
  <si>
    <t>5'10" - 6"</t>
  </si>
  <si>
    <t>6 - 6'1.5"</t>
  </si>
  <si>
    <t>6'2 - 6'3"</t>
  </si>
  <si>
    <t>6'3" - 6'5"</t>
  </si>
  <si>
    <t>425-445</t>
  </si>
  <si>
    <t>430-450</t>
  </si>
  <si>
    <t>997-1017</t>
  </si>
  <si>
    <t>1008-1028</t>
  </si>
  <si>
    <t>1019-1039</t>
  </si>
  <si>
    <t>1029-1049</t>
  </si>
  <si>
    <t>1045-1065</t>
  </si>
  <si>
    <t>1066-1086</t>
  </si>
  <si>
    <t>1097-1117</t>
  </si>
  <si>
    <t>28.4"</t>
  </si>
  <si>
    <t>29.8"</t>
  </si>
  <si>
    <t>30.3"</t>
  </si>
  <si>
    <t>30.9"</t>
  </si>
  <si>
    <t>31.8"</t>
  </si>
  <si>
    <t>32.75"</t>
  </si>
  <si>
    <t>33.25"</t>
  </si>
  <si>
    <t>Enve Gravel Fork</t>
  </si>
  <si>
    <t>external</t>
  </si>
  <si>
    <t>USD</t>
  </si>
  <si>
    <t>https://images.squarespace-cdn.com/content/v1/52f98c74e4b097d8674dc15e/78219047-54ba-4d57-bb41-c206a2d7c2bb/Chumba+Terlingua+SL+Titanium+In+Route+Gravel+BIke-1.jpg?format=1500w</t>
  </si>
  <si>
    <t>location</t>
  </si>
  <si>
    <t>Kansas City, Missouri,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</si>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</sst>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tabSelected="1" topLeftCell="A33" workbookViewId="0">
      <selection activeCell="B57" sqref="B57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87</v>
      </c>
    </row>
    <row r="3" spans="1:16" x14ac:dyDescent="0.3">
      <c r="A3" t="s">
        <v>3</v>
      </c>
      <c r="B3">
        <v>2025</v>
      </c>
    </row>
    <row r="4" spans="1:16" x14ac:dyDescent="0.3">
      <c r="A4" t="s">
        <v>4</v>
      </c>
      <c r="B4" s="2">
        <v>45908</v>
      </c>
    </row>
    <row r="5" spans="1:16" x14ac:dyDescent="0.3">
      <c r="A5" t="s">
        <v>5</v>
      </c>
      <c r="B5" t="s">
        <v>6</v>
      </c>
    </row>
    <row r="6" spans="1:16" x14ac:dyDescent="0.3">
      <c r="B6" t="s">
        <v>120</v>
      </c>
    </row>
    <row r="7" spans="1:16" x14ac:dyDescent="0.3">
      <c r="A7" t="s">
        <v>7</v>
      </c>
      <c r="B7" t="s">
        <v>8</v>
      </c>
    </row>
    <row r="8" spans="1:16" x14ac:dyDescent="0.3">
      <c r="A8" t="s">
        <v>9</v>
      </c>
      <c r="B8" t="s">
        <v>92</v>
      </c>
      <c r="C8">
        <v>50</v>
      </c>
      <c r="D8">
        <v>52</v>
      </c>
      <c r="E8">
        <v>54</v>
      </c>
      <c r="F8">
        <v>56</v>
      </c>
      <c r="G8">
        <v>58</v>
      </c>
      <c r="H8">
        <v>60</v>
      </c>
      <c r="I8">
        <v>62</v>
      </c>
    </row>
    <row r="9" spans="1:16" x14ac:dyDescent="0.3">
      <c r="A9" t="s">
        <v>10</v>
      </c>
      <c r="B9" t="s">
        <v>11</v>
      </c>
      <c r="C9">
        <v>520</v>
      </c>
      <c r="D9">
        <v>535</v>
      </c>
      <c r="E9">
        <v>550</v>
      </c>
      <c r="F9">
        <v>565</v>
      </c>
      <c r="G9">
        <v>580</v>
      </c>
      <c r="H9">
        <v>600</v>
      </c>
      <c r="I9">
        <v>625</v>
      </c>
    </row>
    <row r="10" spans="1:16" x14ac:dyDescent="0.3">
      <c r="A10" t="s">
        <v>12</v>
      </c>
      <c r="B10" t="s">
        <v>13</v>
      </c>
      <c r="C10">
        <v>71.5</v>
      </c>
      <c r="D10">
        <v>71.5</v>
      </c>
      <c r="E10">
        <v>72</v>
      </c>
      <c r="F10">
        <v>72</v>
      </c>
      <c r="G10">
        <v>72</v>
      </c>
      <c r="H10">
        <v>72</v>
      </c>
      <c r="I10">
        <v>72</v>
      </c>
    </row>
    <row r="11" spans="1:16" x14ac:dyDescent="0.3">
      <c r="A11" t="s">
        <v>14</v>
      </c>
      <c r="B11" t="s">
        <v>15</v>
      </c>
      <c r="C11">
        <v>100</v>
      </c>
      <c r="D11">
        <v>130</v>
      </c>
      <c r="E11">
        <v>140</v>
      </c>
      <c r="F11">
        <v>160</v>
      </c>
      <c r="G11">
        <v>180</v>
      </c>
      <c r="H11">
        <v>200</v>
      </c>
      <c r="I11">
        <v>220</v>
      </c>
    </row>
    <row r="12" spans="1:16" x14ac:dyDescent="0.3">
      <c r="A12" t="s">
        <v>16</v>
      </c>
      <c r="B12" t="s">
        <v>17</v>
      </c>
      <c r="C12">
        <v>74.5</v>
      </c>
      <c r="D12">
        <v>74</v>
      </c>
      <c r="E12">
        <v>74</v>
      </c>
      <c r="F12">
        <v>73.5</v>
      </c>
      <c r="G12">
        <v>73.5</v>
      </c>
      <c r="H12">
        <v>73.5</v>
      </c>
      <c r="I12">
        <v>73.5</v>
      </c>
    </row>
    <row r="13" spans="1:16" x14ac:dyDescent="0.3">
      <c r="A13" t="s">
        <v>18</v>
      </c>
      <c r="B13" t="s">
        <v>19</v>
      </c>
      <c r="C13">
        <v>465</v>
      </c>
      <c r="D13">
        <v>500</v>
      </c>
      <c r="E13">
        <v>515</v>
      </c>
      <c r="F13">
        <v>530</v>
      </c>
      <c r="G13">
        <v>545</v>
      </c>
      <c r="H13">
        <v>575</v>
      </c>
      <c r="I13">
        <v>590</v>
      </c>
    </row>
    <row r="14" spans="1:16" x14ac:dyDescent="0.3">
      <c r="A14" t="s">
        <v>20</v>
      </c>
      <c r="B14" t="s">
        <v>21</v>
      </c>
      <c r="C14">
        <f>VALUE(LEFT(J14,3))</f>
        <v>425</v>
      </c>
      <c r="D14">
        <f t="shared" ref="D14:I14" si="0">VALUE(LEFT(K14,3))</f>
        <v>425</v>
      </c>
      <c r="E14">
        <f t="shared" si="0"/>
        <v>425</v>
      </c>
      <c r="F14">
        <f t="shared" si="0"/>
        <v>425</v>
      </c>
      <c r="G14">
        <f t="shared" si="0"/>
        <v>425</v>
      </c>
      <c r="H14">
        <f t="shared" si="0"/>
        <v>425</v>
      </c>
      <c r="I14">
        <f t="shared" si="0"/>
        <v>430</v>
      </c>
      <c r="J14" t="s">
        <v>101</v>
      </c>
      <c r="K14" t="s">
        <v>101</v>
      </c>
      <c r="L14" t="s">
        <v>101</v>
      </c>
      <c r="M14" t="s">
        <v>101</v>
      </c>
      <c r="N14" t="s">
        <v>101</v>
      </c>
      <c r="O14" t="s">
        <v>101</v>
      </c>
      <c r="P14" t="s">
        <v>102</v>
      </c>
    </row>
    <row r="15" spans="1:16" x14ac:dyDescent="0.3">
      <c r="A15" t="s">
        <v>22</v>
      </c>
      <c r="B15" t="s">
        <v>23</v>
      </c>
      <c r="C15">
        <v>72</v>
      </c>
      <c r="D15">
        <v>72</v>
      </c>
      <c r="E15">
        <v>72</v>
      </c>
      <c r="F15">
        <v>72</v>
      </c>
      <c r="G15">
        <v>70</v>
      </c>
      <c r="H15">
        <v>70</v>
      </c>
      <c r="I15">
        <v>70</v>
      </c>
    </row>
    <row r="16" spans="1:16" x14ac:dyDescent="0.3">
      <c r="A16" t="s">
        <v>24</v>
      </c>
      <c r="B16" t="s">
        <v>25</v>
      </c>
      <c r="C16">
        <f>VALUE(LEFT(J16,3))</f>
        <v>997</v>
      </c>
      <c r="D16">
        <f>VALUE(LEFT(K16,4))</f>
        <v>1008</v>
      </c>
      <c r="E16">
        <f t="shared" ref="E16:I16" si="1">VALUE(LEFT(L16,4))</f>
        <v>1019</v>
      </c>
      <c r="F16">
        <f t="shared" si="1"/>
        <v>1029</v>
      </c>
      <c r="G16">
        <f t="shared" si="1"/>
        <v>1045</v>
      </c>
      <c r="H16">
        <f t="shared" si="1"/>
        <v>1066</v>
      </c>
      <c r="I16">
        <f t="shared" si="1"/>
        <v>1097</v>
      </c>
      <c r="J16" t="s">
        <v>103</v>
      </c>
      <c r="K16" t="s">
        <v>104</v>
      </c>
      <c r="L16" t="s">
        <v>105</v>
      </c>
      <c r="M16" t="s">
        <v>106</v>
      </c>
      <c r="N16" t="s">
        <v>107</v>
      </c>
      <c r="O16" t="s">
        <v>108</v>
      </c>
      <c r="P16" t="s">
        <v>109</v>
      </c>
    </row>
    <row r="17" spans="1:10" x14ac:dyDescent="0.3">
      <c r="A17" t="s">
        <v>26</v>
      </c>
      <c r="B17" t="s">
        <v>27</v>
      </c>
      <c r="C17">
        <f>VALUE(LEFT(C34,4))*25.4</f>
        <v>721.3599999999999</v>
      </c>
      <c r="D17">
        <f t="shared" ref="D17:I17" si="2">VALUE(LEFT(D34,4))*25.4</f>
        <v>756.92</v>
      </c>
      <c r="E17">
        <f t="shared" si="2"/>
        <v>769.62</v>
      </c>
      <c r="F17">
        <f t="shared" si="2"/>
        <v>784.8599999999999</v>
      </c>
      <c r="G17">
        <f t="shared" si="2"/>
        <v>807.72</v>
      </c>
      <c r="H17">
        <f t="shared" si="2"/>
        <v>830.58</v>
      </c>
      <c r="I17">
        <f t="shared" si="2"/>
        <v>843.28</v>
      </c>
    </row>
    <row r="18" spans="1:10" x14ac:dyDescent="0.3">
      <c r="A18" t="s">
        <v>28</v>
      </c>
      <c r="B18" t="s">
        <v>29</v>
      </c>
      <c r="C18">
        <v>370</v>
      </c>
      <c r="D18">
        <v>373</v>
      </c>
      <c r="E18">
        <v>384</v>
      </c>
      <c r="F18">
        <v>389</v>
      </c>
      <c r="G18">
        <v>399</v>
      </c>
      <c r="H18">
        <v>413</v>
      </c>
      <c r="I18">
        <v>432</v>
      </c>
    </row>
    <row r="19" spans="1:10" x14ac:dyDescent="0.3">
      <c r="A19" t="s">
        <v>30</v>
      </c>
      <c r="B19" t="s">
        <v>31</v>
      </c>
      <c r="C19">
        <v>534</v>
      </c>
      <c r="D19">
        <v>562</v>
      </c>
      <c r="E19">
        <v>574</v>
      </c>
      <c r="F19">
        <v>593</v>
      </c>
      <c r="G19">
        <v>609</v>
      </c>
      <c r="H19">
        <v>628</v>
      </c>
      <c r="I19">
        <v>648</v>
      </c>
    </row>
    <row r="20" spans="1:10" x14ac:dyDescent="0.3">
      <c r="A20" t="s">
        <v>32</v>
      </c>
      <c r="C20">
        <v>47</v>
      </c>
      <c r="D20">
        <v>47</v>
      </c>
      <c r="E20">
        <v>47</v>
      </c>
      <c r="F20">
        <v>47</v>
      </c>
      <c r="G20">
        <v>47</v>
      </c>
      <c r="H20">
        <v>47</v>
      </c>
      <c r="I20">
        <v>47</v>
      </c>
      <c r="J20" s="1" t="s">
        <v>117</v>
      </c>
    </row>
    <row r="21" spans="1:10" x14ac:dyDescent="0.3">
      <c r="A21" t="s">
        <v>33</v>
      </c>
      <c r="C21">
        <v>395</v>
      </c>
      <c r="D21">
        <v>395</v>
      </c>
      <c r="E21">
        <v>395</v>
      </c>
      <c r="F21">
        <v>395</v>
      </c>
      <c r="G21">
        <v>395</v>
      </c>
      <c r="H21">
        <v>395</v>
      </c>
      <c r="I21">
        <v>395</v>
      </c>
    </row>
    <row r="22" spans="1:10" x14ac:dyDescent="0.3">
      <c r="A22" t="s">
        <v>34</v>
      </c>
      <c r="B22" t="s">
        <v>34</v>
      </c>
    </row>
    <row r="23" spans="1:10" x14ac:dyDescent="0.3">
      <c r="A23" t="s">
        <v>35</v>
      </c>
      <c r="B23" t="s">
        <v>35</v>
      </c>
    </row>
    <row r="24" spans="1:10" x14ac:dyDescent="0.3">
      <c r="A24" t="s">
        <v>36</v>
      </c>
      <c r="B24" t="s">
        <v>36</v>
      </c>
    </row>
    <row r="25" spans="1:10" x14ac:dyDescent="0.3">
      <c r="A25" t="s">
        <v>37</v>
      </c>
    </row>
    <row r="26" spans="1:10" x14ac:dyDescent="0.3">
      <c r="A26" t="s">
        <v>38</v>
      </c>
      <c r="B26" t="s">
        <v>38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  <c r="I26">
        <v>700</v>
      </c>
    </row>
    <row r="27" spans="1:10" x14ac:dyDescent="0.3">
      <c r="A27" t="s">
        <v>39</v>
      </c>
      <c r="B27" t="s">
        <v>39</v>
      </c>
      <c r="C27">
        <v>40</v>
      </c>
      <c r="D27">
        <v>40</v>
      </c>
      <c r="E27">
        <v>40</v>
      </c>
      <c r="F27">
        <v>40</v>
      </c>
      <c r="G27">
        <v>40</v>
      </c>
      <c r="H27">
        <v>40</v>
      </c>
      <c r="I27">
        <v>40</v>
      </c>
    </row>
    <row r="28" spans="1:10" x14ac:dyDescent="0.3">
      <c r="A28" t="s">
        <v>40</v>
      </c>
      <c r="B28" t="s">
        <v>40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  <c r="I28">
        <v>50</v>
      </c>
    </row>
    <row r="29" spans="1:10" x14ac:dyDescent="0.3">
      <c r="A29" t="s">
        <v>41</v>
      </c>
      <c r="C29">
        <f>C31*2.54</f>
        <v>152.4</v>
      </c>
      <c r="D29">
        <f t="shared" ref="D29:H30" si="3">D31*2.54</f>
        <v>162.56</v>
      </c>
      <c r="E29">
        <f t="shared" si="3"/>
        <v>172.72</v>
      </c>
      <c r="F29">
        <f t="shared" si="3"/>
        <v>177.8</v>
      </c>
      <c r="G29">
        <f t="shared" si="3"/>
        <v>182.88</v>
      </c>
      <c r="H29">
        <f t="shared" si="3"/>
        <v>187.96</v>
      </c>
      <c r="I29">
        <f>I31*2.54</f>
        <v>190.5</v>
      </c>
    </row>
    <row r="30" spans="1:10" x14ac:dyDescent="0.3">
      <c r="A30" t="s">
        <v>42</v>
      </c>
      <c r="C30">
        <f>C32*2.54</f>
        <v>160.02000000000001</v>
      </c>
      <c r="D30">
        <f t="shared" si="3"/>
        <v>170.18</v>
      </c>
      <c r="E30">
        <f t="shared" si="3"/>
        <v>177.8</v>
      </c>
      <c r="F30">
        <f t="shared" si="3"/>
        <v>182.88</v>
      </c>
      <c r="G30">
        <f t="shared" si="3"/>
        <v>181.61</v>
      </c>
      <c r="H30">
        <f t="shared" si="3"/>
        <v>190.5</v>
      </c>
      <c r="I30">
        <f>I32*2.54</f>
        <v>195.58</v>
      </c>
    </row>
    <row r="31" spans="1:10" x14ac:dyDescent="0.3">
      <c r="C31">
        <v>60</v>
      </c>
      <c r="D31">
        <v>64</v>
      </c>
      <c r="E31">
        <v>68</v>
      </c>
      <c r="F31">
        <v>70</v>
      </c>
      <c r="G31">
        <v>72</v>
      </c>
      <c r="H31">
        <v>74</v>
      </c>
      <c r="I31">
        <v>75</v>
      </c>
    </row>
    <row r="32" spans="1:10" x14ac:dyDescent="0.3">
      <c r="A32" t="s">
        <v>43</v>
      </c>
      <c r="B32" t="s">
        <v>44</v>
      </c>
      <c r="C32">
        <v>63</v>
      </c>
      <c r="D32">
        <v>67</v>
      </c>
      <c r="E32">
        <v>70</v>
      </c>
      <c r="F32">
        <v>72</v>
      </c>
      <c r="G32">
        <v>71.5</v>
      </c>
      <c r="H32">
        <v>75</v>
      </c>
      <c r="I32">
        <v>77</v>
      </c>
    </row>
    <row r="33" spans="1:10" x14ac:dyDescent="0.3">
      <c r="A33" t="s">
        <v>81</v>
      </c>
      <c r="B33" t="s">
        <v>82</v>
      </c>
      <c r="C33" t="s">
        <v>94</v>
      </c>
      <c r="D33" t="s">
        <v>95</v>
      </c>
      <c r="E33" t="s">
        <v>96</v>
      </c>
      <c r="F33" t="s">
        <v>97</v>
      </c>
      <c r="G33" t="s">
        <v>98</v>
      </c>
      <c r="H33" t="s">
        <v>99</v>
      </c>
      <c r="I33" t="s">
        <v>100</v>
      </c>
      <c r="J33" t="s">
        <v>93</v>
      </c>
    </row>
    <row r="34" spans="1:10" x14ac:dyDescent="0.3">
      <c r="A34" t="s">
        <v>83</v>
      </c>
      <c r="B34" t="s">
        <v>84</v>
      </c>
      <c r="C34" t="s">
        <v>110</v>
      </c>
      <c r="D34" t="s">
        <v>111</v>
      </c>
      <c r="E34" t="s">
        <v>112</v>
      </c>
      <c r="F34" t="s">
        <v>113</v>
      </c>
      <c r="G34" t="s">
        <v>114</v>
      </c>
      <c r="H34" t="s">
        <v>115</v>
      </c>
      <c r="I34" t="s">
        <v>116</v>
      </c>
      <c r="J34" t="s">
        <v>27</v>
      </c>
    </row>
    <row r="35" spans="1:10" x14ac:dyDescent="0.3">
      <c r="A35" t="s">
        <v>85</v>
      </c>
      <c r="B35" t="s">
        <v>86</v>
      </c>
    </row>
    <row r="36" spans="1:10" x14ac:dyDescent="0.3">
      <c r="A36" t="s">
        <v>45</v>
      </c>
      <c r="B36" t="s">
        <v>46</v>
      </c>
    </row>
    <row r="37" spans="1:10" x14ac:dyDescent="0.3">
      <c r="A37" t="s">
        <v>47</v>
      </c>
      <c r="B37" s="1" t="s">
        <v>88</v>
      </c>
    </row>
    <row r="38" spans="1:10" x14ac:dyDescent="0.3">
      <c r="A38" t="s">
        <v>48</v>
      </c>
      <c r="B38">
        <v>20</v>
      </c>
    </row>
    <row r="39" spans="1:10" x14ac:dyDescent="0.3">
      <c r="A39" t="s">
        <v>49</v>
      </c>
      <c r="B39">
        <v>50</v>
      </c>
    </row>
    <row r="40" spans="1:10" x14ac:dyDescent="0.3">
      <c r="A40" t="s">
        <v>50</v>
      </c>
    </row>
    <row r="41" spans="1:10" x14ac:dyDescent="0.3">
      <c r="A41" t="s">
        <v>51</v>
      </c>
    </row>
    <row r="42" spans="1:10" x14ac:dyDescent="0.3">
      <c r="A42" t="s">
        <v>52</v>
      </c>
    </row>
    <row r="43" spans="1:10" x14ac:dyDescent="0.3">
      <c r="A43" t="s">
        <v>53</v>
      </c>
    </row>
    <row r="44" spans="1:10" x14ac:dyDescent="0.3">
      <c r="A44" t="s">
        <v>54</v>
      </c>
    </row>
    <row r="45" spans="1:10" x14ac:dyDescent="0.3">
      <c r="A45" t="s">
        <v>55</v>
      </c>
      <c r="B45">
        <v>142</v>
      </c>
    </row>
    <row r="46" spans="1:10" x14ac:dyDescent="0.3">
      <c r="A46" t="s">
        <v>56</v>
      </c>
      <c r="B46">
        <v>100</v>
      </c>
    </row>
    <row r="47" spans="1:10" x14ac:dyDescent="0.3">
      <c r="A47" t="s">
        <v>123</v>
      </c>
    </row>
    <row r="48" spans="1:10" x14ac:dyDescent="0.3">
      <c r="A48" t="s">
        <v>124</v>
      </c>
    </row>
    <row r="49" spans="1:2" x14ac:dyDescent="0.3">
      <c r="A49" t="s">
        <v>125</v>
      </c>
    </row>
    <row r="50" spans="1:2" x14ac:dyDescent="0.3">
      <c r="A50" t="s">
        <v>126</v>
      </c>
    </row>
    <row r="51" spans="1:2" x14ac:dyDescent="0.3">
      <c r="A51" t="s">
        <v>127</v>
      </c>
    </row>
    <row r="52" spans="1:2" x14ac:dyDescent="0.3">
      <c r="A52" t="s">
        <v>128</v>
      </c>
    </row>
    <row r="53" spans="1:2" x14ac:dyDescent="0.3">
      <c r="A53" t="s">
        <v>57</v>
      </c>
      <c r="B53" s="1" t="s">
        <v>89</v>
      </c>
    </row>
    <row r="54" spans="1:2" x14ac:dyDescent="0.3">
      <c r="A54" t="s">
        <v>58</v>
      </c>
    </row>
    <row r="55" spans="1:2" x14ac:dyDescent="0.3">
      <c r="A55" t="s">
        <v>59</v>
      </c>
      <c r="B55">
        <v>27.2</v>
      </c>
    </row>
    <row r="56" spans="1:2" x14ac:dyDescent="0.3">
      <c r="A56" t="s">
        <v>60</v>
      </c>
    </row>
    <row r="57" spans="1:2" x14ac:dyDescent="0.3">
      <c r="A57" t="s">
        <v>61</v>
      </c>
      <c r="B57">
        <v>46</v>
      </c>
    </row>
    <row r="58" spans="1:2" x14ac:dyDescent="0.3">
      <c r="A58" t="s">
        <v>62</v>
      </c>
      <c r="B58">
        <v>52</v>
      </c>
    </row>
    <row r="59" spans="1:2" x14ac:dyDescent="0.3">
      <c r="A59" t="s">
        <v>63</v>
      </c>
    </row>
    <row r="60" spans="1:2" x14ac:dyDescent="0.3">
      <c r="A60" t="s">
        <v>64</v>
      </c>
    </row>
    <row r="61" spans="1:2" x14ac:dyDescent="0.3">
      <c r="A61" t="s">
        <v>65</v>
      </c>
    </row>
    <row r="62" spans="1:2" x14ac:dyDescent="0.3">
      <c r="A62" t="s">
        <v>66</v>
      </c>
      <c r="B62" s="1" t="s">
        <v>118</v>
      </c>
    </row>
    <row r="63" spans="1:2" x14ac:dyDescent="0.3">
      <c r="A63" t="s">
        <v>67</v>
      </c>
      <c r="B63" s="1" t="s">
        <v>91</v>
      </c>
    </row>
    <row r="64" spans="1:2" x14ac:dyDescent="0.3">
      <c r="A64" t="s">
        <v>68</v>
      </c>
    </row>
    <row r="65" spans="1:2" x14ac:dyDescent="0.3">
      <c r="A65" t="s">
        <v>69</v>
      </c>
    </row>
    <row r="66" spans="1:2" x14ac:dyDescent="0.3">
      <c r="A66" t="s">
        <v>70</v>
      </c>
      <c r="B66">
        <v>2</v>
      </c>
    </row>
    <row r="67" spans="1:2" x14ac:dyDescent="0.3">
      <c r="A67" t="s">
        <v>71</v>
      </c>
      <c r="B67">
        <v>1</v>
      </c>
    </row>
    <row r="68" spans="1:2" x14ac:dyDescent="0.3">
      <c r="A68" t="s">
        <v>72</v>
      </c>
      <c r="B68" s="1" t="s">
        <v>88</v>
      </c>
    </row>
    <row r="69" spans="1:2" x14ac:dyDescent="0.3">
      <c r="A69" t="s">
        <v>73</v>
      </c>
    </row>
    <row r="70" spans="1:2" x14ac:dyDescent="0.3">
      <c r="A70" t="s">
        <v>74</v>
      </c>
      <c r="B70" s="1" t="s">
        <v>90</v>
      </c>
    </row>
    <row r="71" spans="1:2" x14ac:dyDescent="0.3">
      <c r="A71" t="s">
        <v>75</v>
      </c>
      <c r="B71" s="1" t="s">
        <v>88</v>
      </c>
    </row>
    <row r="72" spans="1:2" x14ac:dyDescent="0.3">
      <c r="A72" t="s">
        <v>76</v>
      </c>
      <c r="B72" s="1" t="s">
        <v>91</v>
      </c>
    </row>
    <row r="73" spans="1:2" x14ac:dyDescent="0.3">
      <c r="A73" t="s">
        <v>77</v>
      </c>
      <c r="B73">
        <v>4120</v>
      </c>
    </row>
    <row r="74" spans="1:2" x14ac:dyDescent="0.3">
      <c r="A74" t="s">
        <v>78</v>
      </c>
    </row>
    <row r="75" spans="1:2" x14ac:dyDescent="0.3">
      <c r="A75" t="s">
        <v>79</v>
      </c>
    </row>
    <row r="76" spans="1:2" x14ac:dyDescent="0.3">
      <c r="A76" t="s">
        <v>80</v>
      </c>
      <c r="B76" s="1" t="s">
        <v>119</v>
      </c>
    </row>
    <row r="77" spans="1:2" x14ac:dyDescent="0.3">
      <c r="A77" t="s">
        <v>121</v>
      </c>
      <c r="B77" t="s">
        <v>122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2025-11-07T14:41:50Z</dcterms:modified>
</cp:coreProperties>
</file>