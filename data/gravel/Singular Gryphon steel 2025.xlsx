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D7544A5-6AEE-3648-9050-02CE4B8B302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C30" i="1"/>
  <c r="E31" i="1"/>
  <c r="D31" i="1"/>
  <c r="C31" i="1"/>
  <c r="B44" i="1"/>
  <c r="E33" i="1"/>
  <c r="E32" i="1"/>
  <c r="D33" i="1" s="1"/>
  <c r="D32" i="1"/>
  <c r="C33" i="1" s="1"/>
  <c r="C32" i="1"/>
</calcChain>
</file>

<file path=xl/sharedStrings.xml><?xml version="1.0" encoding="utf-8"?>
<sst xmlns="http://schemas.openxmlformats.org/spreadsheetml/2006/main" count="125" uniqueCount="119">
  <si>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</si>
  <si>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</si>
  <si>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</si>
  <si>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</si>
  <si>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</si>
  <si>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</si>
  <si>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</si>
  <si>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</si>
  <si>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</si>
  <si>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</si>
  <si>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</si>
  <si>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</si>
  <si>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</si>
  <si>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</si>
  <si>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</si>
  <si>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</si>
  <si>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</si>
  <si>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</si>
  <si>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</si>
  <si>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</si>
  <si>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</si>
  <si>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</si>
  <si>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</si>
  <si>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</si>
  <si>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</si>
  <si>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</si>
  <si>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</si>
  <si>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</si>
  <si>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</si>
  <si>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</si>
  <si>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</si>
  <si>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</si>
  <si>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</si>
  <si>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</si>
  <si>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</si>
  <si>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</si>
  <si>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</si>
  <si>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</si>
  <si>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</si>
  <si>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</si>
  <si>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</si>
  <si>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</si>
  <si>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</si>
  <si>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</si>
  <si>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</si>
  <si>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</si>
  <si>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</si>
  <si>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</si>
  <si>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</si>
  <si>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</si>
  <si>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</si>
  <si>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</si>
  <si>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</si>
  <si>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</si>
  <si>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</si>
  <si>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</si>
  <si>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</si>
  <si>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</si>
  <si>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</si>
  <si>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</si>
  <si>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</si>
  <si>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</si>
  <si>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</si>
  <si>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</si>
  <si>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</si>
  <si>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</si>
  <si>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</si>
  <si>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</si>
  <si>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</si>
  <si>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</si>
  <si>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</si>
  <si>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</si>
  <si>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</si>
  <si>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</si>
  <si>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</si>
  <si>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</si>
  <si>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</si>
  <si>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</si>
  <si>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</si>
  <si>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</si>
  <si>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</si>
  <si>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</si>
  <si>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</si>
  <si>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</si>
  <si>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</si>
  <si>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Head Angle</t>
  </si>
  <si>
    <t>Seat Angle</t>
  </si>
  <si>
    <t>Head Tube</t>
  </si>
  <si>
    <t>Chainstay</t>
  </si>
  <si>
    <t>Top Tube*</t>
  </si>
  <si>
    <t>M</t>
  </si>
  <si>
    <t>L</t>
  </si>
  <si>
    <t>XL</t>
  </si>
  <si>
    <t>Singular</t>
  </si>
  <si>
    <t>seat_tube_ct</t>
  </si>
  <si>
    <t>https://singularcycles.com/products/gryphon-steel?srsltid=AfmBOorB0zvEMixhf6ur3m7RauWmSXa4A9Ge7ueeIFRRq0lr_Ky_-wWG</t>
  </si>
  <si>
    <t>Size</t>
  </si>
  <si>
    <t>5'6"- 5'9"</t>
  </si>
  <si>
    <t>5'10"- 6'1</t>
  </si>
  <si>
    <t>6'1"- 6'4"</t>
  </si>
  <si>
    <t>168cm-175cm</t>
  </si>
  <si>
    <t>178-186cm</t>
  </si>
  <si>
    <t>186-194cm</t>
  </si>
  <si>
    <t>Seat Tube C-T</t>
  </si>
  <si>
    <t>Seat Tube C-C</t>
  </si>
  <si>
    <t>Standover**</t>
  </si>
  <si>
    <t>no</t>
  </si>
  <si>
    <t>Gryphon Mk3 steel</t>
  </si>
  <si>
    <t>a8:e35</t>
  </si>
  <si>
    <t>https://singularcycles.com/cdn/shop/files/edited_4.jpg?v=1753953935&amp;width=2200</t>
  </si>
  <si>
    <t>location</t>
  </si>
  <si>
    <t>Watford, Hertfordshire, England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</si>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</sst>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2"/>
  <sheetViews>
    <sheetView tabSelected="1" topLeftCell="A58" workbookViewId="0">
      <selection activeCell="B75" sqref="B7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93</v>
      </c>
    </row>
    <row r="2" spans="1:22" x14ac:dyDescent="0.3">
      <c r="A2" s="2" t="s">
        <v>1</v>
      </c>
      <c r="B2" s="2" t="s">
        <v>107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45887</v>
      </c>
    </row>
    <row r="5" spans="1:22" x14ac:dyDescent="0.3">
      <c r="A5" s="2" t="s">
        <v>4</v>
      </c>
      <c r="B5" s="2" t="s">
        <v>95</v>
      </c>
    </row>
    <row r="6" spans="1:22" x14ac:dyDescent="0.3">
      <c r="B6" s="2" t="s">
        <v>109</v>
      </c>
    </row>
    <row r="7" spans="1:22" x14ac:dyDescent="0.3">
      <c r="A7" s="2" t="s">
        <v>5</v>
      </c>
      <c r="B7" s="2" t="s">
        <v>108</v>
      </c>
    </row>
    <row r="8" spans="1:22" ht="22" x14ac:dyDescent="0.3">
      <c r="A8" s="2" t="s">
        <v>6</v>
      </c>
      <c r="B8" s="9" t="s">
        <v>96</v>
      </c>
      <c r="C8" s="9" t="s">
        <v>90</v>
      </c>
      <c r="D8" s="9" t="s">
        <v>91</v>
      </c>
      <c r="E8" s="9" t="s">
        <v>92</v>
      </c>
      <c r="F8" s="7"/>
      <c r="G8" s="7"/>
      <c r="H8" s="9"/>
      <c r="I8" s="9"/>
      <c r="J8" s="9"/>
      <c r="K8" s="9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9">
        <v>385</v>
      </c>
      <c r="D9" s="9">
        <v>398</v>
      </c>
      <c r="E9" s="9">
        <v>408</v>
      </c>
      <c r="F9" s="8"/>
      <c r="G9" s="8"/>
      <c r="H9" s="9"/>
      <c r="I9" s="9"/>
      <c r="J9" s="9"/>
      <c r="K9" s="9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9">
        <v>619</v>
      </c>
      <c r="D10" s="9">
        <v>638</v>
      </c>
      <c r="E10" s="9">
        <v>666</v>
      </c>
      <c r="F10" s="8"/>
      <c r="G10" s="8"/>
      <c r="H10" s="9"/>
      <c r="I10" s="9"/>
      <c r="J10" s="9"/>
      <c r="K10" s="9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89</v>
      </c>
      <c r="C11" s="9">
        <v>575</v>
      </c>
      <c r="D11" s="9">
        <v>600</v>
      </c>
      <c r="E11" s="9">
        <v>625</v>
      </c>
      <c r="F11" s="8"/>
      <c r="G11" s="8"/>
      <c r="H11" s="9"/>
      <c r="I11" s="9"/>
      <c r="J11" s="9"/>
      <c r="K11" s="9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94</v>
      </c>
      <c r="B12" s="9" t="s">
        <v>103</v>
      </c>
      <c r="C12" s="9">
        <v>430</v>
      </c>
      <c r="D12" s="9">
        <v>480</v>
      </c>
      <c r="E12" s="9">
        <v>520</v>
      </c>
      <c r="F12" s="8"/>
      <c r="G12" s="8"/>
      <c r="H12" s="9"/>
      <c r="I12" s="9"/>
      <c r="J12" s="9"/>
      <c r="K12" s="9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104</v>
      </c>
      <c r="C13" s="9">
        <v>380</v>
      </c>
      <c r="D13" s="9">
        <v>430</v>
      </c>
      <c r="E13" s="9">
        <v>480</v>
      </c>
      <c r="F13" s="8"/>
      <c r="G13" s="8"/>
      <c r="H13" s="9"/>
      <c r="I13" s="9"/>
      <c r="J13" s="9"/>
      <c r="K13" s="9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85</v>
      </c>
      <c r="C14" s="9">
        <v>70</v>
      </c>
      <c r="D14" s="9">
        <v>70</v>
      </c>
      <c r="E14" s="9">
        <v>70</v>
      </c>
      <c r="F14" s="8"/>
      <c r="G14" s="8"/>
      <c r="H14" s="9"/>
      <c r="I14" s="9"/>
      <c r="J14" s="9"/>
      <c r="K14" s="9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86</v>
      </c>
      <c r="C15" s="9">
        <v>73</v>
      </c>
      <c r="D15" s="9">
        <v>72.5</v>
      </c>
      <c r="E15" s="9">
        <v>72</v>
      </c>
      <c r="F15" s="8"/>
      <c r="G15" s="8"/>
      <c r="H15" s="9"/>
      <c r="I15" s="9"/>
      <c r="J15" s="9"/>
      <c r="K15" s="9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87</v>
      </c>
      <c r="C16" s="9">
        <v>140</v>
      </c>
      <c r="D16" s="9">
        <v>160</v>
      </c>
      <c r="E16" s="9">
        <v>180</v>
      </c>
      <c r="F16" s="8"/>
      <c r="G16" s="8"/>
      <c r="H16" s="9"/>
      <c r="I16" s="9"/>
      <c r="J16" s="9"/>
      <c r="K16" s="9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88</v>
      </c>
      <c r="C17" s="9">
        <v>460</v>
      </c>
      <c r="D17" s="9">
        <v>460</v>
      </c>
      <c r="E17" s="9">
        <v>460</v>
      </c>
      <c r="F17" s="8"/>
      <c r="G17" s="8"/>
      <c r="H17" s="9"/>
      <c r="I17" s="9"/>
      <c r="J17" s="9"/>
      <c r="K17" s="9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9">
        <v>1098</v>
      </c>
      <c r="D18" s="9">
        <v>1118</v>
      </c>
      <c r="E18" s="9">
        <v>1138</v>
      </c>
      <c r="F18" s="8"/>
      <c r="G18" s="8"/>
      <c r="H18" s="9"/>
      <c r="I18" s="9"/>
      <c r="J18" s="9"/>
      <c r="K18" s="9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18</v>
      </c>
      <c r="B19" s="9" t="s">
        <v>105</v>
      </c>
      <c r="C19" s="9">
        <v>811</v>
      </c>
      <c r="D19" s="9">
        <v>843</v>
      </c>
      <c r="E19" s="9">
        <v>880</v>
      </c>
      <c r="F19" s="8"/>
      <c r="G19" s="8"/>
      <c r="H19" s="9"/>
      <c r="I19" s="9"/>
      <c r="J19" s="9"/>
      <c r="K19" s="9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81</v>
      </c>
      <c r="F20" s="8"/>
      <c r="G20" s="8"/>
      <c r="H20" s="9"/>
      <c r="I20" s="9"/>
      <c r="J20" s="9"/>
      <c r="K20" s="9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C21" s="2">
        <v>83</v>
      </c>
      <c r="D21" s="2">
        <v>83</v>
      </c>
      <c r="E21" s="2">
        <v>83</v>
      </c>
      <c r="F21" s="8"/>
      <c r="G21" s="8"/>
      <c r="H21" s="9"/>
      <c r="I21" s="9"/>
      <c r="J21" s="9"/>
      <c r="K21" s="9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70</v>
      </c>
      <c r="D22" s="8">
        <v>70</v>
      </c>
      <c r="E22" s="8">
        <v>70</v>
      </c>
      <c r="F22" s="8"/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/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450</v>
      </c>
      <c r="D24" s="8">
        <v>450</v>
      </c>
      <c r="E24" s="8">
        <v>450</v>
      </c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</row>
    <row r="30" spans="1:21" x14ac:dyDescent="0.3">
      <c r="A30" s="2" t="s">
        <v>25</v>
      </c>
      <c r="B30" s="2" t="s">
        <v>25</v>
      </c>
      <c r="C30" s="2">
        <f t="shared" ref="C30:E31" si="0">3*25.4</f>
        <v>76.199999999999989</v>
      </c>
      <c r="D30" s="2">
        <f t="shared" si="0"/>
        <v>76.199999999999989</v>
      </c>
      <c r="E30" s="2">
        <f t="shared" si="0"/>
        <v>76.199999999999989</v>
      </c>
    </row>
    <row r="31" spans="1:21" x14ac:dyDescent="0.3">
      <c r="A31" s="2" t="s">
        <v>26</v>
      </c>
      <c r="B31" s="2" t="s">
        <v>26</v>
      </c>
      <c r="C31" s="2">
        <f t="shared" si="0"/>
        <v>76.199999999999989</v>
      </c>
      <c r="D31" s="2">
        <f t="shared" si="0"/>
        <v>76.199999999999989</v>
      </c>
      <c r="E31" s="2">
        <f t="shared" si="0"/>
        <v>76.199999999999989</v>
      </c>
    </row>
    <row r="32" spans="1:21" x14ac:dyDescent="0.3">
      <c r="A32" s="2" t="s">
        <v>27</v>
      </c>
      <c r="B32" s="2" t="s">
        <v>28</v>
      </c>
      <c r="C32" s="2">
        <f>C34</f>
        <v>168</v>
      </c>
      <c r="D32" s="2">
        <f>AVERAGE(D34,C35)</f>
        <v>176.5</v>
      </c>
      <c r="E32" s="2">
        <f t="shared" ref="E32" si="1">AVERAGE(E34,D35)</f>
        <v>186</v>
      </c>
    </row>
    <row r="33" spans="1:12" x14ac:dyDescent="0.3">
      <c r="A33" s="2" t="s">
        <v>29</v>
      </c>
      <c r="B33" s="2" t="s">
        <v>30</v>
      </c>
      <c r="C33" s="2">
        <f>D32</f>
        <v>176.5</v>
      </c>
      <c r="D33" s="2">
        <f t="shared" ref="D33" si="2">E32</f>
        <v>186</v>
      </c>
      <c r="E33" s="2">
        <f>E35</f>
        <v>194</v>
      </c>
    </row>
    <row r="34" spans="1:12" x14ac:dyDescent="0.3">
      <c r="A34" s="2" t="s">
        <v>76</v>
      </c>
      <c r="C34" s="2">
        <v>168</v>
      </c>
      <c r="D34" s="2">
        <v>178</v>
      </c>
      <c r="E34" s="2">
        <v>186</v>
      </c>
    </row>
    <row r="35" spans="1:12" x14ac:dyDescent="0.3">
      <c r="A35" s="2" t="s">
        <v>77</v>
      </c>
      <c r="C35" s="2">
        <v>175</v>
      </c>
      <c r="D35" s="2">
        <v>186</v>
      </c>
      <c r="E35" s="2">
        <v>194</v>
      </c>
    </row>
    <row r="36" spans="1:12" ht="22" x14ac:dyDescent="0.3">
      <c r="C36" s="9" t="s">
        <v>97</v>
      </c>
      <c r="D36" s="9" t="s">
        <v>98</v>
      </c>
      <c r="E36" s="9" t="s">
        <v>99</v>
      </c>
      <c r="F36" s="7"/>
      <c r="L36" s="1"/>
    </row>
    <row r="37" spans="1:12" x14ac:dyDescent="0.3">
      <c r="A37" s="2" t="s">
        <v>31</v>
      </c>
      <c r="B37" s="2" t="s">
        <v>32</v>
      </c>
      <c r="C37" s="9" t="s">
        <v>100</v>
      </c>
      <c r="D37" s="9" t="s">
        <v>101</v>
      </c>
      <c r="E37" s="9" t="s">
        <v>102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f>3*25.4</f>
        <v>76.199999999999989</v>
      </c>
    </row>
    <row r="45" spans="1:12" x14ac:dyDescent="0.3">
      <c r="A45" s="2" t="s">
        <v>37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113</v>
      </c>
    </row>
    <row r="53" spans="1:2" x14ac:dyDescent="0.3">
      <c r="A53" s="2" t="s">
        <v>114</v>
      </c>
    </row>
    <row r="54" spans="1:2" x14ac:dyDescent="0.3">
      <c r="A54" s="2" t="s">
        <v>115</v>
      </c>
    </row>
    <row r="55" spans="1:2" x14ac:dyDescent="0.3">
      <c r="A55" s="2" t="s">
        <v>116</v>
      </c>
    </row>
    <row r="56" spans="1:2" x14ac:dyDescent="0.3">
      <c r="A56" s="2" t="s">
        <v>117</v>
      </c>
    </row>
    <row r="57" spans="1:2" x14ac:dyDescent="0.3">
      <c r="A57" s="2" t="s">
        <v>118</v>
      </c>
    </row>
    <row r="58" spans="1:2" x14ac:dyDescent="0.3">
      <c r="A58" s="2" t="s">
        <v>44</v>
      </c>
      <c r="B58" s="2" t="s">
        <v>75</v>
      </c>
    </row>
    <row r="59" spans="1:2" x14ac:dyDescent="0.3">
      <c r="A59" s="2" t="s">
        <v>45</v>
      </c>
    </row>
    <row r="60" spans="1:2" x14ac:dyDescent="0.3">
      <c r="A60" s="2" t="s">
        <v>46</v>
      </c>
      <c r="B60" s="2">
        <v>27.2</v>
      </c>
    </row>
    <row r="61" spans="1:2" x14ac:dyDescent="0.3">
      <c r="A61" s="2" t="s">
        <v>47</v>
      </c>
      <c r="B61" s="2" t="s">
        <v>106</v>
      </c>
    </row>
    <row r="62" spans="1:2" x14ac:dyDescent="0.3">
      <c r="A62" s="2" t="s">
        <v>48</v>
      </c>
      <c r="B62" s="2">
        <v>42</v>
      </c>
    </row>
    <row r="63" spans="1:2" x14ac:dyDescent="0.3">
      <c r="A63" s="2" t="s">
        <v>49</v>
      </c>
    </row>
    <row r="64" spans="1:2" x14ac:dyDescent="0.3">
      <c r="A64" s="2" t="s">
        <v>50</v>
      </c>
      <c r="B64" s="2">
        <v>160</v>
      </c>
    </row>
    <row r="65" spans="1:2" x14ac:dyDescent="0.3">
      <c r="A65" s="2" t="s">
        <v>51</v>
      </c>
      <c r="B65" s="2">
        <v>160</v>
      </c>
    </row>
    <row r="66" spans="1:2" x14ac:dyDescent="0.3">
      <c r="A66" s="2" t="s">
        <v>52</v>
      </c>
    </row>
    <row r="67" spans="1:2" x14ac:dyDescent="0.3">
      <c r="A67" s="2" t="s">
        <v>53</v>
      </c>
      <c r="B67" s="2" t="s">
        <v>84</v>
      </c>
    </row>
    <row r="68" spans="1:2" x14ac:dyDescent="0.3">
      <c r="A68" s="2" t="s">
        <v>54</v>
      </c>
    </row>
    <row r="69" spans="1:2" x14ac:dyDescent="0.3">
      <c r="A69" s="2" t="s">
        <v>55</v>
      </c>
      <c r="B69" s="2" t="s">
        <v>74</v>
      </c>
    </row>
    <row r="70" spans="1:2" x14ac:dyDescent="0.3">
      <c r="A70" s="2" t="s">
        <v>56</v>
      </c>
    </row>
    <row r="71" spans="1:2" x14ac:dyDescent="0.3">
      <c r="A71" s="2" t="s">
        <v>57</v>
      </c>
      <c r="B71" s="2">
        <v>2</v>
      </c>
    </row>
    <row r="72" spans="1:2" x14ac:dyDescent="0.3">
      <c r="A72" s="2" t="s">
        <v>58</v>
      </c>
      <c r="B72" s="2">
        <v>1</v>
      </c>
    </row>
    <row r="73" spans="1:2" x14ac:dyDescent="0.3">
      <c r="A73" s="2" t="s">
        <v>59</v>
      </c>
    </row>
    <row r="74" spans="1:2" x14ac:dyDescent="0.3">
      <c r="A74" s="2" t="s">
        <v>60</v>
      </c>
      <c r="B74" s="2" t="s">
        <v>74</v>
      </c>
    </row>
    <row r="75" spans="1:2" x14ac:dyDescent="0.3">
      <c r="A75" s="2" t="s">
        <v>61</v>
      </c>
      <c r="B75" s="2" t="s">
        <v>74</v>
      </c>
    </row>
    <row r="76" spans="1:2" x14ac:dyDescent="0.3">
      <c r="A76" s="2" t="s">
        <v>62</v>
      </c>
      <c r="B76" s="2" t="s">
        <v>74</v>
      </c>
    </row>
    <row r="77" spans="1:2" x14ac:dyDescent="0.3">
      <c r="A77" s="2" t="s">
        <v>63</v>
      </c>
    </row>
    <row r="78" spans="1:2" x14ac:dyDescent="0.3">
      <c r="A78" s="2" t="s">
        <v>64</v>
      </c>
      <c r="B78" s="2">
        <v>1140</v>
      </c>
    </row>
    <row r="79" spans="1:2" x14ac:dyDescent="0.3">
      <c r="A79" s="2" t="s">
        <v>65</v>
      </c>
    </row>
    <row r="80" spans="1:2" x14ac:dyDescent="0.3">
      <c r="A80" s="2" t="s">
        <v>66</v>
      </c>
    </row>
    <row r="81" spans="1:2" x14ac:dyDescent="0.3">
      <c r="A81" s="2" t="s">
        <v>67</v>
      </c>
      <c r="B81" s="2" t="s">
        <v>112</v>
      </c>
    </row>
    <row r="82" spans="1:2" x14ac:dyDescent="0.3">
      <c r="A82" s="2" t="s">
        <v>110</v>
      </c>
      <c r="B82" s="2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2025-11-07T14:47:45Z</dcterms:modified>
</cp:coreProperties>
</file>