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7CF2F7A-2086-8D4F-AF4B-A543B16A672E}" xr6:coauthVersionLast="47" xr6:coauthVersionMax="47" xr10:uidLastSave="{00000000-0000-0000-0000-000000000000}"/>
  <bookViews>
    <workbookView xWindow="1456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5" i="1"/>
  <c r="C16" i="1"/>
  <c r="C17" i="1"/>
  <c r="C18" i="1"/>
  <c r="C22" i="1" s="1"/>
  <c r="C19" i="1"/>
  <c r="C14" i="1"/>
  <c r="C10" i="1"/>
  <c r="C11" i="1"/>
  <c r="C9" i="1"/>
</calcChain>
</file>

<file path=xl/sharedStrings.xml><?xml version="1.0" encoding="utf-8"?>
<sst xmlns="http://schemas.openxmlformats.org/spreadsheetml/2006/main" count="110" uniqueCount="105">
  <si>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</si>
  <si>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</si>
  <si>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</si>
  <si>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</si>
  <si>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</si>
  <si>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</si>
  <si>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</si>
  <si>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</si>
  <si>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</si>
  <si>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</si>
  <si>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</si>
  <si>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</si>
  <si>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</si>
  <si>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</si>
  <si>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</si>
  <si>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</si>
  <si>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</si>
  <si>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</si>
  <si>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</si>
  <si>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</si>
  <si>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</si>
  <si>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</si>
  <si>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</si>
  <si>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</si>
  <si>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</si>
  <si>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</si>
  <si>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</si>
  <si>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</si>
  <si>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</si>
  <si>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</si>
  <si>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</si>
  <si>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</si>
  <si>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</si>
  <si>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</si>
  <si>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</si>
  <si>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</si>
  <si>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</si>
  <si>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</si>
  <si>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</si>
  <si>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</si>
  <si>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</si>
  <si>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</si>
  <si>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</si>
  <si>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</si>
  <si>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</si>
  <si>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</si>
  <si>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</si>
  <si>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</si>
  <si>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</si>
  <si>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</si>
  <si>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</si>
  <si>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</si>
  <si>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</si>
  <si>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</si>
  <si>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</si>
  <si>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</si>
  <si>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</si>
  <si>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</si>
  <si>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</si>
  <si>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</si>
  <si>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</si>
  <si>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</si>
  <si>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</si>
  <si>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</si>
  <si>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</si>
  <si>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</si>
  <si>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</si>
  <si>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</si>
  <si>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</si>
  <si>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</si>
  <si>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XL</t>
  </si>
  <si>
    <t>XS</t>
  </si>
  <si>
    <t>BB Drop</t>
  </si>
  <si>
    <t>Front Center</t>
  </si>
  <si>
    <t>Stack</t>
  </si>
  <si>
    <t>Reach</t>
  </si>
  <si>
    <t>class</t>
  </si>
  <si>
    <t>handlebar</t>
  </si>
  <si>
    <t>fork</t>
  </si>
  <si>
    <t>Squid</t>
  </si>
  <si>
    <t>Gravtron V2</t>
  </si>
  <si>
    <t>Size</t>
  </si>
  <si>
    <t>SML</t>
  </si>
  <si>
    <t>MED</t>
  </si>
  <si>
    <t>LRG</t>
  </si>
  <si>
    <t>XXL</t>
  </si>
  <si>
    <t>Seat Tube (C-T)</t>
  </si>
  <si>
    <t>Top Tube (EFF)</t>
  </si>
  <si>
    <t>Head Tube</t>
  </si>
  <si>
    <t>Head Angle</t>
  </si>
  <si>
    <t>Seat Angle</t>
  </si>
  <si>
    <t>Chainstay</t>
  </si>
  <si>
    <t>Standover</t>
  </si>
  <si>
    <t>https://www.squidbikes.com/collections/bikes/products/gravtron-v2-gravel</t>
  </si>
  <si>
    <t>steel</t>
  </si>
  <si>
    <t>drop bar</t>
  </si>
  <si>
    <t>gravel</t>
  </si>
  <si>
    <t>rigid</t>
  </si>
  <si>
    <t>threaded</t>
  </si>
  <si>
    <t>Whisky MCX</t>
  </si>
  <si>
    <t>USD</t>
  </si>
  <si>
    <t>a8:h32</t>
  </si>
  <si>
    <t>https://cdn.shopify.com/s/files/1/1267/7587/files/RedSPlatterGrav__18.jpg?v=1649980545</t>
  </si>
  <si>
    <t>location</t>
  </si>
  <si>
    <t>Sacramento,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</si>
</sst>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46" workbookViewId="0">
      <selection activeCell="A73" sqref="A73:B73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79</v>
      </c>
    </row>
    <row r="2" spans="1:15">
      <c r="A2" s="1" t="s">
        <v>1</v>
      </c>
      <c r="B2" s="1" t="s">
        <v>80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93</v>
      </c>
    </row>
    <row r="6" spans="1:15">
      <c r="B6" s="1" t="s">
        <v>102</v>
      </c>
    </row>
    <row r="7" spans="1:15">
      <c r="A7" s="1" t="s">
        <v>5</v>
      </c>
      <c r="B7" s="1" t="s">
        <v>101</v>
      </c>
    </row>
    <row r="8" spans="1:15">
      <c r="A8" s="1" t="s">
        <v>6</v>
      </c>
      <c r="B8" s="1" t="s">
        <v>81</v>
      </c>
      <c r="C8" s="3" t="s">
        <v>71</v>
      </c>
      <c r="D8" s="3" t="s">
        <v>82</v>
      </c>
      <c r="E8" s="3" t="s">
        <v>83</v>
      </c>
      <c r="F8" s="1" t="s">
        <v>84</v>
      </c>
      <c r="G8" s="1" t="s">
        <v>70</v>
      </c>
      <c r="H8" s="1" t="s">
        <v>85</v>
      </c>
    </row>
    <row r="9" spans="1:15">
      <c r="A9" s="1" t="s">
        <v>7</v>
      </c>
      <c r="B9" s="1" t="s">
        <v>86</v>
      </c>
      <c r="C9" s="8">
        <f>J9*10</f>
        <v>420</v>
      </c>
      <c r="D9" s="8">
        <f t="shared" ref="D9:H11" si="0">K9*10</f>
        <v>475</v>
      </c>
      <c r="E9" s="8">
        <f t="shared" si="0"/>
        <v>490</v>
      </c>
      <c r="F9" s="8">
        <f t="shared" si="0"/>
        <v>530</v>
      </c>
      <c r="G9" s="8">
        <f t="shared" si="0"/>
        <v>560</v>
      </c>
      <c r="H9" s="8">
        <f t="shared" si="0"/>
        <v>580</v>
      </c>
      <c r="J9" s="4">
        <v>42</v>
      </c>
      <c r="K9" s="4">
        <v>47.5</v>
      </c>
      <c r="L9" s="4">
        <v>49</v>
      </c>
      <c r="M9" s="1">
        <v>53</v>
      </c>
      <c r="N9" s="1">
        <v>56</v>
      </c>
      <c r="O9" s="1">
        <v>58</v>
      </c>
    </row>
    <row r="10" spans="1:15">
      <c r="A10" s="1" t="s">
        <v>9</v>
      </c>
      <c r="B10" s="1" t="s">
        <v>87</v>
      </c>
      <c r="C10" s="8">
        <f t="shared" ref="C10:C11" si="1">J10*10</f>
        <v>505</v>
      </c>
      <c r="D10" s="8">
        <f t="shared" si="0"/>
        <v>520</v>
      </c>
      <c r="E10" s="8">
        <f t="shared" si="0"/>
        <v>535</v>
      </c>
      <c r="F10" s="8">
        <f t="shared" si="0"/>
        <v>550</v>
      </c>
      <c r="G10" s="8">
        <f t="shared" si="0"/>
        <v>565</v>
      </c>
      <c r="H10" s="8">
        <f t="shared" si="0"/>
        <v>585</v>
      </c>
      <c r="J10" s="4">
        <v>50.5</v>
      </c>
      <c r="K10" s="4">
        <v>52</v>
      </c>
      <c r="L10" s="4">
        <v>53.5</v>
      </c>
      <c r="M10" s="1">
        <v>55</v>
      </c>
      <c r="N10" s="1">
        <v>56.5</v>
      </c>
      <c r="O10" s="1">
        <v>58.5</v>
      </c>
    </row>
    <row r="11" spans="1:15">
      <c r="A11" s="1" t="s">
        <v>10</v>
      </c>
      <c r="B11" s="1" t="s">
        <v>88</v>
      </c>
      <c r="C11" s="8">
        <f t="shared" si="1"/>
        <v>80</v>
      </c>
      <c r="D11" s="8">
        <f t="shared" si="0"/>
        <v>90</v>
      </c>
      <c r="E11" s="8">
        <f t="shared" si="0"/>
        <v>110</v>
      </c>
      <c r="F11" s="8">
        <f t="shared" si="0"/>
        <v>125</v>
      </c>
      <c r="G11" s="8">
        <f t="shared" si="0"/>
        <v>145</v>
      </c>
      <c r="H11" s="8">
        <f t="shared" si="0"/>
        <v>165</v>
      </c>
      <c r="I11" s="4"/>
      <c r="J11" s="4">
        <v>8</v>
      </c>
      <c r="K11" s="4">
        <v>9</v>
      </c>
      <c r="L11" s="4">
        <v>11</v>
      </c>
      <c r="M11" s="4">
        <v>12.5</v>
      </c>
      <c r="N11" s="1">
        <v>14.5</v>
      </c>
      <c r="O11" s="4">
        <v>16.5</v>
      </c>
    </row>
    <row r="12" spans="1:15">
      <c r="A12" s="1" t="s">
        <v>11</v>
      </c>
      <c r="B12" s="1" t="s">
        <v>89</v>
      </c>
      <c r="C12" s="8">
        <v>69</v>
      </c>
      <c r="D12" s="8">
        <v>69</v>
      </c>
      <c r="E12" s="8">
        <v>69</v>
      </c>
      <c r="F12" s="8">
        <v>69</v>
      </c>
      <c r="G12" s="8">
        <v>69</v>
      </c>
      <c r="H12" s="8">
        <v>69</v>
      </c>
      <c r="J12" s="4">
        <v>69</v>
      </c>
      <c r="K12" s="4">
        <v>69.5</v>
      </c>
      <c r="L12" s="4">
        <v>70</v>
      </c>
      <c r="M12" s="1">
        <v>70.5</v>
      </c>
      <c r="N12" s="1">
        <v>71</v>
      </c>
      <c r="O12" s="1">
        <v>71.5</v>
      </c>
    </row>
    <row r="13" spans="1:15">
      <c r="A13" s="1" t="s">
        <v>8</v>
      </c>
      <c r="B13" s="1" t="s">
        <v>90</v>
      </c>
      <c r="C13" s="8">
        <v>74.5</v>
      </c>
      <c r="D13" s="8">
        <v>74.5</v>
      </c>
      <c r="E13" s="8">
        <v>74.5</v>
      </c>
      <c r="F13" s="8">
        <v>74.5</v>
      </c>
      <c r="G13" s="8">
        <v>74.5</v>
      </c>
      <c r="H13" s="8">
        <v>74.5</v>
      </c>
      <c r="J13" s="4">
        <v>74.5</v>
      </c>
      <c r="K13" s="4">
        <v>74</v>
      </c>
      <c r="L13" s="4">
        <v>73.5</v>
      </c>
      <c r="M13" s="1">
        <v>73</v>
      </c>
      <c r="N13" s="1">
        <v>72.5</v>
      </c>
      <c r="O13" s="1">
        <v>72.5</v>
      </c>
    </row>
    <row r="14" spans="1:15">
      <c r="A14" s="1" t="s">
        <v>66</v>
      </c>
      <c r="B14" s="8" t="s">
        <v>73</v>
      </c>
      <c r="C14" s="8">
        <f t="shared" ref="C14:C19" si="2">J14*10</f>
        <v>592</v>
      </c>
      <c r="D14" s="8">
        <f t="shared" ref="D14:D19" si="3">K14*10</f>
        <v>597</v>
      </c>
      <c r="E14" s="8">
        <f t="shared" ref="E14:E19" si="4">L14*10</f>
        <v>605</v>
      </c>
      <c r="F14" s="8">
        <f t="shared" ref="F14:F19" si="5">M14*10</f>
        <v>610</v>
      </c>
      <c r="G14" s="8">
        <f t="shared" ref="G14:G19" si="6">N14*10</f>
        <v>615</v>
      </c>
      <c r="H14" s="8">
        <f t="shared" ref="H14:H19" si="7">O14*10</f>
        <v>630</v>
      </c>
      <c r="J14" s="4">
        <v>59.2</v>
      </c>
      <c r="K14" s="4">
        <v>59.7</v>
      </c>
      <c r="L14" s="4">
        <v>60.5</v>
      </c>
      <c r="M14" s="1">
        <v>61</v>
      </c>
      <c r="N14" s="1">
        <v>61.5</v>
      </c>
      <c r="O14" s="1">
        <v>63</v>
      </c>
    </row>
    <row r="15" spans="1:15">
      <c r="A15" s="1" t="s">
        <v>18</v>
      </c>
      <c r="B15" s="8" t="s">
        <v>75</v>
      </c>
      <c r="C15" s="8">
        <f t="shared" si="2"/>
        <v>359</v>
      </c>
      <c r="D15" s="8">
        <f t="shared" si="3"/>
        <v>365</v>
      </c>
      <c r="E15" s="8">
        <f t="shared" si="4"/>
        <v>370</v>
      </c>
      <c r="F15" s="8">
        <f t="shared" si="5"/>
        <v>374</v>
      </c>
      <c r="G15" s="8">
        <f t="shared" si="6"/>
        <v>377</v>
      </c>
      <c r="H15" s="8">
        <f t="shared" si="7"/>
        <v>396</v>
      </c>
      <c r="J15" s="4">
        <v>35.9</v>
      </c>
      <c r="K15" s="4">
        <v>36.5</v>
      </c>
      <c r="L15" s="4">
        <v>37</v>
      </c>
      <c r="M15" s="1">
        <v>37.4</v>
      </c>
      <c r="N15" s="1">
        <v>37.700000000000003</v>
      </c>
      <c r="O15" s="1">
        <v>39.6</v>
      </c>
    </row>
    <row r="16" spans="1:15">
      <c r="A16" s="1" t="s">
        <v>17</v>
      </c>
      <c r="B16" s="9" t="s">
        <v>74</v>
      </c>
      <c r="C16" s="8">
        <f t="shared" si="2"/>
        <v>526</v>
      </c>
      <c r="D16" s="8">
        <f t="shared" si="3"/>
        <v>538</v>
      </c>
      <c r="E16" s="8">
        <f t="shared" si="4"/>
        <v>559</v>
      </c>
      <c r="F16" s="8">
        <f t="shared" si="5"/>
        <v>575</v>
      </c>
      <c r="G16" s="8">
        <f t="shared" si="6"/>
        <v>595</v>
      </c>
      <c r="H16" s="8">
        <f t="shared" si="7"/>
        <v>617</v>
      </c>
      <c r="J16" s="1">
        <v>52.6</v>
      </c>
      <c r="K16" s="1">
        <v>53.8</v>
      </c>
      <c r="L16" s="1">
        <v>55.9</v>
      </c>
      <c r="M16" s="1">
        <v>57.5</v>
      </c>
      <c r="N16" s="1">
        <v>59.5</v>
      </c>
      <c r="O16" s="1">
        <v>61.7</v>
      </c>
    </row>
    <row r="17" spans="1:15">
      <c r="A17" s="1" t="s">
        <v>16</v>
      </c>
      <c r="B17" s="1" t="s">
        <v>72</v>
      </c>
      <c r="C17" s="8">
        <f t="shared" si="2"/>
        <v>70</v>
      </c>
      <c r="D17" s="8">
        <f t="shared" si="3"/>
        <v>70</v>
      </c>
      <c r="E17" s="8">
        <f t="shared" si="4"/>
        <v>70</v>
      </c>
      <c r="F17" s="8">
        <f t="shared" si="5"/>
        <v>70</v>
      </c>
      <c r="G17" s="8">
        <f t="shared" si="6"/>
        <v>70</v>
      </c>
      <c r="H17" s="8">
        <f t="shared" si="7"/>
        <v>70</v>
      </c>
      <c r="J17" s="1">
        <v>7</v>
      </c>
      <c r="K17" s="1">
        <v>7</v>
      </c>
      <c r="L17" s="1">
        <v>7</v>
      </c>
      <c r="M17" s="1">
        <v>7</v>
      </c>
      <c r="N17" s="1">
        <v>7</v>
      </c>
      <c r="O17" s="1">
        <v>7</v>
      </c>
    </row>
    <row r="18" spans="1:15">
      <c r="A18" s="1" t="s">
        <v>15</v>
      </c>
      <c r="B18" s="1" t="s">
        <v>91</v>
      </c>
      <c r="C18" s="8">
        <f t="shared" si="2"/>
        <v>430</v>
      </c>
      <c r="D18" s="8">
        <f t="shared" si="3"/>
        <v>430</v>
      </c>
      <c r="E18" s="8">
        <f t="shared" si="4"/>
        <v>430</v>
      </c>
      <c r="F18" s="8">
        <f t="shared" si="5"/>
        <v>430</v>
      </c>
      <c r="G18" s="8">
        <f t="shared" si="6"/>
        <v>430</v>
      </c>
      <c r="H18" s="8">
        <f t="shared" si="7"/>
        <v>430</v>
      </c>
      <c r="J18" s="1">
        <v>43</v>
      </c>
      <c r="K18" s="1">
        <v>43</v>
      </c>
      <c r="L18" s="1">
        <v>43</v>
      </c>
      <c r="M18" s="1">
        <v>43</v>
      </c>
      <c r="N18" s="1">
        <v>43</v>
      </c>
      <c r="O18" s="1">
        <v>43</v>
      </c>
    </row>
    <row r="19" spans="1:15">
      <c r="A19" s="1" t="s">
        <v>19</v>
      </c>
      <c r="B19" s="1" t="s">
        <v>92</v>
      </c>
      <c r="C19" s="8">
        <f t="shared" si="2"/>
        <v>720</v>
      </c>
      <c r="D19" s="8">
        <f t="shared" si="3"/>
        <v>750</v>
      </c>
      <c r="E19" s="8">
        <f t="shared" si="4"/>
        <v>764</v>
      </c>
      <c r="F19" s="8">
        <f t="shared" si="5"/>
        <v>790</v>
      </c>
      <c r="G19" s="8">
        <f t="shared" si="6"/>
        <v>820</v>
      </c>
      <c r="H19" s="8">
        <f t="shared" si="7"/>
        <v>840</v>
      </c>
      <c r="J19" s="1">
        <v>72</v>
      </c>
      <c r="K19" s="1">
        <v>75</v>
      </c>
      <c r="L19" s="1">
        <v>76.400000000000006</v>
      </c>
      <c r="M19" s="1">
        <v>79</v>
      </c>
      <c r="N19" s="1">
        <v>82</v>
      </c>
      <c r="O19" s="1">
        <v>84</v>
      </c>
    </row>
    <row r="20" spans="1:15">
      <c r="A20" s="1" t="s">
        <v>24</v>
      </c>
      <c r="C20" s="1">
        <v>415</v>
      </c>
      <c r="D20" s="1">
        <v>415</v>
      </c>
      <c r="E20" s="1">
        <v>415</v>
      </c>
      <c r="F20" s="1">
        <v>415</v>
      </c>
      <c r="G20" s="1">
        <v>415</v>
      </c>
      <c r="H20" s="1">
        <v>415</v>
      </c>
      <c r="I20" s="1" t="s">
        <v>99</v>
      </c>
    </row>
    <row r="21" spans="1:15">
      <c r="A21" s="1" t="s">
        <v>12</v>
      </c>
      <c r="C21" s="1">
        <v>50</v>
      </c>
      <c r="D21" s="1">
        <v>50</v>
      </c>
      <c r="E21" s="1">
        <v>50</v>
      </c>
      <c r="F21" s="1">
        <v>50</v>
      </c>
      <c r="G21" s="1">
        <v>50</v>
      </c>
      <c r="H21" s="1">
        <v>50</v>
      </c>
    </row>
    <row r="22" spans="1:15" ht="21" customHeight="1">
      <c r="A22" s="1" t="s">
        <v>14</v>
      </c>
      <c r="C22" s="7">
        <f>SQRT(C18^2-C17^2) + SQRT(C14^2 -C17^2)</f>
        <v>1012.110987560705</v>
      </c>
      <c r="D22" s="7">
        <f t="shared" ref="D22:H22" si="8">SQRT(D18^2-D17^2) + SQRT(D14^2 -D17^2)</f>
        <v>1017.1460131157028</v>
      </c>
      <c r="E22" s="7">
        <f t="shared" si="8"/>
        <v>1025.2008374322324</v>
      </c>
      <c r="F22" s="7">
        <f t="shared" si="8"/>
        <v>1030.2343650136531</v>
      </c>
      <c r="G22" s="7">
        <f t="shared" si="8"/>
        <v>1035.2673420255828</v>
      </c>
      <c r="H22" s="7">
        <f t="shared" si="8"/>
        <v>1050.3631024118695</v>
      </c>
    </row>
    <row r="23" spans="1:15">
      <c r="A23" s="1" t="s">
        <v>22</v>
      </c>
    </row>
    <row r="24" spans="1:15">
      <c r="A24" s="1" t="s">
        <v>20</v>
      </c>
    </row>
    <row r="25" spans="1:15">
      <c r="A25" s="1" t="s">
        <v>21</v>
      </c>
    </row>
    <row r="26" spans="1:15">
      <c r="A26" s="1" t="s">
        <v>13</v>
      </c>
      <c r="C26" s="4"/>
      <c r="D26" s="4"/>
      <c r="E26" s="4"/>
    </row>
    <row r="27" spans="1:15">
      <c r="A27" s="1" t="s">
        <v>68</v>
      </c>
      <c r="C27" s="4"/>
      <c r="D27" s="4"/>
      <c r="E27" s="4"/>
      <c r="F27" s="4"/>
    </row>
    <row r="28" spans="1:15">
      <c r="A28" s="1" t="s">
        <v>23</v>
      </c>
      <c r="C28" s="8">
        <v>700</v>
      </c>
      <c r="D28" s="8">
        <v>700</v>
      </c>
      <c r="E28" s="8">
        <v>700</v>
      </c>
      <c r="F28" s="8">
        <v>700</v>
      </c>
      <c r="G28" s="8">
        <v>700</v>
      </c>
      <c r="H28" s="8">
        <v>700</v>
      </c>
    </row>
    <row r="29" spans="1:15">
      <c r="A29" s="1" t="s">
        <v>25</v>
      </c>
      <c r="C29" s="8">
        <v>45</v>
      </c>
      <c r="D29" s="8">
        <v>45</v>
      </c>
      <c r="E29" s="8">
        <v>45</v>
      </c>
      <c r="F29" s="8">
        <v>45</v>
      </c>
      <c r="G29" s="8">
        <v>45</v>
      </c>
      <c r="H29" s="8">
        <v>45</v>
      </c>
    </row>
    <row r="30" spans="1:15">
      <c r="A30" s="1" t="s">
        <v>26</v>
      </c>
      <c r="C30" s="8">
        <v>50</v>
      </c>
      <c r="D30" s="8">
        <v>50</v>
      </c>
      <c r="E30" s="8">
        <v>50</v>
      </c>
      <c r="F30" s="8">
        <v>50</v>
      </c>
      <c r="G30" s="8">
        <v>50</v>
      </c>
      <c r="H30" s="8">
        <v>50</v>
      </c>
    </row>
    <row r="31" spans="1:15">
      <c r="A31" s="1" t="s">
        <v>27</v>
      </c>
      <c r="C31" s="4"/>
      <c r="D31" s="4"/>
      <c r="E31" s="4"/>
      <c r="F31" s="4"/>
      <c r="G31" s="4"/>
    </row>
    <row r="32" spans="1:15">
      <c r="A32" s="1" t="s">
        <v>28</v>
      </c>
      <c r="C32" s="4"/>
      <c r="D32" s="4"/>
      <c r="E32" s="4"/>
      <c r="F32" s="4"/>
      <c r="G32" s="4"/>
    </row>
    <row r="33" spans="1:6">
      <c r="D33" s="5"/>
      <c r="E33" s="5"/>
    </row>
    <row r="34" spans="1:6">
      <c r="A34" s="1" t="s">
        <v>29</v>
      </c>
      <c r="B34" s="1" t="s">
        <v>30</v>
      </c>
      <c r="C34" s="4"/>
      <c r="D34" s="6"/>
      <c r="E34" s="6"/>
      <c r="F34" s="4"/>
    </row>
    <row r="35" spans="1:6">
      <c r="A35" s="1" t="s">
        <v>76</v>
      </c>
      <c r="B35" s="1" t="s">
        <v>96</v>
      </c>
      <c r="D35" s="6"/>
      <c r="E35" s="6"/>
    </row>
    <row r="36" spans="1:6">
      <c r="A36" s="1" t="s">
        <v>77</v>
      </c>
      <c r="B36" s="1" t="s">
        <v>95</v>
      </c>
      <c r="D36" s="6"/>
      <c r="E36" s="6"/>
    </row>
    <row r="37" spans="1:6">
      <c r="A37" s="1" t="s">
        <v>78</v>
      </c>
      <c r="B37" s="1" t="s">
        <v>97</v>
      </c>
      <c r="D37" s="6"/>
      <c r="E37" s="6"/>
    </row>
    <row r="38" spans="1:6">
      <c r="A38" s="1" t="s">
        <v>31</v>
      </c>
      <c r="B38" s="1" t="s">
        <v>94</v>
      </c>
      <c r="D38" s="6"/>
      <c r="E38" s="6"/>
    </row>
    <row r="39" spans="1:6">
      <c r="A39" s="1" t="s">
        <v>32</v>
      </c>
      <c r="B39" s="1" t="s">
        <v>67</v>
      </c>
    </row>
    <row r="40" spans="1:6">
      <c r="A40" s="1" t="s">
        <v>33</v>
      </c>
    </row>
    <row r="41" spans="1:6">
      <c r="A41" s="1" t="s">
        <v>34</v>
      </c>
      <c r="B41" s="1">
        <v>50</v>
      </c>
    </row>
    <row r="42" spans="1:6">
      <c r="A42" s="1" t="s">
        <v>35</v>
      </c>
      <c r="B42" s="1">
        <v>2.25</v>
      </c>
    </row>
    <row r="43" spans="1:6">
      <c r="A43" s="1" t="s">
        <v>36</v>
      </c>
    </row>
    <row r="44" spans="1:6">
      <c r="A44" s="1" t="s">
        <v>37</v>
      </c>
    </row>
    <row r="45" spans="1:6">
      <c r="A45" s="1" t="s">
        <v>38</v>
      </c>
    </row>
    <row r="46" spans="1:6">
      <c r="A46" s="1" t="s">
        <v>39</v>
      </c>
    </row>
    <row r="47" spans="1:6">
      <c r="A47" s="1" t="s">
        <v>40</v>
      </c>
      <c r="B47" s="1">
        <v>142</v>
      </c>
    </row>
    <row r="48" spans="1:6">
      <c r="A48" s="1" t="s">
        <v>41</v>
      </c>
      <c r="B48" s="1">
        <v>100</v>
      </c>
    </row>
    <row r="49" spans="1:2">
      <c r="A49" s="1" t="s">
        <v>42</v>
      </c>
      <c r="B49" s="1" t="s">
        <v>98</v>
      </c>
    </row>
    <row r="50" spans="1:2">
      <c r="A50" s="1" t="s">
        <v>43</v>
      </c>
    </row>
    <row r="51" spans="1:2">
      <c r="A51" s="1" t="s">
        <v>44</v>
      </c>
      <c r="B51" s="1">
        <v>27.2</v>
      </c>
    </row>
    <row r="52" spans="1:2">
      <c r="A52" s="1" t="s">
        <v>45</v>
      </c>
    </row>
    <row r="53" spans="1:2">
      <c r="A53" s="1" t="s">
        <v>46</v>
      </c>
    </row>
    <row r="54" spans="1:2">
      <c r="A54" s="1" t="s">
        <v>47</v>
      </c>
    </row>
    <row r="55" spans="1:2">
      <c r="A55" s="1" t="s">
        <v>48</v>
      </c>
    </row>
    <row r="56" spans="1:2">
      <c r="A56" s="1" t="s">
        <v>49</v>
      </c>
    </row>
    <row r="57" spans="1:2">
      <c r="A57" s="1" t="s">
        <v>50</v>
      </c>
    </row>
    <row r="58" spans="1:2">
      <c r="A58" s="1" t="s">
        <v>51</v>
      </c>
      <c r="B58" s="1" t="s">
        <v>69</v>
      </c>
    </row>
    <row r="59" spans="1:2">
      <c r="A59" s="1" t="s">
        <v>52</v>
      </c>
      <c r="B59" s="1" t="s">
        <v>69</v>
      </c>
    </row>
    <row r="60" spans="1:2">
      <c r="A60" s="1" t="s">
        <v>53</v>
      </c>
      <c r="B60" s="1" t="s">
        <v>67</v>
      </c>
    </row>
    <row r="61" spans="1:2">
      <c r="A61" s="1" t="s">
        <v>54</v>
      </c>
    </row>
    <row r="62" spans="1:2">
      <c r="A62" s="1" t="s">
        <v>55</v>
      </c>
      <c r="B62" s="1">
        <v>2</v>
      </c>
    </row>
    <row r="63" spans="1:2">
      <c r="A63" s="1" t="s">
        <v>56</v>
      </c>
      <c r="B63" s="1">
        <v>1</v>
      </c>
    </row>
    <row r="64" spans="1:2">
      <c r="A64" s="1" t="s">
        <v>57</v>
      </c>
    </row>
    <row r="65" spans="1:2">
      <c r="A65" s="1" t="s">
        <v>58</v>
      </c>
      <c r="B65" s="1">
        <v>3</v>
      </c>
    </row>
    <row r="66" spans="1:2">
      <c r="A66" s="1" t="s">
        <v>59</v>
      </c>
      <c r="B66" s="1" t="s">
        <v>67</v>
      </c>
    </row>
    <row r="67" spans="1:2">
      <c r="A67" s="1" t="s">
        <v>60</v>
      </c>
      <c r="B67" s="1" t="s">
        <v>67</v>
      </c>
    </row>
    <row r="68" spans="1:2">
      <c r="A68" s="1" t="s">
        <v>61</v>
      </c>
      <c r="B68" s="1" t="s">
        <v>67</v>
      </c>
    </row>
    <row r="69" spans="1:2">
      <c r="A69" s="1" t="s">
        <v>62</v>
      </c>
      <c r="B69" s="1">
        <v>1400</v>
      </c>
    </row>
    <row r="70" spans="1:2">
      <c r="A70" s="1" t="s">
        <v>63</v>
      </c>
      <c r="B70" s="1">
        <v>2900</v>
      </c>
    </row>
    <row r="71" spans="1:2">
      <c r="A71" s="1" t="s">
        <v>64</v>
      </c>
    </row>
    <row r="72" spans="1:2">
      <c r="A72" s="1" t="s">
        <v>65</v>
      </c>
      <c r="B72" s="1" t="s">
        <v>100</v>
      </c>
    </row>
    <row r="73" spans="1:2">
      <c r="A73" s="1" t="s">
        <v>103</v>
      </c>
      <c r="B73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2025-10-18T00:17:25Z</dcterms:modified>
</cp:coreProperties>
</file>