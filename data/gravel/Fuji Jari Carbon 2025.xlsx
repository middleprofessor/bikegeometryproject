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F3A7E8E-E115-5649-BD48-D8B1C238E66A}" xr6:coauthVersionLast="47" xr6:coauthVersionMax="47" xr10:uidLastSave="{00000000-0000-0000-0000-000000000000}"/>
  <bookViews>
    <workbookView xWindow="32440" yWindow="-271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E9" i="1"/>
  <c r="F9" i="1"/>
  <c r="G9" i="1"/>
</calcChain>
</file>

<file path=xl/sharedStrings.xml><?xml version="1.0" encoding="utf-8"?>
<sst xmlns="http://schemas.openxmlformats.org/spreadsheetml/2006/main" count="136" uniqueCount="126">
  <si>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</si>
  <si>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</si>
  <si>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</si>
  <si>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</si>
  <si>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</si>
  <si>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</si>
  <si>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</si>
  <si>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</si>
  <si>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</si>
  <si>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chainstay_length</t>
  </si>
  <si>
    <t>head_tube_angle</t>
  </si>
  <si>
    <t>seat_tube_angle</t>
  </si>
  <si>
    <t>bottom_bracket_drop</t>
  </si>
  <si>
    <t>head_tube_length</t>
  </si>
  <si>
    <t>reach</t>
  </si>
  <si>
    <t>stack</t>
  </si>
  <si>
    <t>wheelbase</t>
  </si>
  <si>
    <t>fork_offset_rake</t>
  </si>
  <si>
    <t>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</si>
  <si>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</si>
  <si>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</si>
  <si>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</si>
  <si>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</si>
  <si>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</si>
  <si>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</si>
  <si>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</si>
  <si>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</si>
  <si>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</si>
  <si>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</si>
  <si>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</si>
  <si>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</si>
  <si>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</si>
  <si>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</si>
  <si>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</si>
  <si>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</si>
  <si>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</si>
  <si>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</si>
  <si>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</si>
  <si>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</si>
  <si>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</si>
  <si>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</si>
  <si>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</si>
  <si>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</si>
  <si>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</si>
  <si>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</si>
  <si>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</si>
  <si>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</si>
  <si>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</si>
  <si>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</si>
  <si>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</si>
  <si>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</si>
  <si>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</si>
  <si>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</si>
  <si>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</si>
  <si>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</si>
  <si>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</si>
  <si>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</si>
  <si>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</si>
  <si>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</si>
  <si>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</si>
  <si>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</si>
  <si>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</si>
  <si>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</si>
  <si>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</si>
  <si>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</si>
  <si>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</si>
  <si>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</si>
  <si>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</si>
  <si>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</si>
  <si>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</si>
  <si>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</si>
  <si>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</si>
  <si>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</si>
  <si>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</si>
  <si>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</si>
  <si>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</si>
  <si>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</si>
  <si>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</si>
  <si>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carbon</t>
  </si>
  <si>
    <t>gravel</t>
  </si>
  <si>
    <t>drop bar</t>
  </si>
  <si>
    <t>frame size</t>
  </si>
  <si>
    <t>Fuji</t>
  </si>
  <si>
    <t>Jari Carbon</t>
  </si>
  <si>
    <t>https://www.fujibikes.com/collections/jari-carbon</t>
  </si>
  <si>
    <t>https://www.fujibikes.com/cdn/shop/files/2024_FUJI_JARI_CARBON_11_HONEYWHEAT_3fe09c0d-288c-4b90-b7d4-13a6d9339f46.png?v=1731441649&amp;width=760</t>
  </si>
  <si>
    <t>Bike Size</t>
  </si>
  <si>
    <t>48cm</t>
  </si>
  <si>
    <t>50cm</t>
  </si>
  <si>
    <t>53cm</t>
  </si>
  <si>
    <t>56cm</t>
  </si>
  <si>
    <t>59cm</t>
  </si>
  <si>
    <t>45/55</t>
  </si>
  <si>
    <t>Stem</t>
  </si>
  <si>
    <t>Handlebar Width</t>
  </si>
  <si>
    <t>Crank</t>
  </si>
  <si>
    <t>Wheel Size</t>
  </si>
  <si>
    <t>A Seat Tube C to T</t>
  </si>
  <si>
    <t>C Top Tube Effective</t>
  </si>
  <si>
    <t>D Head Tube Length</t>
  </si>
  <si>
    <t>E Seat Tube Angle / Actual</t>
  </si>
  <si>
    <t>G Headtube Angle</t>
  </si>
  <si>
    <t>H Chainstay Length</t>
  </si>
  <si>
    <t>I Wheelbase</t>
  </si>
  <si>
    <t>J BB Drop</t>
  </si>
  <si>
    <t>K Fork Offset</t>
  </si>
  <si>
    <t>L Trail @45mm 700x40c</t>
  </si>
  <si>
    <t>L Trail @55mm 700x40c</t>
  </si>
  <si>
    <t>M Stack</t>
  </si>
  <si>
    <t>N Reach</t>
  </si>
  <si>
    <t>O Standover</t>
  </si>
  <si>
    <t>bike_size</t>
  </si>
  <si>
    <t>XS/48</t>
  </si>
  <si>
    <t>S/50</t>
  </si>
  <si>
    <t>M/53</t>
  </si>
  <si>
    <t>L/56</t>
  </si>
  <si>
    <t>XL/59</t>
  </si>
  <si>
    <t>trail_at_45</t>
  </si>
  <si>
    <t>trail_at_55</t>
  </si>
  <si>
    <t>threaded 85.5</t>
  </si>
  <si>
    <t>t47</t>
  </si>
  <si>
    <t>internal</t>
  </si>
  <si>
    <t>semi-integrated</t>
  </si>
  <si>
    <t>USD</t>
  </si>
  <si>
    <t>Philadelphia, Pennsylvania, USA</t>
  </si>
  <si>
    <t>a8:g33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</si>
</sst>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6"/>
      <color rgb="FF323232"/>
      <name val="Arial"/>
      <family val="2"/>
    </font>
    <font>
      <b/>
      <sz val="16"/>
      <color rgb="FF00A9E0"/>
      <name val="Arial"/>
      <family val="2"/>
    </font>
    <font>
      <b/>
      <sz val="16"/>
      <color rgb="FF323232"/>
      <name val="Arial"/>
      <family val="2"/>
    </font>
    <font>
      <sz val="14"/>
      <color rgb="FF000000"/>
      <name val="Futura Medium"/>
    </font>
    <font>
      <sz val="14"/>
      <color rgb="FF323232"/>
      <name val="Futura Medium"/>
    </font>
    <font>
      <b/>
      <sz val="14"/>
      <color rgb="FF323232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0"/>
  <sheetViews>
    <sheetView tabSelected="1" topLeftCell="A60" workbookViewId="0">
      <selection activeCell="B76" sqref="B76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s="1" t="s">
        <v>82</v>
      </c>
    </row>
    <row r="2" spans="1:13" x14ac:dyDescent="0.3">
      <c r="A2" t="s">
        <v>1</v>
      </c>
      <c r="B2" s="1" t="s">
        <v>83</v>
      </c>
    </row>
    <row r="3" spans="1:13" x14ac:dyDescent="0.3">
      <c r="A3" t="s">
        <v>2</v>
      </c>
      <c r="B3">
        <v>2025</v>
      </c>
    </row>
    <row r="4" spans="1:13" x14ac:dyDescent="0.3">
      <c r="A4" t="s">
        <v>3</v>
      </c>
      <c r="B4" s="2">
        <v>45973</v>
      </c>
    </row>
    <row r="5" spans="1:13" x14ac:dyDescent="0.3">
      <c r="A5" t="s">
        <v>4</v>
      </c>
      <c r="B5" t="s">
        <v>84</v>
      </c>
    </row>
    <row r="6" spans="1:13" x14ac:dyDescent="0.3">
      <c r="B6" t="s">
        <v>85</v>
      </c>
    </row>
    <row r="7" spans="1:13" ht="22" x14ac:dyDescent="0.3">
      <c r="A7" t="s">
        <v>5</v>
      </c>
      <c r="B7" s="1" t="s">
        <v>125</v>
      </c>
      <c r="M7" s="5"/>
    </row>
    <row r="8" spans="1:13" ht="22" x14ac:dyDescent="0.3">
      <c r="A8" t="s">
        <v>6</v>
      </c>
      <c r="B8" s="7" t="s">
        <v>81</v>
      </c>
      <c r="C8" s="8" t="s">
        <v>112</v>
      </c>
      <c r="D8" s="8" t="s">
        <v>113</v>
      </c>
      <c r="E8" s="8" t="s">
        <v>114</v>
      </c>
      <c r="F8" s="8" t="s">
        <v>115</v>
      </c>
      <c r="G8" s="8" t="s">
        <v>116</v>
      </c>
      <c r="M8" s="5"/>
    </row>
    <row r="9" spans="1:13" ht="22" x14ac:dyDescent="0.3">
      <c r="A9" s="1" t="s">
        <v>111</v>
      </c>
      <c r="B9" s="9" t="s">
        <v>86</v>
      </c>
      <c r="C9" s="7">
        <f>VALUE(LEFT(H9,2))</f>
        <v>48</v>
      </c>
      <c r="D9" s="7">
        <f t="shared" ref="D9:G9" si="0">VALUE(LEFT(I9,2))</f>
        <v>50</v>
      </c>
      <c r="E9" s="7">
        <f t="shared" si="0"/>
        <v>53</v>
      </c>
      <c r="F9" s="7">
        <f t="shared" si="0"/>
        <v>56</v>
      </c>
      <c r="G9" s="7">
        <f t="shared" si="0"/>
        <v>59</v>
      </c>
      <c r="H9" s="4" t="s">
        <v>87</v>
      </c>
      <c r="I9" s="4" t="s">
        <v>88</v>
      </c>
      <c r="J9" s="4" t="s">
        <v>89</v>
      </c>
      <c r="K9" s="4" t="s">
        <v>90</v>
      </c>
      <c r="L9" s="4" t="s">
        <v>91</v>
      </c>
      <c r="M9" s="5"/>
    </row>
    <row r="10" spans="1:13" ht="22" x14ac:dyDescent="0.3">
      <c r="A10" t="s">
        <v>7</v>
      </c>
      <c r="B10" s="9" t="s">
        <v>97</v>
      </c>
      <c r="C10" s="8">
        <v>480</v>
      </c>
      <c r="D10" s="8">
        <v>500</v>
      </c>
      <c r="E10" s="8">
        <v>530</v>
      </c>
      <c r="F10" s="8">
        <v>560</v>
      </c>
      <c r="G10" s="8">
        <v>590</v>
      </c>
      <c r="M10" s="5"/>
    </row>
    <row r="11" spans="1:13" ht="22" x14ac:dyDescent="0.3">
      <c r="A11" t="s">
        <v>8</v>
      </c>
      <c r="B11" s="9" t="s">
        <v>98</v>
      </c>
      <c r="C11" s="8">
        <v>509</v>
      </c>
      <c r="D11" s="8">
        <v>524</v>
      </c>
      <c r="E11" s="8">
        <v>541</v>
      </c>
      <c r="F11" s="8">
        <v>557</v>
      </c>
      <c r="G11" s="8">
        <v>574</v>
      </c>
      <c r="M11" s="5"/>
    </row>
    <row r="12" spans="1:13" ht="22" x14ac:dyDescent="0.3">
      <c r="A12" t="s">
        <v>13</v>
      </c>
      <c r="B12" s="9" t="s">
        <v>99</v>
      </c>
      <c r="C12" s="8">
        <v>100</v>
      </c>
      <c r="D12" s="8">
        <v>115</v>
      </c>
      <c r="E12" s="8">
        <v>140</v>
      </c>
      <c r="F12" s="8">
        <v>165</v>
      </c>
      <c r="G12" s="8">
        <v>190</v>
      </c>
      <c r="M12" s="5"/>
    </row>
    <row r="13" spans="1:13" ht="22" x14ac:dyDescent="0.3">
      <c r="A13" t="s">
        <v>11</v>
      </c>
      <c r="B13" s="9" t="s">
        <v>100</v>
      </c>
      <c r="C13" s="8">
        <v>74</v>
      </c>
      <c r="D13" s="8">
        <v>74</v>
      </c>
      <c r="E13" s="8">
        <v>74</v>
      </c>
      <c r="F13" s="8">
        <v>74</v>
      </c>
      <c r="G13" s="8">
        <v>74</v>
      </c>
      <c r="M13" s="5"/>
    </row>
    <row r="14" spans="1:13" ht="22" x14ac:dyDescent="0.3">
      <c r="A14" t="s">
        <v>10</v>
      </c>
      <c r="B14" s="9" t="s">
        <v>101</v>
      </c>
      <c r="C14" s="8">
        <v>70</v>
      </c>
      <c r="D14" s="8">
        <v>71</v>
      </c>
      <c r="E14" s="8">
        <v>71</v>
      </c>
      <c r="F14" s="8">
        <v>71</v>
      </c>
      <c r="G14" s="8">
        <v>71</v>
      </c>
      <c r="M14" s="5"/>
    </row>
    <row r="15" spans="1:13" ht="22" x14ac:dyDescent="0.3">
      <c r="A15" t="s">
        <v>9</v>
      </c>
      <c r="B15" s="9" t="s">
        <v>102</v>
      </c>
      <c r="C15" s="8">
        <v>425</v>
      </c>
      <c r="D15" s="8">
        <v>425</v>
      </c>
      <c r="E15" s="8">
        <v>425</v>
      </c>
      <c r="F15" s="8">
        <v>425</v>
      </c>
      <c r="G15" s="8">
        <v>425</v>
      </c>
      <c r="M15" s="5"/>
    </row>
    <row r="16" spans="1:13" ht="22" x14ac:dyDescent="0.3">
      <c r="A16" t="s">
        <v>16</v>
      </c>
      <c r="B16" s="9" t="s">
        <v>103</v>
      </c>
      <c r="C16" s="8">
        <v>997</v>
      </c>
      <c r="D16" s="8">
        <v>1004</v>
      </c>
      <c r="E16" s="8">
        <v>1022</v>
      </c>
      <c r="F16" s="8">
        <v>1040</v>
      </c>
      <c r="G16" s="8">
        <v>1058</v>
      </c>
      <c r="M16" s="5"/>
    </row>
    <row r="17" spans="1:19" ht="22" x14ac:dyDescent="0.3">
      <c r="A17" t="s">
        <v>12</v>
      </c>
      <c r="B17" s="9" t="s">
        <v>104</v>
      </c>
      <c r="C17" s="8">
        <v>72</v>
      </c>
      <c r="D17" s="8">
        <v>72</v>
      </c>
      <c r="E17" s="8">
        <v>72</v>
      </c>
      <c r="F17" s="8">
        <v>72</v>
      </c>
      <c r="G17" s="8">
        <v>72</v>
      </c>
      <c r="M17" s="5"/>
    </row>
    <row r="18" spans="1:19" ht="22" x14ac:dyDescent="0.3">
      <c r="A18" t="s">
        <v>17</v>
      </c>
      <c r="B18" s="9" t="s">
        <v>105</v>
      </c>
      <c r="C18" s="8">
        <v>45</v>
      </c>
      <c r="D18" s="8">
        <v>45</v>
      </c>
      <c r="E18" s="8">
        <v>45</v>
      </c>
      <c r="F18" s="8">
        <v>45</v>
      </c>
      <c r="G18" s="8">
        <v>45</v>
      </c>
      <c r="H18" s="8" t="s">
        <v>92</v>
      </c>
      <c r="I18" s="8" t="s">
        <v>92</v>
      </c>
      <c r="J18" s="8" t="s">
        <v>92</v>
      </c>
      <c r="K18" s="8" t="s">
        <v>92</v>
      </c>
      <c r="L18" s="8" t="s">
        <v>92</v>
      </c>
      <c r="M18" s="5"/>
    </row>
    <row r="19" spans="1:19" ht="22" x14ac:dyDescent="0.3">
      <c r="A19" s="1" t="s">
        <v>117</v>
      </c>
      <c r="B19" s="9" t="s">
        <v>106</v>
      </c>
      <c r="C19" s="8">
        <v>81</v>
      </c>
      <c r="D19" s="8">
        <v>75</v>
      </c>
      <c r="E19" s="8">
        <v>75</v>
      </c>
      <c r="F19" s="8">
        <v>75</v>
      </c>
      <c r="G19" s="8">
        <v>75</v>
      </c>
      <c r="M19" s="5"/>
    </row>
    <row r="20" spans="1:19" ht="22" x14ac:dyDescent="0.3">
      <c r="A20" s="1" t="s">
        <v>118</v>
      </c>
      <c r="B20" s="9" t="s">
        <v>107</v>
      </c>
      <c r="C20" s="8">
        <v>71</v>
      </c>
      <c r="D20" s="8">
        <v>64</v>
      </c>
      <c r="E20" s="8">
        <v>64</v>
      </c>
      <c r="F20" s="8">
        <v>64</v>
      </c>
      <c r="G20" s="8">
        <v>64</v>
      </c>
      <c r="M20" s="5"/>
    </row>
    <row r="21" spans="1:19" ht="22" x14ac:dyDescent="0.3">
      <c r="A21" t="s">
        <v>15</v>
      </c>
      <c r="B21" s="9" t="s">
        <v>108</v>
      </c>
      <c r="C21" s="8">
        <v>525.5</v>
      </c>
      <c r="D21" s="8">
        <v>543</v>
      </c>
      <c r="E21" s="8">
        <v>567</v>
      </c>
      <c r="F21" s="8">
        <v>591</v>
      </c>
      <c r="G21" s="8">
        <v>614</v>
      </c>
      <c r="M21" s="5"/>
    </row>
    <row r="22" spans="1:19" ht="22" x14ac:dyDescent="0.3">
      <c r="A22" t="s">
        <v>14</v>
      </c>
      <c r="B22" s="9" t="s">
        <v>109</v>
      </c>
      <c r="C22" s="8">
        <v>365</v>
      </c>
      <c r="D22" s="8">
        <v>375</v>
      </c>
      <c r="E22" s="8">
        <v>385</v>
      </c>
      <c r="F22" s="8">
        <v>395</v>
      </c>
      <c r="G22" s="8">
        <v>405</v>
      </c>
      <c r="M22" s="5"/>
    </row>
    <row r="23" spans="1:19" ht="22" x14ac:dyDescent="0.3">
      <c r="A23" t="s">
        <v>19</v>
      </c>
      <c r="B23" s="9" t="s">
        <v>110</v>
      </c>
      <c r="C23" s="8">
        <v>771</v>
      </c>
      <c r="D23" s="8">
        <v>790</v>
      </c>
      <c r="E23" s="8">
        <v>817</v>
      </c>
      <c r="F23" s="8">
        <v>844</v>
      </c>
      <c r="G23" s="8">
        <v>871</v>
      </c>
      <c r="M23" s="5"/>
    </row>
    <row r="24" spans="1:19" ht="22" x14ac:dyDescent="0.3">
      <c r="A24" t="s">
        <v>18</v>
      </c>
      <c r="B24" s="9"/>
      <c r="C24" s="8"/>
      <c r="D24" s="8"/>
      <c r="E24" s="8"/>
      <c r="F24" s="8"/>
      <c r="G24" s="8"/>
      <c r="M24" s="5"/>
    </row>
    <row r="25" spans="1:19" ht="22" x14ac:dyDescent="0.3">
      <c r="A25" t="s">
        <v>23</v>
      </c>
      <c r="B25" s="9"/>
      <c r="C25" s="8"/>
      <c r="D25" s="8"/>
      <c r="E25" s="8"/>
      <c r="F25" s="8"/>
      <c r="G25" s="8"/>
      <c r="M25" s="5"/>
    </row>
    <row r="26" spans="1:19" ht="22" x14ac:dyDescent="0.3">
      <c r="A26" t="s">
        <v>22</v>
      </c>
      <c r="B26" s="9" t="s">
        <v>93</v>
      </c>
      <c r="C26" s="8">
        <v>80</v>
      </c>
      <c r="D26" s="8">
        <v>80</v>
      </c>
      <c r="E26" s="8">
        <v>90</v>
      </c>
      <c r="F26" s="8">
        <v>110</v>
      </c>
      <c r="G26" s="8">
        <v>110</v>
      </c>
      <c r="M26" s="5"/>
    </row>
    <row r="27" spans="1:19" ht="22" x14ac:dyDescent="0.3">
      <c r="A27" t="s">
        <v>21</v>
      </c>
      <c r="B27" s="9" t="s">
        <v>94</v>
      </c>
      <c r="C27" s="8">
        <v>420</v>
      </c>
      <c r="D27" s="8">
        <v>440</v>
      </c>
      <c r="E27" s="8">
        <v>440</v>
      </c>
      <c r="F27" s="8">
        <v>460</v>
      </c>
      <c r="G27" s="8">
        <v>460</v>
      </c>
      <c r="M27" s="5"/>
    </row>
    <row r="28" spans="1:19" ht="22" x14ac:dyDescent="0.3">
      <c r="A28" t="s">
        <v>20</v>
      </c>
      <c r="B28" s="9" t="s">
        <v>95</v>
      </c>
      <c r="C28" s="8">
        <v>165</v>
      </c>
      <c r="D28" s="8">
        <v>170</v>
      </c>
      <c r="E28" s="8">
        <v>172.5</v>
      </c>
      <c r="F28" s="8">
        <v>172.5</v>
      </c>
      <c r="G28" s="8">
        <v>175</v>
      </c>
      <c r="M28" s="5"/>
      <c r="N28" s="6"/>
      <c r="O28" s="4"/>
      <c r="P28" s="4"/>
      <c r="Q28" s="4"/>
      <c r="R28" s="4"/>
      <c r="S28" s="4"/>
    </row>
    <row r="29" spans="1:19" x14ac:dyDescent="0.3">
      <c r="A29" t="s">
        <v>24</v>
      </c>
      <c r="B29" s="9" t="s">
        <v>96</v>
      </c>
      <c r="C29" s="8">
        <v>700</v>
      </c>
      <c r="D29" s="8">
        <v>700</v>
      </c>
      <c r="E29" s="8">
        <v>700</v>
      </c>
      <c r="F29" s="8">
        <v>700</v>
      </c>
      <c r="G29" s="8">
        <v>700</v>
      </c>
    </row>
    <row r="30" spans="1:19" x14ac:dyDescent="0.3">
      <c r="A30" t="s">
        <v>25</v>
      </c>
      <c r="C30" s="8">
        <v>40</v>
      </c>
      <c r="D30" s="8">
        <v>40</v>
      </c>
      <c r="E30" s="8">
        <v>40</v>
      </c>
      <c r="F30" s="8">
        <v>40</v>
      </c>
      <c r="G30" s="8">
        <v>40</v>
      </c>
    </row>
    <row r="31" spans="1:19" x14ac:dyDescent="0.3">
      <c r="A31" t="s">
        <v>26</v>
      </c>
      <c r="C31" s="8">
        <v>45</v>
      </c>
      <c r="D31" s="8">
        <v>45</v>
      </c>
      <c r="E31" s="8">
        <v>45</v>
      </c>
      <c r="F31" s="8">
        <v>45</v>
      </c>
      <c r="G31" s="8">
        <v>45</v>
      </c>
    </row>
    <row r="32" spans="1:19" x14ac:dyDescent="0.3">
      <c r="A32" t="s">
        <v>27</v>
      </c>
      <c r="C32" s="8">
        <v>152</v>
      </c>
      <c r="D32" s="8">
        <v>160</v>
      </c>
      <c r="E32" s="8">
        <v>168</v>
      </c>
      <c r="F32" s="8">
        <v>175</v>
      </c>
      <c r="G32" s="8">
        <v>180</v>
      </c>
    </row>
    <row r="33" spans="1:7" x14ac:dyDescent="0.3">
      <c r="A33" t="s">
        <v>28</v>
      </c>
      <c r="C33" s="8">
        <v>163</v>
      </c>
      <c r="D33" s="8">
        <v>170</v>
      </c>
      <c r="E33" s="8">
        <v>178</v>
      </c>
      <c r="F33" s="8">
        <v>183</v>
      </c>
      <c r="G33" s="8">
        <v>188</v>
      </c>
    </row>
    <row r="35" spans="1:7" x14ac:dyDescent="0.3">
      <c r="A35" t="s">
        <v>29</v>
      </c>
      <c r="B35" t="s">
        <v>30</v>
      </c>
    </row>
    <row r="36" spans="1:7" x14ac:dyDescent="0.3">
      <c r="A36" t="s">
        <v>66</v>
      </c>
      <c r="B36" s="1" t="s">
        <v>79</v>
      </c>
    </row>
    <row r="37" spans="1:7" x14ac:dyDescent="0.3">
      <c r="A37" t="s">
        <v>67</v>
      </c>
      <c r="B37" s="1" t="s">
        <v>80</v>
      </c>
    </row>
    <row r="38" spans="1:7" x14ac:dyDescent="0.3">
      <c r="A38" t="s">
        <v>68</v>
      </c>
      <c r="B38" t="s">
        <v>69</v>
      </c>
    </row>
    <row r="39" spans="1:7" x14ac:dyDescent="0.3">
      <c r="A39" t="s">
        <v>31</v>
      </c>
      <c r="B39" s="1" t="s">
        <v>78</v>
      </c>
      <c r="C39" s="1"/>
    </row>
    <row r="40" spans="1:7" x14ac:dyDescent="0.3">
      <c r="A40" t="s">
        <v>32</v>
      </c>
      <c r="B40" s="1" t="s">
        <v>70</v>
      </c>
    </row>
    <row r="41" spans="1:7" x14ac:dyDescent="0.3">
      <c r="A41" t="s">
        <v>33</v>
      </c>
    </row>
    <row r="42" spans="1:7" x14ac:dyDescent="0.3">
      <c r="A42" t="s">
        <v>34</v>
      </c>
      <c r="B42">
        <v>45</v>
      </c>
      <c r="C42" s="1"/>
    </row>
    <row r="43" spans="1:7" x14ac:dyDescent="0.3">
      <c r="A43" t="s">
        <v>35</v>
      </c>
    </row>
    <row r="44" spans="1:7" x14ac:dyDescent="0.3">
      <c r="A44" t="s">
        <v>36</v>
      </c>
    </row>
    <row r="45" spans="1:7" x14ac:dyDescent="0.3">
      <c r="A45" t="s">
        <v>37</v>
      </c>
    </row>
    <row r="46" spans="1:7" x14ac:dyDescent="0.3">
      <c r="A46" t="s">
        <v>38</v>
      </c>
    </row>
    <row r="47" spans="1:7" x14ac:dyDescent="0.3">
      <c r="A47" t="s">
        <v>39</v>
      </c>
    </row>
    <row r="48" spans="1:7" x14ac:dyDescent="0.3">
      <c r="A48" t="s">
        <v>40</v>
      </c>
      <c r="B48">
        <v>142</v>
      </c>
    </row>
    <row r="49" spans="1:3" x14ac:dyDescent="0.3">
      <c r="A49" t="s">
        <v>41</v>
      </c>
      <c r="B49">
        <v>100</v>
      </c>
    </row>
    <row r="50" spans="1:3" x14ac:dyDescent="0.3">
      <c r="A50" t="s">
        <v>72</v>
      </c>
    </row>
    <row r="51" spans="1:3" x14ac:dyDescent="0.3">
      <c r="A51" t="s">
        <v>73</v>
      </c>
    </row>
    <row r="52" spans="1:3" x14ac:dyDescent="0.3">
      <c r="A52" t="s">
        <v>74</v>
      </c>
    </row>
    <row r="53" spans="1:3" x14ac:dyDescent="0.3">
      <c r="A53" t="s">
        <v>75</v>
      </c>
    </row>
    <row r="54" spans="1:3" x14ac:dyDescent="0.3">
      <c r="A54" t="s">
        <v>76</v>
      </c>
    </row>
    <row r="55" spans="1:3" x14ac:dyDescent="0.3">
      <c r="A55" t="s">
        <v>77</v>
      </c>
      <c r="B55" s="1" t="s">
        <v>78</v>
      </c>
    </row>
    <row r="56" spans="1:3" x14ac:dyDescent="0.3">
      <c r="A56" t="s">
        <v>42</v>
      </c>
      <c r="B56" s="1" t="s">
        <v>119</v>
      </c>
      <c r="C56" s="1" t="s">
        <v>120</v>
      </c>
    </row>
    <row r="57" spans="1:3" x14ac:dyDescent="0.3">
      <c r="A57" t="s">
        <v>43</v>
      </c>
    </row>
    <row r="58" spans="1:3" x14ac:dyDescent="0.3">
      <c r="A58" t="s">
        <v>44</v>
      </c>
      <c r="B58">
        <v>27.2</v>
      </c>
    </row>
    <row r="59" spans="1:3" x14ac:dyDescent="0.3">
      <c r="A59" t="s">
        <v>45</v>
      </c>
      <c r="B59" s="1" t="s">
        <v>70</v>
      </c>
    </row>
    <row r="60" spans="1:3" x14ac:dyDescent="0.3">
      <c r="A60" t="s">
        <v>46</v>
      </c>
    </row>
    <row r="61" spans="1:3" x14ac:dyDescent="0.3">
      <c r="A61" t="s">
        <v>47</v>
      </c>
    </row>
    <row r="62" spans="1:3" x14ac:dyDescent="0.3">
      <c r="A62" t="s">
        <v>48</v>
      </c>
    </row>
    <row r="63" spans="1:3" x14ac:dyDescent="0.3">
      <c r="A63" t="s">
        <v>49</v>
      </c>
    </row>
    <row r="64" spans="1:3" x14ac:dyDescent="0.3">
      <c r="A64" t="s">
        <v>50</v>
      </c>
    </row>
    <row r="65" spans="1:2" x14ac:dyDescent="0.3">
      <c r="A65" t="s">
        <v>51</v>
      </c>
      <c r="B65" s="1" t="s">
        <v>122</v>
      </c>
    </row>
    <row r="66" spans="1:2" x14ac:dyDescent="0.3">
      <c r="A66" t="s">
        <v>52</v>
      </c>
      <c r="B66" s="1" t="s">
        <v>121</v>
      </c>
    </row>
    <row r="67" spans="1:2" x14ac:dyDescent="0.3">
      <c r="A67" t="s">
        <v>53</v>
      </c>
    </row>
    <row r="68" spans="1:2" x14ac:dyDescent="0.3">
      <c r="A68" t="s">
        <v>54</v>
      </c>
      <c r="B68" s="1" t="s">
        <v>70</v>
      </c>
    </row>
    <row r="69" spans="1:2" x14ac:dyDescent="0.3">
      <c r="A69" t="s">
        <v>55</v>
      </c>
      <c r="B69">
        <v>2</v>
      </c>
    </row>
    <row r="70" spans="1:2" x14ac:dyDescent="0.3">
      <c r="A70" t="s">
        <v>56</v>
      </c>
    </row>
    <row r="71" spans="1:2" x14ac:dyDescent="0.3">
      <c r="A71" t="s">
        <v>57</v>
      </c>
      <c r="B71" s="1"/>
    </row>
    <row r="72" spans="1:2" x14ac:dyDescent="0.3">
      <c r="A72" t="s">
        <v>58</v>
      </c>
      <c r="B72" s="1">
        <v>3</v>
      </c>
    </row>
    <row r="73" spans="1:2" x14ac:dyDescent="0.3">
      <c r="A73" t="s">
        <v>59</v>
      </c>
      <c r="B73" s="1" t="s">
        <v>70</v>
      </c>
    </row>
    <row r="74" spans="1:2" x14ac:dyDescent="0.3">
      <c r="A74" t="s">
        <v>60</v>
      </c>
      <c r="B74" s="1" t="s">
        <v>70</v>
      </c>
    </row>
    <row r="75" spans="1:2" x14ac:dyDescent="0.3">
      <c r="A75" t="s">
        <v>61</v>
      </c>
      <c r="B75" s="1" t="s">
        <v>70</v>
      </c>
    </row>
    <row r="76" spans="1:2" x14ac:dyDescent="0.3">
      <c r="A76" t="s">
        <v>62</v>
      </c>
    </row>
    <row r="77" spans="1:2" x14ac:dyDescent="0.3">
      <c r="A77" t="s">
        <v>63</v>
      </c>
      <c r="B77">
        <v>2899</v>
      </c>
    </row>
    <row r="78" spans="1:2" x14ac:dyDescent="0.3">
      <c r="A78" t="s">
        <v>64</v>
      </c>
      <c r="B78" s="1"/>
    </row>
    <row r="79" spans="1:2" x14ac:dyDescent="0.3">
      <c r="A79" t="s">
        <v>65</v>
      </c>
      <c r="B79" s="1" t="s">
        <v>123</v>
      </c>
    </row>
    <row r="80" spans="1:2" x14ac:dyDescent="0.3">
      <c r="A80" t="s">
        <v>71</v>
      </c>
      <c r="B80" s="3" t="s">
        <v>124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2025-11-12T12:46:56Z</dcterms:modified>
</cp:coreProperties>
</file>