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027CAD-1619-0D43-86E7-02AEE23B8D93}" xr6:coauthVersionLast="47" xr6:coauthVersionMax="47" xr10:uidLastSave="{00000000-0000-0000-0000-000000000000}"/>
  <bookViews>
    <workbookView xWindow="7340" yWindow="940" windowWidth="21900" windowHeight="15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D42" i="1"/>
  <c r="E42" i="1"/>
  <c r="F42" i="1"/>
  <c r="G42" i="1"/>
  <c r="H42" i="1"/>
  <c r="D43" i="1"/>
  <c r="E43" i="1"/>
  <c r="F43" i="1"/>
  <c r="G43" i="1"/>
  <c r="H43" i="1"/>
  <c r="C43" i="1"/>
</calcChain>
</file>

<file path=xl/sharedStrings.xml><?xml version="1.0" encoding="utf-8"?>
<sst xmlns="http://schemas.openxmlformats.org/spreadsheetml/2006/main" count="156" uniqueCount="147">
  <si>
    <t>brand</t>
  </si>
  <si>
    <t>model</t>
  </si>
  <si>
    <t>model_year</t>
  </si>
  <si>
    <t>2025</t>
  </si>
  <si>
    <t>input_date</t>
  </si>
  <si>
    <t>url</t>
  </si>
  <si>
    <t>data_range</t>
  </si>
  <si>
    <t>frame_size</t>
  </si>
  <si>
    <t>stack</t>
  </si>
  <si>
    <t>reach</t>
  </si>
  <si>
    <t>top_tube_effective_length</t>
  </si>
  <si>
    <t>front_center</t>
  </si>
  <si>
    <t>head_tube_angle</t>
  </si>
  <si>
    <t>seat_tube_angle</t>
  </si>
  <si>
    <t>chainstay_length</t>
  </si>
  <si>
    <t>bottom_bracket_drop</t>
  </si>
  <si>
    <t>axle_crown</t>
  </si>
  <si>
    <t>fork_offset_rake</t>
  </si>
  <si>
    <t>head_tube_length</t>
  </si>
  <si>
    <t>seat_tube_length</t>
  </si>
  <si>
    <t>standover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</si>
  <si>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</si>
  <si>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</si>
  <si>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</si>
  <si>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</si>
  <si>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</si>
  <si>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</si>
  <si>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</si>
  <si>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</si>
  <si>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</si>
  <si>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</si>
  <si>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</si>
  <si>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</si>
  <si>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</si>
  <si>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</si>
  <si>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</si>
  <si>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</si>
  <si>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</si>
  <si>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</si>
  <si>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</si>
  <si>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</si>
  <si>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</si>
  <si>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</si>
  <si>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</si>
  <si>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</si>
  <si>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</si>
  <si>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</si>
  <si>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</si>
  <si>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</si>
  <si>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</si>
  <si>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</si>
  <si>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</si>
  <si>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</si>
  <si>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</si>
  <si>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</si>
  <si>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</si>
  <si>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</si>
  <si>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</si>
  <si>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</si>
  <si>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</si>
  <si>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</si>
  <si>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</si>
  <si>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</si>
  <si>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</si>
  <si>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</si>
  <si>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</si>
  <si>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</si>
  <si>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frame_weight</t>
  </si>
  <si>
    <t>class</t>
  </si>
  <si>
    <t>handlebar</t>
  </si>
  <si>
    <t>fork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</si>
  <si>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</si>
  <si>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</si>
  <si>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</si>
  <si>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</si>
  <si>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</si>
  <si>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</si>
  <si>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</si>
  <si>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drop bar</t>
  </si>
  <si>
    <t>Kocmo</t>
  </si>
  <si>
    <t>157-168</t>
  </si>
  <si>
    <t>163-172</t>
  </si>
  <si>
    <t>170-180</t>
  </si>
  <si>
    <t>175-185</t>
  </si>
  <si>
    <t>180-190</t>
  </si>
  <si>
    <t>188-208</t>
  </si>
  <si>
    <t>50 / 400</t>
  </si>
  <si>
    <t xml:space="preserve">Body Size </t>
  </si>
  <si>
    <t>Seat tube Diameter</t>
  </si>
  <si>
    <t>Length CTT Mm</t>
  </si>
  <si>
    <t>Length CTC Mm</t>
  </si>
  <si>
    <t>Top Tube Diameter</t>
  </si>
  <si>
    <t>Length horizontal Mm</t>
  </si>
  <si>
    <t>Head Tube Diameter</t>
  </si>
  <si>
    <t>Length Mm</t>
  </si>
  <si>
    <t>Down Tube Diameter</t>
  </si>
  <si>
    <t>Seat Stay Diameter</t>
  </si>
  <si>
    <t>Chain Stay Diameter</t>
  </si>
  <si>
    <t>Seat Post Diameter</t>
  </si>
  <si>
    <t>Bottom Bracket BB-Center to Front</t>
  </si>
  <si>
    <t>Bottom Bracket Drop Mm</t>
  </si>
  <si>
    <t>Stand Over High Mm</t>
  </si>
  <si>
    <t>Wheel Base Mm</t>
  </si>
  <si>
    <t>Reach Mm</t>
  </si>
  <si>
    <t>Stack Mm</t>
  </si>
  <si>
    <t>Wide Mm</t>
  </si>
  <si>
    <t>seat_tube_cc</t>
  </si>
  <si>
    <t>top_tube_diameter</t>
  </si>
  <si>
    <t>seat_tube_diameter</t>
  </si>
  <si>
    <t>heat_tube_diameter</t>
  </si>
  <si>
    <t>down_tube_diameter</t>
  </si>
  <si>
    <t>seat_stay_diameter</t>
  </si>
  <si>
    <t>chain_stay_diameter</t>
  </si>
  <si>
    <t>seat_post_diameter</t>
  </si>
  <si>
    <t>top_tube_slope</t>
  </si>
  <si>
    <t>EUR</t>
  </si>
  <si>
    <t>IS52/40</t>
  </si>
  <si>
    <t>1 1/8" - 1 1/2"</t>
  </si>
  <si>
    <t>threaded 68</t>
  </si>
  <si>
    <t>yes</t>
  </si>
  <si>
    <t>Stahnsdorf, Germany</t>
  </si>
  <si>
    <t>Daytona-RS</t>
  </si>
  <si>
    <t>https://www.kocmo.de/produkt/daytona-rs/</t>
  </si>
  <si>
    <t>https://www.kocmo.de/wp-content/uploads/2023/03/2024_K_Daytona-RS_UDH_1900px_14-1.png</t>
  </si>
  <si>
    <t>titanium</t>
  </si>
  <si>
    <t>rigid</t>
  </si>
  <si>
    <t>carbon</t>
  </si>
  <si>
    <t>IS52/28.6</t>
  </si>
  <si>
    <t>integrated</t>
  </si>
  <si>
    <t>XS-48</t>
  </si>
  <si>
    <t>S 50</t>
  </si>
  <si>
    <t>M-52</t>
  </si>
  <si>
    <t>ML-54</t>
  </si>
  <si>
    <t>L-56</t>
  </si>
  <si>
    <t>XL-58</t>
  </si>
  <si>
    <t xml:space="preserve">Frame - Size </t>
  </si>
  <si>
    <t xml:space="preserve">Angle  </t>
  </si>
  <si>
    <t xml:space="preserve">Slooping  </t>
  </si>
  <si>
    <t xml:space="preserve">STR Quation </t>
  </si>
  <si>
    <t xml:space="preserve">Frame Fork Rake </t>
  </si>
  <si>
    <t>Mounting Height (fork length)</t>
  </si>
  <si>
    <t>bottom_bracket_threads</t>
  </si>
  <si>
    <t>rear_axle_width</t>
  </si>
  <si>
    <t>stack_reach_ratio</t>
  </si>
  <si>
    <t>threads</t>
  </si>
  <si>
    <t>gravel</t>
  </si>
  <si>
    <t>a8:h43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</si>
</sst>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282828"/>
      <name val="Futura Medium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workbookViewId="0">
      <selection activeCell="C40" sqref="C40:H4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79</v>
      </c>
    </row>
    <row r="2" spans="1:8" x14ac:dyDescent="0.3">
      <c r="A2" t="s">
        <v>1</v>
      </c>
      <c r="B2" s="1" t="s">
        <v>121</v>
      </c>
    </row>
    <row r="3" spans="1:8" x14ac:dyDescent="0.3">
      <c r="A3" t="s">
        <v>2</v>
      </c>
      <c r="B3" t="s">
        <v>3</v>
      </c>
    </row>
    <row r="4" spans="1:8" x14ac:dyDescent="0.3">
      <c r="A4" t="s">
        <v>4</v>
      </c>
      <c r="B4" s="2">
        <v>45970</v>
      </c>
    </row>
    <row r="5" spans="1:8" x14ac:dyDescent="0.3">
      <c r="A5" t="s">
        <v>5</v>
      </c>
      <c r="B5" s="5" t="s">
        <v>122</v>
      </c>
    </row>
    <row r="6" spans="1:8" x14ac:dyDescent="0.3">
      <c r="B6" s="2" t="s">
        <v>123</v>
      </c>
    </row>
    <row r="7" spans="1:8" x14ac:dyDescent="0.3">
      <c r="A7" t="s">
        <v>6</v>
      </c>
      <c r="B7" s="1" t="s">
        <v>146</v>
      </c>
    </row>
    <row r="8" spans="1:8" x14ac:dyDescent="0.3">
      <c r="A8" t="s">
        <v>7</v>
      </c>
      <c r="B8" t="s">
        <v>135</v>
      </c>
      <c r="C8" s="1" t="s">
        <v>129</v>
      </c>
      <c r="D8" t="s">
        <v>130</v>
      </c>
      <c r="E8" t="s">
        <v>131</v>
      </c>
      <c r="F8" t="s">
        <v>132</v>
      </c>
      <c r="G8" t="s">
        <v>133</v>
      </c>
      <c r="H8" t="s">
        <v>134</v>
      </c>
    </row>
    <row r="9" spans="1:8" x14ac:dyDescent="0.3">
      <c r="A9" s="1" t="s">
        <v>108</v>
      </c>
      <c r="B9" t="s">
        <v>88</v>
      </c>
      <c r="C9">
        <v>32</v>
      </c>
      <c r="D9">
        <v>32</v>
      </c>
      <c r="E9">
        <v>32</v>
      </c>
      <c r="F9">
        <v>32</v>
      </c>
      <c r="G9">
        <v>32</v>
      </c>
      <c r="H9">
        <v>32</v>
      </c>
    </row>
    <row r="10" spans="1:8" x14ac:dyDescent="0.3">
      <c r="A10" t="s">
        <v>19</v>
      </c>
      <c r="B10" t="s">
        <v>89</v>
      </c>
      <c r="C10">
        <v>480</v>
      </c>
      <c r="D10">
        <v>500</v>
      </c>
      <c r="E10">
        <v>520</v>
      </c>
      <c r="F10">
        <v>540</v>
      </c>
      <c r="G10">
        <v>560</v>
      </c>
      <c r="H10">
        <v>580</v>
      </c>
    </row>
    <row r="11" spans="1:8" x14ac:dyDescent="0.3">
      <c r="A11" s="1" t="s">
        <v>106</v>
      </c>
      <c r="B11" t="s">
        <v>90</v>
      </c>
      <c r="C11">
        <v>428</v>
      </c>
      <c r="D11">
        <v>450</v>
      </c>
      <c r="E11">
        <v>469</v>
      </c>
      <c r="F11">
        <v>489</v>
      </c>
      <c r="G11">
        <v>510</v>
      </c>
      <c r="H11">
        <v>531</v>
      </c>
    </row>
    <row r="12" spans="1:8" x14ac:dyDescent="0.3">
      <c r="A12" t="s">
        <v>13</v>
      </c>
      <c r="B12" t="s">
        <v>136</v>
      </c>
      <c r="C12">
        <v>74</v>
      </c>
      <c r="D12">
        <v>74</v>
      </c>
      <c r="E12">
        <v>73.5</v>
      </c>
      <c r="F12">
        <v>73.5</v>
      </c>
      <c r="G12">
        <v>73.5</v>
      </c>
      <c r="H12">
        <v>73.5</v>
      </c>
    </row>
    <row r="13" spans="1:8" x14ac:dyDescent="0.3">
      <c r="A13" s="1" t="s">
        <v>107</v>
      </c>
      <c r="B13" t="s">
        <v>91</v>
      </c>
      <c r="C13">
        <v>32</v>
      </c>
      <c r="D13">
        <v>32</v>
      </c>
      <c r="E13">
        <v>32</v>
      </c>
      <c r="F13">
        <v>32</v>
      </c>
      <c r="G13">
        <v>32</v>
      </c>
      <c r="H13">
        <v>32</v>
      </c>
    </row>
    <row r="14" spans="1:8" x14ac:dyDescent="0.3">
      <c r="A14" t="s">
        <v>10</v>
      </c>
      <c r="B14" t="s">
        <v>92</v>
      </c>
      <c r="C14">
        <v>529.5</v>
      </c>
      <c r="D14">
        <v>533</v>
      </c>
      <c r="E14">
        <v>559</v>
      </c>
      <c r="F14">
        <v>571</v>
      </c>
      <c r="G14">
        <v>590.5</v>
      </c>
      <c r="H14">
        <v>603</v>
      </c>
    </row>
    <row r="15" spans="1:8" x14ac:dyDescent="0.3">
      <c r="A15" s="1" t="s">
        <v>109</v>
      </c>
      <c r="B15" t="s">
        <v>93</v>
      </c>
    </row>
    <row r="16" spans="1:8" x14ac:dyDescent="0.3">
      <c r="A16" t="s">
        <v>12</v>
      </c>
      <c r="B16" t="s">
        <v>136</v>
      </c>
      <c r="C16">
        <v>70</v>
      </c>
      <c r="D16">
        <v>70.5</v>
      </c>
      <c r="E16">
        <v>71</v>
      </c>
      <c r="F16">
        <v>71</v>
      </c>
      <c r="G16">
        <v>71.5</v>
      </c>
      <c r="H16">
        <v>72</v>
      </c>
    </row>
    <row r="17" spans="1:14" x14ac:dyDescent="0.3">
      <c r="A17" t="s">
        <v>18</v>
      </c>
      <c r="B17" t="s">
        <v>94</v>
      </c>
      <c r="C17">
        <v>106</v>
      </c>
      <c r="D17" s="1">
        <v>115</v>
      </c>
      <c r="E17">
        <v>138</v>
      </c>
      <c r="F17">
        <v>164</v>
      </c>
      <c r="G17">
        <v>185</v>
      </c>
      <c r="H17">
        <v>208</v>
      </c>
    </row>
    <row r="18" spans="1:14" x14ac:dyDescent="0.3">
      <c r="A18" s="1" t="s">
        <v>110</v>
      </c>
      <c r="B18" s="1" t="s">
        <v>95</v>
      </c>
      <c r="C18" s="1">
        <v>44</v>
      </c>
      <c r="D18">
        <v>44</v>
      </c>
      <c r="E18">
        <v>44</v>
      </c>
      <c r="F18">
        <v>44</v>
      </c>
      <c r="G18">
        <v>44</v>
      </c>
      <c r="H18">
        <v>44</v>
      </c>
    </row>
    <row r="19" spans="1:14" x14ac:dyDescent="0.3">
      <c r="A19" s="1" t="s">
        <v>111</v>
      </c>
      <c r="B19" s="1" t="s">
        <v>96</v>
      </c>
      <c r="C19" s="1">
        <v>16</v>
      </c>
      <c r="D19">
        <v>16</v>
      </c>
      <c r="E19">
        <v>16</v>
      </c>
      <c r="F19">
        <v>16</v>
      </c>
      <c r="G19">
        <v>16</v>
      </c>
      <c r="H19">
        <v>16</v>
      </c>
    </row>
    <row r="20" spans="1:14" x14ac:dyDescent="0.3">
      <c r="A20" s="1" t="s">
        <v>112</v>
      </c>
      <c r="B20" t="s">
        <v>97</v>
      </c>
    </row>
    <row r="21" spans="1:14" x14ac:dyDescent="0.3">
      <c r="A21" t="s">
        <v>14</v>
      </c>
      <c r="B21" t="s">
        <v>94</v>
      </c>
      <c r="C21">
        <v>435</v>
      </c>
      <c r="D21">
        <v>435</v>
      </c>
      <c r="E21">
        <v>435</v>
      </c>
      <c r="F21">
        <v>435</v>
      </c>
      <c r="G21">
        <v>435</v>
      </c>
      <c r="H21">
        <v>435</v>
      </c>
    </row>
    <row r="22" spans="1:14" x14ac:dyDescent="0.3">
      <c r="A22" s="1" t="s">
        <v>113</v>
      </c>
      <c r="B22" t="s">
        <v>98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</row>
    <row r="23" spans="1:14" x14ac:dyDescent="0.3">
      <c r="A23" s="1" t="s">
        <v>11</v>
      </c>
      <c r="B23" s="1" t="s">
        <v>99</v>
      </c>
      <c r="C23">
        <v>595</v>
      </c>
      <c r="D23">
        <v>595</v>
      </c>
      <c r="E23">
        <v>614</v>
      </c>
      <c r="F23">
        <v>627</v>
      </c>
      <c r="G23">
        <v>636</v>
      </c>
      <c r="H23">
        <v>645</v>
      </c>
    </row>
    <row r="24" spans="1:14" x14ac:dyDescent="0.3">
      <c r="A24" t="s">
        <v>15</v>
      </c>
      <c r="B24" t="s">
        <v>100</v>
      </c>
      <c r="C24">
        <v>76</v>
      </c>
      <c r="D24">
        <v>76</v>
      </c>
      <c r="E24">
        <v>76</v>
      </c>
      <c r="F24">
        <v>76</v>
      </c>
      <c r="G24">
        <v>74</v>
      </c>
      <c r="H24">
        <v>74</v>
      </c>
    </row>
    <row r="25" spans="1:14" x14ac:dyDescent="0.3">
      <c r="A25" s="1" t="s">
        <v>144</v>
      </c>
      <c r="B25" s="1" t="s">
        <v>141</v>
      </c>
    </row>
    <row r="26" spans="1:14" x14ac:dyDescent="0.3">
      <c r="A26" t="s">
        <v>17</v>
      </c>
      <c r="B26" s="1" t="s">
        <v>139</v>
      </c>
      <c r="C26">
        <v>50</v>
      </c>
      <c r="D26">
        <v>50</v>
      </c>
      <c r="E26">
        <v>50</v>
      </c>
      <c r="F26">
        <v>50</v>
      </c>
      <c r="G26">
        <v>50</v>
      </c>
      <c r="H26">
        <v>50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 x14ac:dyDescent="0.3">
      <c r="A27" t="s">
        <v>16</v>
      </c>
      <c r="B27" s="1" t="s">
        <v>140</v>
      </c>
      <c r="C27">
        <v>400</v>
      </c>
      <c r="D27">
        <v>400</v>
      </c>
      <c r="E27">
        <v>400</v>
      </c>
      <c r="F27">
        <v>400</v>
      </c>
      <c r="G27">
        <v>400</v>
      </c>
      <c r="H27">
        <v>400</v>
      </c>
    </row>
    <row r="28" spans="1:14" x14ac:dyDescent="0.3">
      <c r="A28" t="s">
        <v>20</v>
      </c>
      <c r="B28" t="s">
        <v>101</v>
      </c>
      <c r="C28">
        <v>753</v>
      </c>
      <c r="D28">
        <v>767</v>
      </c>
      <c r="E28">
        <v>789</v>
      </c>
      <c r="F28">
        <v>806</v>
      </c>
      <c r="G28">
        <v>827</v>
      </c>
      <c r="H28">
        <v>854</v>
      </c>
    </row>
    <row r="29" spans="1:14" x14ac:dyDescent="0.3">
      <c r="A29" t="s">
        <v>21</v>
      </c>
      <c r="B29" t="s">
        <v>102</v>
      </c>
      <c r="C29">
        <v>1018</v>
      </c>
      <c r="D29">
        <v>1019</v>
      </c>
      <c r="E29">
        <v>1037</v>
      </c>
      <c r="F29">
        <v>1050</v>
      </c>
      <c r="G29">
        <v>1060</v>
      </c>
      <c r="H29">
        <v>1069</v>
      </c>
    </row>
    <row r="30" spans="1:14" x14ac:dyDescent="0.3">
      <c r="A30" s="1" t="s">
        <v>114</v>
      </c>
      <c r="B30" t="s">
        <v>137</v>
      </c>
      <c r="C30">
        <v>11</v>
      </c>
      <c r="D30">
        <v>9.8000000000000007</v>
      </c>
      <c r="E30">
        <v>10</v>
      </c>
      <c r="F30">
        <v>9.6</v>
      </c>
      <c r="G30">
        <v>9.9</v>
      </c>
      <c r="H30">
        <v>10.3</v>
      </c>
    </row>
    <row r="31" spans="1:14" x14ac:dyDescent="0.3">
      <c r="A31" t="s">
        <v>9</v>
      </c>
      <c r="B31" t="s">
        <v>103</v>
      </c>
      <c r="C31">
        <v>374</v>
      </c>
      <c r="D31">
        <v>375</v>
      </c>
      <c r="E31">
        <v>389</v>
      </c>
      <c r="F31">
        <v>396.5</v>
      </c>
      <c r="G31">
        <v>402</v>
      </c>
      <c r="H31">
        <v>409</v>
      </c>
    </row>
    <row r="32" spans="1:14" x14ac:dyDescent="0.3">
      <c r="A32" t="s">
        <v>8</v>
      </c>
      <c r="B32" t="s">
        <v>104</v>
      </c>
      <c r="C32">
        <v>534</v>
      </c>
      <c r="D32">
        <v>543</v>
      </c>
      <c r="E32">
        <v>570</v>
      </c>
      <c r="F32">
        <v>591</v>
      </c>
      <c r="G32">
        <v>611</v>
      </c>
      <c r="H32">
        <v>636</v>
      </c>
    </row>
    <row r="33" spans="1:10" x14ac:dyDescent="0.3">
      <c r="A33" s="1" t="s">
        <v>143</v>
      </c>
      <c r="B33" t="s">
        <v>138</v>
      </c>
      <c r="C33">
        <v>1.43</v>
      </c>
      <c r="D33">
        <v>1.45</v>
      </c>
      <c r="E33">
        <v>1.47</v>
      </c>
      <c r="F33">
        <v>1.49</v>
      </c>
      <c r="G33">
        <v>1.52</v>
      </c>
      <c r="H33">
        <v>1.56</v>
      </c>
    </row>
    <row r="34" spans="1:10" x14ac:dyDescent="0.3">
      <c r="A34" s="1" t="s">
        <v>142</v>
      </c>
      <c r="B34" t="s">
        <v>105</v>
      </c>
      <c r="C34">
        <v>142</v>
      </c>
      <c r="D34">
        <v>142</v>
      </c>
      <c r="E34">
        <v>142</v>
      </c>
      <c r="F34">
        <v>142</v>
      </c>
      <c r="G34">
        <v>142</v>
      </c>
      <c r="H34">
        <v>142</v>
      </c>
    </row>
    <row r="35" spans="1:10" x14ac:dyDescent="0.3">
      <c r="A35" s="1" t="s">
        <v>67</v>
      </c>
    </row>
    <row r="36" spans="1:10" x14ac:dyDescent="0.3">
      <c r="A36" t="s">
        <v>22</v>
      </c>
    </row>
    <row r="37" spans="1:10" x14ac:dyDescent="0.3">
      <c r="A37" t="s">
        <v>23</v>
      </c>
    </row>
    <row r="38" spans="1:10" x14ac:dyDescent="0.3">
      <c r="A38" t="s">
        <v>24</v>
      </c>
    </row>
    <row r="39" spans="1:10" x14ac:dyDescent="0.3">
      <c r="A39" t="s">
        <v>25</v>
      </c>
      <c r="C39">
        <v>700</v>
      </c>
      <c r="D39">
        <v>700</v>
      </c>
      <c r="E39">
        <v>700</v>
      </c>
      <c r="F39">
        <v>700</v>
      </c>
      <c r="G39">
        <v>700</v>
      </c>
      <c r="H39">
        <v>700</v>
      </c>
    </row>
    <row r="40" spans="1:10" x14ac:dyDescent="0.3">
      <c r="A40" t="s">
        <v>26</v>
      </c>
      <c r="C40">
        <v>45</v>
      </c>
      <c r="D40">
        <v>45</v>
      </c>
      <c r="E40">
        <v>45</v>
      </c>
      <c r="F40">
        <v>45</v>
      </c>
      <c r="G40">
        <v>45</v>
      </c>
      <c r="H40">
        <v>45</v>
      </c>
    </row>
    <row r="41" spans="1:10" x14ac:dyDescent="0.3">
      <c r="A41" t="s">
        <v>27</v>
      </c>
      <c r="C41">
        <v>45</v>
      </c>
      <c r="D41">
        <v>45</v>
      </c>
      <c r="E41">
        <v>45</v>
      </c>
      <c r="F41">
        <v>45</v>
      </c>
      <c r="G41">
        <v>45</v>
      </c>
      <c r="H41">
        <v>45</v>
      </c>
    </row>
    <row r="42" spans="1:10" x14ac:dyDescent="0.3">
      <c r="A42" t="s">
        <v>28</v>
      </c>
      <c r="C42">
        <f>VALUE(LEFT(C44,3))</f>
        <v>157</v>
      </c>
      <c r="D42">
        <f>VALUE(LEFT(D44,3))</f>
        <v>163</v>
      </c>
      <c r="E42">
        <f>VALUE(LEFT(E44,3))</f>
        <v>170</v>
      </c>
      <c r="F42">
        <f>VALUE(LEFT(F44,3))</f>
        <v>175</v>
      </c>
      <c r="G42">
        <f>VALUE(LEFT(G44,3))</f>
        <v>180</v>
      </c>
      <c r="H42">
        <f>VALUE(LEFT(H44,3))</f>
        <v>188</v>
      </c>
    </row>
    <row r="43" spans="1:10" x14ac:dyDescent="0.3">
      <c r="A43" t="s">
        <v>29</v>
      </c>
      <c r="C43" s="1">
        <f>VALUE(RIGHT(C44,3))</f>
        <v>168</v>
      </c>
      <c r="D43">
        <f>VALUE(RIGHT(D44,3))</f>
        <v>172</v>
      </c>
      <c r="E43">
        <f>VALUE(RIGHT(E44,3))</f>
        <v>180</v>
      </c>
      <c r="F43">
        <f>VALUE(RIGHT(F44,3))</f>
        <v>185</v>
      </c>
      <c r="G43">
        <f>VALUE(RIGHT(G44,3))</f>
        <v>190</v>
      </c>
      <c r="H43">
        <f>VALUE(RIGHT(H44,3))</f>
        <v>208</v>
      </c>
    </row>
    <row r="44" spans="1:10" x14ac:dyDescent="0.3">
      <c r="C44" t="s">
        <v>80</v>
      </c>
      <c r="D44" t="s">
        <v>81</v>
      </c>
      <c r="E44" t="s">
        <v>82</v>
      </c>
      <c r="F44" t="s">
        <v>83</v>
      </c>
      <c r="G44" s="1" t="s">
        <v>84</v>
      </c>
      <c r="H44" t="s">
        <v>85</v>
      </c>
      <c r="J44" s="1" t="s">
        <v>87</v>
      </c>
    </row>
    <row r="45" spans="1:10" x14ac:dyDescent="0.3">
      <c r="A45" t="s">
        <v>30</v>
      </c>
      <c r="B45" t="s">
        <v>31</v>
      </c>
      <c r="G45" s="1"/>
      <c r="H45" t="s">
        <v>85</v>
      </c>
    </row>
    <row r="46" spans="1:10" x14ac:dyDescent="0.3">
      <c r="A46" t="s">
        <v>68</v>
      </c>
      <c r="B46" s="1" t="s">
        <v>145</v>
      </c>
    </row>
    <row r="47" spans="1:10" x14ac:dyDescent="0.3">
      <c r="A47" t="s">
        <v>69</v>
      </c>
      <c r="B47" s="1" t="s">
        <v>78</v>
      </c>
    </row>
    <row r="48" spans="1:10" x14ac:dyDescent="0.3">
      <c r="A48" t="s">
        <v>70</v>
      </c>
      <c r="B48" s="1" t="s">
        <v>125</v>
      </c>
    </row>
    <row r="49" spans="1:3" x14ac:dyDescent="0.3">
      <c r="A49" t="s">
        <v>32</v>
      </c>
      <c r="B49" s="1" t="s">
        <v>124</v>
      </c>
    </row>
    <row r="50" spans="1:3" x14ac:dyDescent="0.3">
      <c r="A50" t="s">
        <v>33</v>
      </c>
      <c r="B50" s="1" t="s">
        <v>119</v>
      </c>
    </row>
    <row r="51" spans="1:3" x14ac:dyDescent="0.3">
      <c r="A51" t="s">
        <v>34</v>
      </c>
    </row>
    <row r="52" spans="1:3" x14ac:dyDescent="0.3">
      <c r="A52" t="s">
        <v>35</v>
      </c>
      <c r="B52">
        <v>45</v>
      </c>
    </row>
    <row r="53" spans="1:3" x14ac:dyDescent="0.3">
      <c r="A53" t="s">
        <v>36</v>
      </c>
      <c r="C53" s="1"/>
    </row>
    <row r="54" spans="1:3" x14ac:dyDescent="0.3">
      <c r="A54" t="s">
        <v>37</v>
      </c>
    </row>
    <row r="55" spans="1:3" x14ac:dyDescent="0.3">
      <c r="A55" t="s">
        <v>38</v>
      </c>
    </row>
    <row r="56" spans="1:3" x14ac:dyDescent="0.3">
      <c r="A56" t="s">
        <v>39</v>
      </c>
    </row>
    <row r="57" spans="1:3" x14ac:dyDescent="0.3">
      <c r="A57" t="s">
        <v>40</v>
      </c>
    </row>
    <row r="58" spans="1:3" x14ac:dyDescent="0.3">
      <c r="A58" t="s">
        <v>41</v>
      </c>
      <c r="B58">
        <v>142</v>
      </c>
    </row>
    <row r="59" spans="1:3" x14ac:dyDescent="0.3">
      <c r="A59" t="s">
        <v>42</v>
      </c>
      <c r="B59">
        <v>100</v>
      </c>
    </row>
    <row r="60" spans="1:3" x14ac:dyDescent="0.3">
      <c r="A60" t="s">
        <v>72</v>
      </c>
      <c r="B60" s="1" t="s">
        <v>117</v>
      </c>
    </row>
    <row r="61" spans="1:3" x14ac:dyDescent="0.3">
      <c r="A61" t="s">
        <v>73</v>
      </c>
      <c r="B61" s="3" t="s">
        <v>127</v>
      </c>
    </row>
    <row r="62" spans="1:3" x14ac:dyDescent="0.3">
      <c r="A62" t="s">
        <v>74</v>
      </c>
      <c r="B62" s="3" t="s">
        <v>116</v>
      </c>
    </row>
    <row r="63" spans="1:3" x14ac:dyDescent="0.3">
      <c r="A63" t="s">
        <v>75</v>
      </c>
      <c r="B63" s="3"/>
    </row>
    <row r="64" spans="1:3" x14ac:dyDescent="0.3">
      <c r="A64" t="s">
        <v>76</v>
      </c>
      <c r="B64" s="4"/>
    </row>
    <row r="65" spans="1:2" x14ac:dyDescent="0.3">
      <c r="A65" t="s">
        <v>77</v>
      </c>
      <c r="B65" s="3" t="s">
        <v>126</v>
      </c>
    </row>
    <row r="66" spans="1:2" x14ac:dyDescent="0.3">
      <c r="A66" t="s">
        <v>43</v>
      </c>
      <c r="B66" s="3" t="s">
        <v>118</v>
      </c>
    </row>
    <row r="67" spans="1:2" x14ac:dyDescent="0.3">
      <c r="A67" t="s">
        <v>44</v>
      </c>
    </row>
    <row r="68" spans="1:2" x14ac:dyDescent="0.3">
      <c r="A68" t="s">
        <v>45</v>
      </c>
      <c r="B68">
        <v>27.2</v>
      </c>
    </row>
    <row r="69" spans="1:2" x14ac:dyDescent="0.3">
      <c r="A69" t="s">
        <v>46</v>
      </c>
      <c r="B69" s="1" t="s">
        <v>119</v>
      </c>
    </row>
    <row r="70" spans="1:2" x14ac:dyDescent="0.3">
      <c r="A70" t="s">
        <v>47</v>
      </c>
      <c r="B70">
        <v>46</v>
      </c>
    </row>
    <row r="71" spans="1:2" x14ac:dyDescent="0.3">
      <c r="A71" t="s">
        <v>48</v>
      </c>
      <c r="B71">
        <v>48</v>
      </c>
    </row>
    <row r="72" spans="1:2" x14ac:dyDescent="0.3">
      <c r="A72" t="s">
        <v>49</v>
      </c>
    </row>
    <row r="73" spans="1:2" x14ac:dyDescent="0.3">
      <c r="A73" t="s">
        <v>50</v>
      </c>
    </row>
    <row r="74" spans="1:2" x14ac:dyDescent="0.3">
      <c r="A74" t="s">
        <v>51</v>
      </c>
    </row>
    <row r="75" spans="1:2" x14ac:dyDescent="0.3">
      <c r="A75" t="s">
        <v>52</v>
      </c>
      <c r="B75" s="1" t="s">
        <v>128</v>
      </c>
    </row>
    <row r="76" spans="1:2" x14ac:dyDescent="0.3">
      <c r="A76" t="s">
        <v>53</v>
      </c>
      <c r="B76" s="1"/>
    </row>
    <row r="77" spans="1:2" x14ac:dyDescent="0.3">
      <c r="A77" t="s">
        <v>54</v>
      </c>
      <c r="B77" s="1"/>
    </row>
    <row r="78" spans="1:2" x14ac:dyDescent="0.3">
      <c r="A78" t="s">
        <v>55</v>
      </c>
    </row>
    <row r="79" spans="1:2" x14ac:dyDescent="0.3">
      <c r="A79" t="s">
        <v>56</v>
      </c>
      <c r="B79">
        <v>2</v>
      </c>
    </row>
    <row r="80" spans="1:2" x14ac:dyDescent="0.3">
      <c r="A80" t="s">
        <v>57</v>
      </c>
      <c r="B80">
        <v>1</v>
      </c>
    </row>
    <row r="81" spans="1:2" x14ac:dyDescent="0.3">
      <c r="A81" t="s">
        <v>58</v>
      </c>
      <c r="B81" s="1">
        <v>1</v>
      </c>
    </row>
    <row r="82" spans="1:2" x14ac:dyDescent="0.3">
      <c r="A82" t="s">
        <v>59</v>
      </c>
      <c r="B82" s="1"/>
    </row>
    <row r="83" spans="1:2" x14ac:dyDescent="0.3">
      <c r="A83" t="s">
        <v>60</v>
      </c>
      <c r="B83" s="1"/>
    </row>
    <row r="84" spans="1:2" x14ac:dyDescent="0.3">
      <c r="A84" t="s">
        <v>61</v>
      </c>
      <c r="B84" s="1"/>
    </row>
    <row r="85" spans="1:2" x14ac:dyDescent="0.3">
      <c r="A85" t="s">
        <v>62</v>
      </c>
      <c r="B85" s="1"/>
    </row>
    <row r="86" spans="1:2" x14ac:dyDescent="0.3">
      <c r="A86" t="s">
        <v>63</v>
      </c>
      <c r="B86">
        <v>3485</v>
      </c>
    </row>
    <row r="87" spans="1:2" x14ac:dyDescent="0.3">
      <c r="A87" t="s">
        <v>64</v>
      </c>
      <c r="B87">
        <v>6450</v>
      </c>
    </row>
    <row r="88" spans="1:2" x14ac:dyDescent="0.3">
      <c r="A88" t="s">
        <v>65</v>
      </c>
    </row>
    <row r="89" spans="1:2" x14ac:dyDescent="0.3">
      <c r="A89" t="s">
        <v>66</v>
      </c>
      <c r="B89" s="1" t="s">
        <v>115</v>
      </c>
    </row>
    <row r="90" spans="1:2" x14ac:dyDescent="0.3">
      <c r="A90" t="s">
        <v>71</v>
      </c>
      <c r="B90" s="1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2025-11-09T23:07:17Z</dcterms:modified>
</cp:coreProperties>
</file>