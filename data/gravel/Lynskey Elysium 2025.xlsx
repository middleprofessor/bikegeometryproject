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E107622-8DCB-BC48-82D3-F2580DD0662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F32" i="1"/>
  <c r="G32" i="1"/>
  <c r="H32" i="1"/>
  <c r="G31" i="1"/>
  <c r="H31" i="1"/>
  <c r="I31" i="1"/>
  <c r="D23" i="1"/>
  <c r="E23" i="1"/>
  <c r="F23" i="1"/>
  <c r="G23" i="1"/>
  <c r="H23" i="1"/>
  <c r="I23" i="1"/>
  <c r="C23" i="1"/>
  <c r="D32" i="1"/>
  <c r="E32" i="1"/>
  <c r="C32" i="1"/>
  <c r="E31" i="1"/>
  <c r="F31" i="1"/>
  <c r="D31" i="1"/>
  <c r="C31" i="1"/>
</calcChain>
</file>

<file path=xl/sharedStrings.xml><?xml version="1.0" encoding="utf-8"?>
<sst xmlns="http://schemas.openxmlformats.org/spreadsheetml/2006/main" count="134" uniqueCount="124">
  <si>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</si>
  <si>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</si>
  <si>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</si>
  <si>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</si>
  <si>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</si>
  <si>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</si>
  <si>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</si>
  <si>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</si>
  <si>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Reach</t>
  </si>
  <si>
    <t>stack</t>
  </si>
  <si>
    <t>Stack</t>
  </si>
  <si>
    <t>front_center</t>
  </si>
  <si>
    <t>top_tube_effective_length</t>
  </si>
  <si>
    <t>head_tube_length</t>
  </si>
  <si>
    <t>seat_tube_length</t>
  </si>
  <si>
    <t>chainstay_length</t>
  </si>
  <si>
    <t>bottom_bracket_drop</t>
  </si>
  <si>
    <t>head_tube_angle</t>
  </si>
  <si>
    <t>seat_tube_angle</t>
  </si>
  <si>
    <t>axle_crown</t>
  </si>
  <si>
    <t>fork_offset_rake</t>
  </si>
  <si>
    <t>crank_length</t>
  </si>
  <si>
    <t>handlebar_width</t>
  </si>
  <si>
    <t>stem_length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</si>
  <si>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</si>
  <si>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</si>
  <si>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</si>
  <si>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</si>
  <si>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</si>
  <si>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</si>
  <si>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</si>
  <si>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wheelbase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</si>
  <si>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</si>
  <si>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</si>
  <si>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</si>
  <si>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</si>
  <si>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</si>
  <si>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</si>
  <si>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</si>
  <si>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</si>
  <si>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</si>
  <si>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</si>
  <si>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</si>
  <si>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</si>
  <si>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</si>
  <si>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</si>
  <si>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</si>
  <si>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</si>
  <si>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</si>
  <si>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</si>
  <si>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</si>
  <si>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</si>
  <si>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</si>
  <si>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</si>
  <si>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</si>
  <si>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</si>
  <si>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</si>
  <si>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</si>
  <si>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</si>
  <si>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</si>
  <si>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</si>
  <si>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</si>
  <si>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</si>
  <si>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</si>
  <si>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</si>
  <si>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</si>
  <si>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</si>
  <si>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</si>
  <si>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</si>
  <si>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</si>
  <si>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</si>
  <si>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</si>
  <si>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</si>
  <si>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</si>
  <si>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</si>
  <si>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</si>
  <si>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XS</t>
  </si>
  <si>
    <t>SM</t>
  </si>
  <si>
    <t>MD</t>
  </si>
  <si>
    <t>ML</t>
  </si>
  <si>
    <t>Rec. Height Domestic</t>
  </si>
  <si>
    <t>5"0"-5'2"</t>
  </si>
  <si>
    <t>5"3"-5'5"</t>
  </si>
  <si>
    <t>5'6"-5'8"</t>
  </si>
  <si>
    <t>5'9"-5’11"</t>
  </si>
  <si>
    <t>Rec. Height International</t>
  </si>
  <si>
    <t>152cm-157cm</t>
  </si>
  <si>
    <t>160cm-165cm</t>
  </si>
  <si>
    <t>168cm-173cm</t>
  </si>
  <si>
    <t>175cm-180cm</t>
  </si>
  <si>
    <t>Seat Tube Length</t>
  </si>
  <si>
    <t>ETT (Effective Top Tube)</t>
  </si>
  <si>
    <t>Head Tube Angle</t>
  </si>
  <si>
    <t>Seat Tube Angle</t>
  </si>
  <si>
    <t>BB Drop</t>
  </si>
  <si>
    <t>Chain Stay Length</t>
  </si>
  <si>
    <t>Head Tube Length</t>
  </si>
  <si>
    <t>Rake</t>
  </si>
  <si>
    <t>Sandover Height</t>
  </si>
  <si>
    <t>Wheelbase</t>
  </si>
  <si>
    <t>Front Center</t>
  </si>
  <si>
    <t>Frame Weight (lbs.)</t>
  </si>
  <si>
    <t>Lynskey</t>
  </si>
  <si>
    <t>rider_min_spec</t>
  </si>
  <si>
    <t>rider_max_spec</t>
  </si>
  <si>
    <t>frame_weight_lbs</t>
  </si>
  <si>
    <t>yes</t>
  </si>
  <si>
    <t>size</t>
  </si>
  <si>
    <t>LG</t>
  </si>
  <si>
    <t>XL</t>
  </si>
  <si>
    <t>XXL</t>
  </si>
  <si>
    <t>6’0”-6’2”</t>
  </si>
  <si>
    <t>6'3"-6’5”</t>
  </si>
  <si>
    <t>6'5"+</t>
  </si>
  <si>
    <t>183cm-188cm</t>
  </si>
  <si>
    <t>190cm-195cm</t>
  </si>
  <si>
    <t>196cm+</t>
  </si>
  <si>
    <t>Elysium</t>
  </si>
  <si>
    <t>threaded</t>
  </si>
  <si>
    <t>internal</t>
  </si>
  <si>
    <t>a8:i34</t>
  </si>
  <si>
    <t>usd</t>
  </si>
  <si>
    <t>https://lynskeyperformance.com/cdn/shop/files/DSC_9013-1_507bcb12-3bba-4960-9552-88dea28899d1.jpg?v=1753291272&amp;width=2048</t>
  </si>
  <si>
    <t>https://lynskeyperformance.com/collections/elysium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</si>
</sst>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7"/>
      <color rgb="FF000000"/>
      <name val="Arial"/>
      <family val="2"/>
    </font>
    <font>
      <sz val="1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workbookViewId="0">
      <selection activeCell="B5" sqref="B5"/>
    </sheetView>
  </sheetViews>
  <sheetFormatPr baseColWidth="10" defaultRowHeight="20" x14ac:dyDescent="0.3"/>
  <cols>
    <col min="1" max="2" width="19.6640625" customWidth="1"/>
    <col min="3" max="3" width="11.44140625" bestFit="1" customWidth="1"/>
  </cols>
  <sheetData>
    <row r="1" spans="1:12" x14ac:dyDescent="0.3">
      <c r="A1" t="s">
        <v>0</v>
      </c>
      <c r="B1" s="1" t="s">
        <v>102</v>
      </c>
    </row>
    <row r="2" spans="1:12" x14ac:dyDescent="0.3">
      <c r="A2" t="s">
        <v>1</v>
      </c>
      <c r="B2" s="1" t="s">
        <v>117</v>
      </c>
    </row>
    <row r="3" spans="1:12" x14ac:dyDescent="0.3">
      <c r="A3" t="s">
        <v>2</v>
      </c>
      <c r="B3">
        <v>2025</v>
      </c>
    </row>
    <row r="4" spans="1:12" x14ac:dyDescent="0.3">
      <c r="A4" t="s">
        <v>3</v>
      </c>
      <c r="B4" s="5">
        <v>45888</v>
      </c>
    </row>
    <row r="5" spans="1:12" x14ac:dyDescent="0.3">
      <c r="A5" t="s">
        <v>4</v>
      </c>
      <c r="B5" t="s">
        <v>123</v>
      </c>
    </row>
    <row r="6" spans="1:12" x14ac:dyDescent="0.3">
      <c r="B6" t="s">
        <v>122</v>
      </c>
    </row>
    <row r="7" spans="1:12" x14ac:dyDescent="0.3">
      <c r="A7" t="s">
        <v>5</v>
      </c>
      <c r="B7" s="1" t="s">
        <v>120</v>
      </c>
    </row>
    <row r="8" spans="1:12" ht="23" x14ac:dyDescent="0.3">
      <c r="A8" t="s">
        <v>6</v>
      </c>
      <c r="B8" s="2" t="s">
        <v>107</v>
      </c>
      <c r="C8" s="2" t="s">
        <v>76</v>
      </c>
      <c r="D8" s="2" t="s">
        <v>77</v>
      </c>
      <c r="E8" s="2" t="s">
        <v>78</v>
      </c>
      <c r="F8" s="2" t="s">
        <v>79</v>
      </c>
      <c r="G8" s="2" t="s">
        <v>108</v>
      </c>
      <c r="H8" s="2" t="s">
        <v>109</v>
      </c>
      <c r="I8" s="2" t="s">
        <v>110</v>
      </c>
    </row>
    <row r="9" spans="1:12" ht="23" x14ac:dyDescent="0.3">
      <c r="A9" t="s">
        <v>14</v>
      </c>
      <c r="B9" s="3" t="s">
        <v>90</v>
      </c>
      <c r="C9" s="3">
        <v>450</v>
      </c>
      <c r="D9" s="3">
        <v>470</v>
      </c>
      <c r="E9" s="3">
        <v>490</v>
      </c>
      <c r="F9" s="3">
        <v>510</v>
      </c>
      <c r="G9" s="3">
        <v>530</v>
      </c>
      <c r="H9" s="3">
        <v>550</v>
      </c>
      <c r="I9" s="3">
        <v>570</v>
      </c>
      <c r="K9" s="3"/>
      <c r="L9" s="3"/>
    </row>
    <row r="10" spans="1:12" ht="23" x14ac:dyDescent="0.3">
      <c r="A10" t="s">
        <v>12</v>
      </c>
      <c r="B10" s="3" t="s">
        <v>91</v>
      </c>
      <c r="C10" s="3">
        <v>519</v>
      </c>
      <c r="D10" s="3">
        <v>533</v>
      </c>
      <c r="E10" s="3">
        <v>545</v>
      </c>
      <c r="F10" s="3">
        <v>560</v>
      </c>
      <c r="G10" s="3">
        <v>574</v>
      </c>
      <c r="H10" s="3">
        <v>594</v>
      </c>
      <c r="I10" s="3">
        <v>619</v>
      </c>
      <c r="K10" s="3"/>
      <c r="L10" s="3"/>
    </row>
    <row r="11" spans="1:12" ht="23" x14ac:dyDescent="0.3">
      <c r="A11" t="s">
        <v>17</v>
      </c>
      <c r="B11" s="3" t="s">
        <v>92</v>
      </c>
      <c r="C11" s="3">
        <v>70</v>
      </c>
      <c r="D11" s="3">
        <v>70</v>
      </c>
      <c r="E11" s="3">
        <v>70.5</v>
      </c>
      <c r="F11" s="3">
        <v>70.5</v>
      </c>
      <c r="G11" s="3">
        <v>71</v>
      </c>
      <c r="H11" s="3">
        <v>71</v>
      </c>
      <c r="I11" s="3">
        <v>71.5</v>
      </c>
      <c r="K11" s="3"/>
      <c r="L11" s="3"/>
    </row>
    <row r="12" spans="1:12" ht="23" x14ac:dyDescent="0.3">
      <c r="A12" t="s">
        <v>18</v>
      </c>
      <c r="B12" s="3" t="s">
        <v>93</v>
      </c>
      <c r="C12" s="3">
        <v>73.5</v>
      </c>
      <c r="D12" s="3">
        <v>73.5</v>
      </c>
      <c r="E12" s="3">
        <v>73.5</v>
      </c>
      <c r="F12" s="3">
        <v>73.5</v>
      </c>
      <c r="G12" s="3">
        <v>73.5</v>
      </c>
      <c r="H12" s="3">
        <v>73</v>
      </c>
      <c r="I12" s="3">
        <v>72.5</v>
      </c>
      <c r="K12" s="3"/>
      <c r="L12" s="3"/>
    </row>
    <row r="13" spans="1:12" ht="23" x14ac:dyDescent="0.3">
      <c r="A13" t="s">
        <v>16</v>
      </c>
      <c r="B13" s="3" t="s">
        <v>94</v>
      </c>
      <c r="C13" s="3">
        <v>75</v>
      </c>
      <c r="D13" s="3">
        <v>75</v>
      </c>
      <c r="E13" s="3">
        <v>75</v>
      </c>
      <c r="F13" s="3">
        <v>75</v>
      </c>
      <c r="G13" s="3">
        <v>75</v>
      </c>
      <c r="H13" s="3">
        <v>75</v>
      </c>
      <c r="I13" s="3">
        <v>75</v>
      </c>
      <c r="K13" s="3"/>
      <c r="L13" s="3"/>
    </row>
    <row r="14" spans="1:12" ht="23" x14ac:dyDescent="0.3">
      <c r="A14" t="s">
        <v>15</v>
      </c>
      <c r="B14" s="3" t="s">
        <v>95</v>
      </c>
      <c r="C14" s="3">
        <v>430</v>
      </c>
      <c r="D14" s="3">
        <v>430</v>
      </c>
      <c r="E14" s="3">
        <v>430</v>
      </c>
      <c r="F14" s="3">
        <v>430</v>
      </c>
      <c r="G14" s="3">
        <v>430</v>
      </c>
      <c r="H14" s="3">
        <v>430</v>
      </c>
      <c r="I14" s="3">
        <v>430</v>
      </c>
      <c r="K14" s="3"/>
      <c r="L14" s="3"/>
    </row>
    <row r="15" spans="1:12" ht="23" x14ac:dyDescent="0.3">
      <c r="A15" t="s">
        <v>13</v>
      </c>
      <c r="B15" s="3" t="s">
        <v>96</v>
      </c>
      <c r="C15" s="3">
        <v>110</v>
      </c>
      <c r="D15" s="3">
        <v>126</v>
      </c>
      <c r="E15" s="3">
        <v>145</v>
      </c>
      <c r="F15" s="3">
        <v>170</v>
      </c>
      <c r="G15" s="3">
        <v>193</v>
      </c>
      <c r="H15" s="3">
        <v>217</v>
      </c>
      <c r="I15" s="3">
        <v>241</v>
      </c>
      <c r="K15" s="3"/>
      <c r="L15" s="3"/>
    </row>
    <row r="16" spans="1:12" ht="23" x14ac:dyDescent="0.3">
      <c r="A16" t="s">
        <v>20</v>
      </c>
      <c r="B16" s="3" t="s">
        <v>97</v>
      </c>
      <c r="C16" s="3">
        <v>45</v>
      </c>
      <c r="D16" s="3">
        <v>45</v>
      </c>
      <c r="E16" s="3">
        <v>45</v>
      </c>
      <c r="F16" s="3">
        <v>45</v>
      </c>
      <c r="G16" s="3">
        <v>45</v>
      </c>
      <c r="H16" s="3">
        <v>45</v>
      </c>
      <c r="I16" s="3">
        <v>45</v>
      </c>
      <c r="K16" s="3"/>
      <c r="L16" s="3"/>
    </row>
    <row r="17" spans="1:12" ht="23" x14ac:dyDescent="0.3">
      <c r="A17" t="s">
        <v>24</v>
      </c>
      <c r="B17" s="3" t="s">
        <v>98</v>
      </c>
      <c r="C17" s="3">
        <v>716</v>
      </c>
      <c r="D17" s="3">
        <v>737</v>
      </c>
      <c r="E17" s="3">
        <v>758</v>
      </c>
      <c r="F17" s="3">
        <v>780</v>
      </c>
      <c r="G17" s="3">
        <v>800</v>
      </c>
      <c r="H17" s="3">
        <v>824</v>
      </c>
      <c r="I17" s="3">
        <v>824</v>
      </c>
      <c r="K17" s="3"/>
      <c r="L17" s="3"/>
    </row>
    <row r="18" spans="1:12" ht="23" x14ac:dyDescent="0.3">
      <c r="A18" s="1" t="s">
        <v>31</v>
      </c>
      <c r="B18" s="3" t="s">
        <v>99</v>
      </c>
      <c r="C18" s="3">
        <v>1007</v>
      </c>
      <c r="D18" s="3">
        <v>1019</v>
      </c>
      <c r="E18" s="3">
        <v>1026</v>
      </c>
      <c r="F18" s="3">
        <v>1039</v>
      </c>
      <c r="G18" s="3">
        <v>1049</v>
      </c>
      <c r="H18" s="3">
        <v>1075</v>
      </c>
      <c r="I18" s="3">
        <v>1079</v>
      </c>
      <c r="K18" s="3"/>
      <c r="L18" s="3"/>
    </row>
    <row r="19" spans="1:12" ht="23" x14ac:dyDescent="0.3">
      <c r="A19" t="s">
        <v>11</v>
      </c>
      <c r="B19" s="3" t="s">
        <v>100</v>
      </c>
      <c r="C19" s="3">
        <v>590</v>
      </c>
      <c r="D19" s="3">
        <v>601</v>
      </c>
      <c r="E19" s="3">
        <v>608</v>
      </c>
      <c r="F19" s="3">
        <v>625</v>
      </c>
      <c r="G19" s="3">
        <v>630</v>
      </c>
      <c r="H19" s="3">
        <v>646</v>
      </c>
      <c r="I19" s="3">
        <v>659</v>
      </c>
      <c r="K19" s="3"/>
      <c r="L19" s="3"/>
    </row>
    <row r="20" spans="1:12" ht="23" x14ac:dyDescent="0.3">
      <c r="A20" t="s">
        <v>9</v>
      </c>
      <c r="B20" s="3" t="s">
        <v>10</v>
      </c>
      <c r="C20" s="3">
        <v>540</v>
      </c>
      <c r="D20" s="3">
        <v>553</v>
      </c>
      <c r="E20" s="3">
        <v>572</v>
      </c>
      <c r="F20" s="3">
        <v>593</v>
      </c>
      <c r="G20" s="3">
        <v>617</v>
      </c>
      <c r="H20" s="3">
        <v>637</v>
      </c>
      <c r="I20" s="3">
        <v>662</v>
      </c>
      <c r="K20" s="3"/>
      <c r="L20" s="3"/>
    </row>
    <row r="21" spans="1:12" ht="23" x14ac:dyDescent="0.3">
      <c r="A21" t="s">
        <v>7</v>
      </c>
      <c r="B21" s="3" t="s">
        <v>8</v>
      </c>
      <c r="C21" s="3">
        <v>370</v>
      </c>
      <c r="D21" s="3">
        <v>375</v>
      </c>
      <c r="E21" s="3">
        <v>380</v>
      </c>
      <c r="F21" s="3">
        <v>384</v>
      </c>
      <c r="G21" s="3">
        <v>391</v>
      </c>
      <c r="H21" s="3">
        <v>400</v>
      </c>
      <c r="I21" s="3">
        <v>410</v>
      </c>
      <c r="K21" s="3"/>
      <c r="L21" s="3"/>
    </row>
    <row r="22" spans="1:12" ht="23" x14ac:dyDescent="0.3">
      <c r="A22" s="1" t="s">
        <v>105</v>
      </c>
      <c r="B22" s="3" t="s">
        <v>101</v>
      </c>
      <c r="C22" s="3">
        <v>3.8</v>
      </c>
      <c r="D22" s="3">
        <v>3.9</v>
      </c>
      <c r="E22" s="3">
        <v>4</v>
      </c>
      <c r="F22" s="3">
        <v>4.0999999999999996</v>
      </c>
      <c r="G22" s="3">
        <v>4.2</v>
      </c>
      <c r="H22" s="3">
        <v>4.3</v>
      </c>
      <c r="I22" s="3">
        <v>4.4000000000000004</v>
      </c>
      <c r="K22" s="3"/>
      <c r="L22" s="3"/>
    </row>
    <row r="23" spans="1:12" x14ac:dyDescent="0.3">
      <c r="A23" s="1" t="s">
        <v>25</v>
      </c>
      <c r="C23" s="4">
        <f>C22/2.205*1000</f>
        <v>1723.3560090702947</v>
      </c>
      <c r="D23" s="4">
        <f t="shared" ref="D23:I23" si="0">D22/2.205*1000</f>
        <v>1768.7074829931973</v>
      </c>
      <c r="E23" s="4">
        <f t="shared" si="0"/>
        <v>1814.0589569160995</v>
      </c>
      <c r="F23" s="4">
        <f t="shared" si="0"/>
        <v>1859.4104308390019</v>
      </c>
      <c r="G23" s="4">
        <f t="shared" si="0"/>
        <v>1904.7619047619048</v>
      </c>
      <c r="H23" s="4">
        <f t="shared" si="0"/>
        <v>1950.113378684807</v>
      </c>
      <c r="I23" s="4">
        <f t="shared" si="0"/>
        <v>1995.4648526077099</v>
      </c>
    </row>
    <row r="24" spans="1:12" ht="23" x14ac:dyDescent="0.3">
      <c r="A24" t="s">
        <v>19</v>
      </c>
      <c r="C24" s="3">
        <v>395</v>
      </c>
      <c r="D24" s="3">
        <v>395</v>
      </c>
      <c r="E24" s="3">
        <v>395</v>
      </c>
      <c r="F24" s="3">
        <v>395</v>
      </c>
      <c r="G24" s="3">
        <v>395</v>
      </c>
      <c r="H24" s="3">
        <v>395</v>
      </c>
      <c r="I24" s="3">
        <v>395</v>
      </c>
    </row>
    <row r="25" spans="1:12" x14ac:dyDescent="0.3">
      <c r="A25" t="s">
        <v>21</v>
      </c>
    </row>
    <row r="26" spans="1:12" x14ac:dyDescent="0.3">
      <c r="A26" t="s">
        <v>22</v>
      </c>
    </row>
    <row r="27" spans="1:12" x14ac:dyDescent="0.3">
      <c r="A27" t="s">
        <v>23</v>
      </c>
    </row>
    <row r="28" spans="1:12" x14ac:dyDescent="0.3">
      <c r="A28" t="s">
        <v>26</v>
      </c>
      <c r="B28" t="s">
        <v>26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</row>
    <row r="29" spans="1:12" x14ac:dyDescent="0.3">
      <c r="A29" t="s">
        <v>27</v>
      </c>
      <c r="B29" t="s">
        <v>27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  <c r="I29">
        <v>40</v>
      </c>
    </row>
    <row r="30" spans="1:12" x14ac:dyDescent="0.3">
      <c r="A30" t="s">
        <v>28</v>
      </c>
      <c r="B30" t="s">
        <v>28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  <c r="I30">
        <v>50</v>
      </c>
    </row>
    <row r="31" spans="1:12" x14ac:dyDescent="0.3">
      <c r="A31" t="s">
        <v>29</v>
      </c>
      <c r="B31" t="s">
        <v>29</v>
      </c>
      <c r="C31">
        <f>C33</f>
        <v>152</v>
      </c>
      <c r="D31">
        <f>AVERAGE(D33,C34)</f>
        <v>158.5</v>
      </c>
      <c r="E31">
        <f t="shared" ref="E31:F31" si="1">AVERAGE(E33,D34)</f>
        <v>166.5</v>
      </c>
      <c r="F31">
        <f t="shared" si="1"/>
        <v>174</v>
      </c>
      <c r="G31">
        <f t="shared" ref="G31" si="2">AVERAGE(G33,F34)</f>
        <v>181.5</v>
      </c>
      <c r="H31">
        <f t="shared" ref="H31" si="3">AVERAGE(H33,G34)</f>
        <v>189</v>
      </c>
      <c r="I31">
        <f t="shared" ref="I31" si="4">AVERAGE(I33,H34)</f>
        <v>195.5</v>
      </c>
    </row>
    <row r="32" spans="1:12" x14ac:dyDescent="0.3">
      <c r="A32" t="s">
        <v>30</v>
      </c>
      <c r="B32" t="s">
        <v>30</v>
      </c>
      <c r="C32">
        <f>D31</f>
        <v>158.5</v>
      </c>
      <c r="D32">
        <f t="shared" ref="D32:E32" si="5">E31</f>
        <v>166.5</v>
      </c>
      <c r="E32">
        <f t="shared" si="5"/>
        <v>174</v>
      </c>
      <c r="F32">
        <f t="shared" ref="F32" si="6">G31</f>
        <v>181.5</v>
      </c>
      <c r="G32">
        <f t="shared" ref="G32" si="7">H31</f>
        <v>189</v>
      </c>
      <c r="H32">
        <f t="shared" ref="H32" si="8">I31</f>
        <v>195.5</v>
      </c>
      <c r="I32">
        <f>I34</f>
        <v>200</v>
      </c>
    </row>
    <row r="33" spans="1:10" x14ac:dyDescent="0.3">
      <c r="A33" s="1" t="s">
        <v>103</v>
      </c>
      <c r="C33">
        <v>152</v>
      </c>
      <c r="D33">
        <v>160</v>
      </c>
      <c r="E33">
        <v>168</v>
      </c>
      <c r="F33">
        <v>175</v>
      </c>
      <c r="G33">
        <v>183</v>
      </c>
      <c r="H33">
        <v>190</v>
      </c>
      <c r="I33">
        <v>196</v>
      </c>
    </row>
    <row r="34" spans="1:10" x14ac:dyDescent="0.3">
      <c r="A34" s="1" t="s">
        <v>104</v>
      </c>
      <c r="C34">
        <v>157</v>
      </c>
      <c r="D34">
        <v>165</v>
      </c>
      <c r="E34">
        <v>173</v>
      </c>
      <c r="F34">
        <v>180</v>
      </c>
      <c r="G34">
        <v>188</v>
      </c>
      <c r="H34">
        <v>195</v>
      </c>
      <c r="I34">
        <v>200</v>
      </c>
    </row>
    <row r="35" spans="1:10" ht="23" x14ac:dyDescent="0.3">
      <c r="A35" s="1"/>
      <c r="C35" s="3" t="s">
        <v>81</v>
      </c>
      <c r="D35" s="3" t="s">
        <v>82</v>
      </c>
      <c r="E35" s="3" t="s">
        <v>83</v>
      </c>
      <c r="F35" s="3" t="s">
        <v>84</v>
      </c>
      <c r="G35" s="3" t="s">
        <v>111</v>
      </c>
      <c r="H35" s="3" t="s">
        <v>112</v>
      </c>
      <c r="I35" s="3" t="s">
        <v>113</v>
      </c>
      <c r="J35" s="3" t="s">
        <v>80</v>
      </c>
    </row>
    <row r="36" spans="1:10" ht="23" x14ac:dyDescent="0.3">
      <c r="A36" t="s">
        <v>32</v>
      </c>
      <c r="B36" t="s">
        <v>33</v>
      </c>
      <c r="C36" s="3" t="s">
        <v>86</v>
      </c>
      <c r="D36" s="3" t="s">
        <v>87</v>
      </c>
      <c r="E36" s="3" t="s">
        <v>88</v>
      </c>
      <c r="F36" s="3" t="s">
        <v>89</v>
      </c>
      <c r="G36" s="3" t="s">
        <v>114</v>
      </c>
      <c r="H36" s="3" t="s">
        <v>115</v>
      </c>
      <c r="I36" s="3" t="s">
        <v>116</v>
      </c>
      <c r="J36" s="3" t="s">
        <v>85</v>
      </c>
    </row>
    <row r="37" spans="1:10" x14ac:dyDescent="0.3">
      <c r="A37" t="s">
        <v>70</v>
      </c>
      <c r="B37" t="s">
        <v>71</v>
      </c>
    </row>
    <row r="38" spans="1:10" x14ac:dyDescent="0.3">
      <c r="A38" t="s">
        <v>72</v>
      </c>
      <c r="B38" t="s">
        <v>73</v>
      </c>
    </row>
    <row r="39" spans="1:10" x14ac:dyDescent="0.3">
      <c r="A39" t="s">
        <v>74</v>
      </c>
      <c r="B39" t="s">
        <v>75</v>
      </c>
    </row>
    <row r="40" spans="1:10" x14ac:dyDescent="0.3">
      <c r="A40" t="s">
        <v>34</v>
      </c>
      <c r="B40" t="s">
        <v>35</v>
      </c>
    </row>
    <row r="41" spans="1:10" x14ac:dyDescent="0.3">
      <c r="A41" t="s">
        <v>36</v>
      </c>
      <c r="B41" s="1" t="s">
        <v>106</v>
      </c>
    </row>
    <row r="42" spans="1:10" x14ac:dyDescent="0.3">
      <c r="A42" t="s">
        <v>37</v>
      </c>
    </row>
    <row r="43" spans="1:10" x14ac:dyDescent="0.3">
      <c r="A43" t="s">
        <v>38</v>
      </c>
      <c r="B43">
        <v>50</v>
      </c>
    </row>
    <row r="44" spans="1:10" x14ac:dyDescent="0.3">
      <c r="A44" t="s">
        <v>39</v>
      </c>
    </row>
    <row r="45" spans="1:10" x14ac:dyDescent="0.3">
      <c r="A45" t="s">
        <v>40</v>
      </c>
    </row>
    <row r="46" spans="1:10" x14ac:dyDescent="0.3">
      <c r="A46" t="s">
        <v>41</v>
      </c>
    </row>
    <row r="47" spans="1:10" x14ac:dyDescent="0.3">
      <c r="A47" t="s">
        <v>42</v>
      </c>
    </row>
    <row r="48" spans="1:10" x14ac:dyDescent="0.3">
      <c r="A48" t="s">
        <v>43</v>
      </c>
    </row>
    <row r="49" spans="1:2" x14ac:dyDescent="0.3">
      <c r="A49" t="s">
        <v>44</v>
      </c>
    </row>
    <row r="50" spans="1:2" x14ac:dyDescent="0.3">
      <c r="A50" t="s">
        <v>45</v>
      </c>
    </row>
    <row r="51" spans="1:2" x14ac:dyDescent="0.3">
      <c r="A51" t="s">
        <v>46</v>
      </c>
      <c r="B51" s="1" t="s">
        <v>118</v>
      </c>
    </row>
    <row r="52" spans="1:2" x14ac:dyDescent="0.3">
      <c r="A52" t="s">
        <v>47</v>
      </c>
    </row>
    <row r="53" spans="1:2" x14ac:dyDescent="0.3">
      <c r="A53" t="s">
        <v>48</v>
      </c>
    </row>
    <row r="54" spans="1:2" x14ac:dyDescent="0.3">
      <c r="A54" t="s">
        <v>49</v>
      </c>
      <c r="B54" s="1"/>
    </row>
    <row r="55" spans="1:2" x14ac:dyDescent="0.3">
      <c r="A55" t="s">
        <v>50</v>
      </c>
    </row>
    <row r="56" spans="1:2" x14ac:dyDescent="0.3">
      <c r="A56" t="s">
        <v>51</v>
      </c>
    </row>
    <row r="57" spans="1:2" x14ac:dyDescent="0.3">
      <c r="A57" t="s">
        <v>52</v>
      </c>
    </row>
    <row r="58" spans="1:2" x14ac:dyDescent="0.3">
      <c r="A58" t="s">
        <v>53</v>
      </c>
    </row>
    <row r="59" spans="1:2" x14ac:dyDescent="0.3">
      <c r="A59" t="s">
        <v>54</v>
      </c>
    </row>
    <row r="60" spans="1:2" x14ac:dyDescent="0.3">
      <c r="A60" t="s">
        <v>55</v>
      </c>
      <c r="B60" s="1" t="s">
        <v>119</v>
      </c>
    </row>
    <row r="61" spans="1:2" x14ac:dyDescent="0.3">
      <c r="A61" t="s">
        <v>56</v>
      </c>
    </row>
    <row r="62" spans="1:2" x14ac:dyDescent="0.3">
      <c r="A62" t="s">
        <v>57</v>
      </c>
    </row>
    <row r="63" spans="1:2" x14ac:dyDescent="0.3">
      <c r="A63" t="s">
        <v>58</v>
      </c>
    </row>
    <row r="64" spans="1:2" x14ac:dyDescent="0.3">
      <c r="A64" t="s">
        <v>59</v>
      </c>
      <c r="B64">
        <v>2</v>
      </c>
    </row>
    <row r="65" spans="1:2" x14ac:dyDescent="0.3">
      <c r="A65" t="s">
        <v>60</v>
      </c>
      <c r="B65">
        <v>1</v>
      </c>
    </row>
    <row r="66" spans="1:2" x14ac:dyDescent="0.3">
      <c r="A66" t="s">
        <v>61</v>
      </c>
      <c r="B66" s="1" t="s">
        <v>106</v>
      </c>
    </row>
    <row r="67" spans="1:2" x14ac:dyDescent="0.3">
      <c r="A67" t="s">
        <v>62</v>
      </c>
      <c r="B67" s="1" t="s">
        <v>106</v>
      </c>
    </row>
    <row r="68" spans="1:2" x14ac:dyDescent="0.3">
      <c r="A68" t="s">
        <v>63</v>
      </c>
      <c r="B68" s="1" t="s">
        <v>106</v>
      </c>
    </row>
    <row r="69" spans="1:2" x14ac:dyDescent="0.3">
      <c r="A69" t="s">
        <v>64</v>
      </c>
      <c r="B69" s="1" t="s">
        <v>106</v>
      </c>
    </row>
    <row r="70" spans="1:2" x14ac:dyDescent="0.3">
      <c r="A70" t="s">
        <v>65</v>
      </c>
      <c r="B70" s="1" t="s">
        <v>106</v>
      </c>
    </row>
    <row r="71" spans="1:2" x14ac:dyDescent="0.3">
      <c r="A71" t="s">
        <v>66</v>
      </c>
      <c r="B71">
        <v>4450</v>
      </c>
    </row>
    <row r="72" spans="1:2" x14ac:dyDescent="0.3">
      <c r="A72" t="s">
        <v>67</v>
      </c>
      <c r="B72">
        <v>9150</v>
      </c>
    </row>
    <row r="73" spans="1:2" x14ac:dyDescent="0.3">
      <c r="A73" t="s">
        <v>68</v>
      </c>
    </row>
    <row r="74" spans="1:2" x14ac:dyDescent="0.3">
      <c r="A74" t="s">
        <v>69</v>
      </c>
      <c r="B74" s="1" t="s">
        <v>121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2025-10-13T22:00:49Z</dcterms:modified>
</cp:coreProperties>
</file>