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A8D52868-2244-EA4B-9EA4-AB1195008CFF}" xr6:coauthVersionLast="47" xr6:coauthVersionMax="47" xr10:uidLastSave="{00000000-0000-0000-0000-000000000000}"/>
  <bookViews>
    <workbookView xWindow="760" yWindow="500" windowWidth="28040" windowHeight="15660" xr2:uid="{AE0F04AA-80E5-8247-9791-D6B95FAD9AB5}"/>
  </bookViews>
  <sheets>
    <sheet name="Canyon Grizl 2025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3" i="1" l="1"/>
  <c r="D34" i="1" s="1"/>
  <c r="F33" i="1"/>
  <c r="E34" i="1" s="1"/>
  <c r="G33" i="1"/>
  <c r="F34" i="1" s="1"/>
  <c r="H33" i="1"/>
  <c r="G34" i="1" s="1"/>
  <c r="I33" i="1"/>
  <c r="H34" i="1" s="1"/>
  <c r="D33" i="1"/>
  <c r="C34" i="1" s="1"/>
  <c r="I34" i="1"/>
  <c r="C33" i="1"/>
</calcChain>
</file>

<file path=xl/sharedStrings.xml><?xml version="1.0" encoding="utf-8"?>
<sst xmlns="http://schemas.openxmlformats.org/spreadsheetml/2006/main" count="79" uniqueCount="75">
  <si>
    <t>brand</t>
  </si>
  <si>
    <t>model</t>
  </si>
  <si>
    <t>model year</t>
  </si>
  <si>
    <t>input date</t>
  </si>
  <si>
    <t>URL</t>
  </si>
  <si>
    <t>material</t>
  </si>
  <si>
    <t>carbon</t>
  </si>
  <si>
    <t>frame weight</t>
  </si>
  <si>
    <t>UDH</t>
  </si>
  <si>
    <t>yes</t>
  </si>
  <si>
    <t>measure range</t>
  </si>
  <si>
    <t>frame_size</t>
  </si>
  <si>
    <t>XS</t>
  </si>
  <si>
    <t>S</t>
  </si>
  <si>
    <t>M</t>
  </si>
  <si>
    <t>L</t>
  </si>
  <si>
    <t>XL</t>
  </si>
  <si>
    <t>seat_tube_length</t>
  </si>
  <si>
    <t>top_tube_effective_length</t>
  </si>
  <si>
    <t>head_tube_length</t>
  </si>
  <si>
    <t>chainstay_length</t>
  </si>
  <si>
    <t>bottom_bracket_drop</t>
  </si>
  <si>
    <t>wheelbase</t>
  </si>
  <si>
    <t>head_tube_angle</t>
  </si>
  <si>
    <t>seat_tube_angle</t>
  </si>
  <si>
    <t>fork_offset_rake</t>
  </si>
  <si>
    <t>standover</t>
  </si>
  <si>
    <t>reach</t>
  </si>
  <si>
    <t>stack</t>
  </si>
  <si>
    <t>axle_crown</t>
  </si>
  <si>
    <t>trail</t>
  </si>
  <si>
    <t>handlebar_width</t>
  </si>
  <si>
    <t>stem_length</t>
  </si>
  <si>
    <t>crank_length</t>
  </si>
  <si>
    <t>wheel_size</t>
  </si>
  <si>
    <t>tire_width_spec</t>
  </si>
  <si>
    <t>tire_width_max</t>
  </si>
  <si>
    <t>rider_min</t>
  </si>
  <si>
    <t>rider_max</t>
  </si>
  <si>
    <t>Canyon</t>
  </si>
  <si>
    <t>2XS</t>
  </si>
  <si>
    <t>2XL</t>
  </si>
  <si>
    <t>Body Height in cm</t>
  </si>
  <si>
    <t>≥ 196</t>
  </si>
  <si>
    <t>Seat Height in mm (A)</t>
  </si>
  <si>
    <t>623 - 723</t>
  </si>
  <si>
    <t>653 - 753</t>
  </si>
  <si>
    <t>683 - 783</t>
  </si>
  <si>
    <t>713 - 813</t>
  </si>
  <si>
    <t>743 - 843</t>
  </si>
  <si>
    <t>773 - 873</t>
  </si>
  <si>
    <t>803 - 903</t>
  </si>
  <si>
    <t>Seat Tube Length in mm (B)</t>
  </si>
  <si>
    <t>Top Tube Length in mm (C)</t>
  </si>
  <si>
    <t>Head Tube Length in mm (D)</t>
  </si>
  <si>
    <t>Head Tube Angle(E)</t>
  </si>
  <si>
    <t>Seat Tube Angle(F)</t>
  </si>
  <si>
    <t>Chainstay Length in mm (G)</t>
  </si>
  <si>
    <t>Wheel Base in mm (H)</t>
  </si>
  <si>
    <t>Stack in mm (I)</t>
  </si>
  <si>
    <t>Reach in mm (J)</t>
  </si>
  <si>
    <t>Stand-over Height in mm (K)</t>
  </si>
  <si>
    <t>Bottom Bracket Offset in mm (L)</t>
  </si>
  <si>
    <t>stack_plus</t>
  </si>
  <si>
    <t>reach_plus</t>
  </si>
  <si>
    <t>https://www.canyon.com/en-us/gravel-bikes/race/grail/cf/grail-cf-sl-7-axs/3576.html?dwvar_3576_pv_rahmenfarbe=R119_P03</t>
  </si>
  <si>
    <t>bikeinsights</t>
  </si>
  <si>
    <t>a10:i34</t>
  </si>
  <si>
    <t>≤ 166</t>
  </si>
  <si>
    <t>166 - 172</t>
  </si>
  <si>
    <t>172 - 178</t>
  </si>
  <si>
    <t>178 - 184</t>
  </si>
  <si>
    <t>184 - 190</t>
  </si>
  <si>
    <t>190 - 196</t>
  </si>
  <si>
    <t>Grizl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</si>
</sst>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[Red]0"/>
  </numFmts>
  <fonts count="5" x14ac:knownFonts="1">
    <font>
      <sz val="12"/>
      <color theme="1"/>
      <name val="Aptos Narrow"/>
      <family val="2"/>
      <scheme val="minor"/>
    </font>
    <font>
      <sz val="14"/>
      <color theme="1"/>
      <name val="Futura Medium"/>
    </font>
    <font>
      <sz val="14"/>
      <color rgb="FF333333"/>
      <name val="Futura Medium"/>
    </font>
    <font>
      <sz val="14"/>
      <color theme="1"/>
      <name val="Arial"/>
      <family val="2"/>
    </font>
    <font>
      <sz val="1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164" fontId="3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AF885-3999-4E4F-8F92-5857EF0F7F08}">
  <dimension ref="A1:R38"/>
  <sheetViews>
    <sheetView tabSelected="1" topLeftCell="A19" workbookViewId="0">
      <selection activeCell="J41" sqref="J41"/>
    </sheetView>
  </sheetViews>
  <sheetFormatPr baseColWidth="10" defaultRowHeight="20" x14ac:dyDescent="0.3"/>
  <cols>
    <col min="1" max="1" width="29.33203125" style="1" bestFit="1" customWidth="1"/>
    <col min="2" max="2" width="27.83203125" style="1" customWidth="1"/>
    <col min="3" max="8" width="11" style="1" bestFit="1" customWidth="1"/>
    <col min="9" max="9" width="10.83203125" style="1"/>
    <col min="10" max="10" width="19" style="1" customWidth="1"/>
    <col min="11" max="25" width="11" style="1" bestFit="1" customWidth="1"/>
    <col min="26" max="16384" width="10.83203125" style="1"/>
  </cols>
  <sheetData>
    <row r="1" spans="1:18" x14ac:dyDescent="0.3">
      <c r="A1" s="1" t="s">
        <v>0</v>
      </c>
      <c r="B1" s="1" t="s">
        <v>39</v>
      </c>
    </row>
    <row r="2" spans="1:18" x14ac:dyDescent="0.3">
      <c r="A2" s="1" t="s">
        <v>1</v>
      </c>
      <c r="B2" s="1" t="s">
        <v>74</v>
      </c>
    </row>
    <row r="3" spans="1:18" x14ac:dyDescent="0.3">
      <c r="A3" s="1" t="s">
        <v>2</v>
      </c>
      <c r="B3" s="1">
        <v>2025</v>
      </c>
    </row>
    <row r="4" spans="1:18" x14ac:dyDescent="0.3">
      <c r="A4" s="1" t="s">
        <v>3</v>
      </c>
      <c r="B4" s="2" t="s">
        <v>6</v>
      </c>
    </row>
    <row r="5" spans="1:18" x14ac:dyDescent="0.3">
      <c r="A5" s="1" t="s">
        <v>4</v>
      </c>
      <c r="B5" s="1" t="s">
        <v>65</v>
      </c>
    </row>
    <row r="6" spans="1:18" x14ac:dyDescent="0.3">
      <c r="A6" s="1" t="s">
        <v>5</v>
      </c>
      <c r="B6" s="1" t="s">
        <v>6</v>
      </c>
    </row>
    <row r="7" spans="1:18" x14ac:dyDescent="0.3">
      <c r="A7" s="1" t="s">
        <v>7</v>
      </c>
    </row>
    <row r="8" spans="1:18" x14ac:dyDescent="0.3">
      <c r="A8" s="1" t="s">
        <v>8</v>
      </c>
      <c r="B8" s="1" t="s">
        <v>9</v>
      </c>
    </row>
    <row r="9" spans="1:18" x14ac:dyDescent="0.3">
      <c r="A9" s="1" t="s">
        <v>10</v>
      </c>
      <c r="B9" s="1" t="s">
        <v>67</v>
      </c>
    </row>
    <row r="10" spans="1:18" x14ac:dyDescent="0.3">
      <c r="A10" s="1" t="s">
        <v>11</v>
      </c>
      <c r="C10" s="4" t="s">
        <v>40</v>
      </c>
      <c r="D10" s="4" t="s">
        <v>12</v>
      </c>
      <c r="E10" s="4" t="s">
        <v>13</v>
      </c>
      <c r="F10" s="4" t="s">
        <v>14</v>
      </c>
      <c r="G10" s="4" t="s">
        <v>15</v>
      </c>
      <c r="H10" s="4" t="s">
        <v>16</v>
      </c>
      <c r="I10" s="4" t="s">
        <v>41</v>
      </c>
      <c r="J10" s="5"/>
      <c r="L10" s="3"/>
      <c r="M10" s="3"/>
      <c r="N10" s="3"/>
      <c r="O10" s="3"/>
      <c r="P10" s="3"/>
      <c r="Q10" s="3"/>
      <c r="R10" s="3"/>
    </row>
    <row r="11" spans="1:18" x14ac:dyDescent="0.3">
      <c r="A11" s="1" t="s">
        <v>17</v>
      </c>
      <c r="B11" s="4" t="s">
        <v>52</v>
      </c>
      <c r="C11" s="4">
        <v>432</v>
      </c>
      <c r="D11" s="4">
        <v>462</v>
      </c>
      <c r="E11" s="4">
        <v>492</v>
      </c>
      <c r="F11" s="4">
        <v>522</v>
      </c>
      <c r="G11" s="4">
        <v>552</v>
      </c>
      <c r="H11" s="4">
        <v>582</v>
      </c>
      <c r="I11" s="4">
        <v>612</v>
      </c>
      <c r="J11" s="4"/>
      <c r="K11" s="3"/>
      <c r="L11" s="3"/>
      <c r="M11" s="3"/>
      <c r="N11" s="3"/>
      <c r="O11" s="3"/>
      <c r="P11" s="3"/>
      <c r="Q11" s="3"/>
      <c r="R11" s="3"/>
    </row>
    <row r="12" spans="1:18" x14ac:dyDescent="0.3">
      <c r="A12" s="1" t="s">
        <v>18</v>
      </c>
      <c r="B12" s="4" t="s">
        <v>53</v>
      </c>
      <c r="C12" s="4">
        <v>532</v>
      </c>
      <c r="D12" s="4">
        <v>545</v>
      </c>
      <c r="E12" s="4">
        <v>559</v>
      </c>
      <c r="F12" s="4">
        <v>581</v>
      </c>
      <c r="G12" s="4">
        <v>603</v>
      </c>
      <c r="H12" s="4">
        <v>618</v>
      </c>
      <c r="I12" s="4">
        <v>643</v>
      </c>
      <c r="J12" s="4"/>
      <c r="K12" s="3"/>
      <c r="L12" s="3"/>
      <c r="M12" s="3"/>
      <c r="N12" s="3"/>
      <c r="O12" s="3"/>
      <c r="P12" s="3"/>
      <c r="Q12" s="3"/>
      <c r="R12" s="3"/>
    </row>
    <row r="13" spans="1:18" x14ac:dyDescent="0.3">
      <c r="A13" s="1" t="s">
        <v>19</v>
      </c>
      <c r="B13" s="4" t="s">
        <v>54</v>
      </c>
      <c r="C13" s="4">
        <v>120</v>
      </c>
      <c r="D13" s="4">
        <v>126</v>
      </c>
      <c r="E13" s="4">
        <v>141</v>
      </c>
      <c r="F13" s="4">
        <v>158</v>
      </c>
      <c r="G13" s="4">
        <v>183</v>
      </c>
      <c r="H13" s="4">
        <v>203</v>
      </c>
      <c r="I13" s="4">
        <v>226</v>
      </c>
      <c r="J13" s="4"/>
      <c r="K13" s="3"/>
      <c r="L13" s="3"/>
      <c r="M13" s="3"/>
      <c r="N13" s="3"/>
      <c r="O13" s="3"/>
      <c r="P13" s="3"/>
      <c r="Q13" s="3"/>
      <c r="R13" s="3"/>
    </row>
    <row r="14" spans="1:18" x14ac:dyDescent="0.3">
      <c r="A14" s="1" t="s">
        <v>23</v>
      </c>
      <c r="B14" s="4" t="s">
        <v>55</v>
      </c>
      <c r="C14" s="4">
        <v>68.8</v>
      </c>
      <c r="D14" s="4">
        <v>69.5</v>
      </c>
      <c r="E14" s="4">
        <v>70.5</v>
      </c>
      <c r="F14" s="4">
        <v>71</v>
      </c>
      <c r="G14" s="4">
        <v>71</v>
      </c>
      <c r="H14" s="4">
        <v>71</v>
      </c>
      <c r="I14" s="4">
        <v>71</v>
      </c>
      <c r="J14" s="4"/>
      <c r="K14" s="3"/>
      <c r="L14" s="3"/>
      <c r="M14" s="3"/>
      <c r="N14" s="3"/>
      <c r="O14" s="3"/>
      <c r="P14" s="3"/>
      <c r="Q14" s="3"/>
      <c r="R14" s="3"/>
    </row>
    <row r="15" spans="1:18" x14ac:dyDescent="0.3">
      <c r="A15" s="1" t="s">
        <v>24</v>
      </c>
      <c r="B15" s="4" t="s">
        <v>56</v>
      </c>
      <c r="C15" s="4">
        <v>73.5</v>
      </c>
      <c r="D15" s="4">
        <v>73.5</v>
      </c>
      <c r="E15" s="4">
        <v>73.5</v>
      </c>
      <c r="F15" s="4">
        <v>73.5</v>
      </c>
      <c r="G15" s="4">
        <v>73.5</v>
      </c>
      <c r="H15" s="4">
        <v>73.5</v>
      </c>
      <c r="I15" s="4">
        <v>73.5</v>
      </c>
      <c r="J15" s="4"/>
      <c r="K15" s="3"/>
      <c r="L15" s="3"/>
      <c r="M15" s="3"/>
      <c r="N15" s="3"/>
      <c r="O15" s="3"/>
      <c r="P15" s="3"/>
      <c r="Q15" s="3"/>
      <c r="R15" s="3"/>
    </row>
    <row r="16" spans="1:18" x14ac:dyDescent="0.3">
      <c r="A16" s="1" t="s">
        <v>20</v>
      </c>
      <c r="B16" s="4" t="s">
        <v>57</v>
      </c>
      <c r="C16" s="4">
        <v>440</v>
      </c>
      <c r="D16" s="4">
        <v>440</v>
      </c>
      <c r="E16" s="4">
        <v>440</v>
      </c>
      <c r="F16" s="4">
        <v>440</v>
      </c>
      <c r="G16" s="4">
        <v>440</v>
      </c>
      <c r="H16" s="4">
        <v>440</v>
      </c>
      <c r="I16" s="4">
        <v>440</v>
      </c>
      <c r="J16" s="4"/>
      <c r="K16" s="3"/>
      <c r="L16" s="3"/>
      <c r="M16" s="3"/>
      <c r="N16" s="3"/>
      <c r="O16" s="3"/>
      <c r="P16" s="3"/>
      <c r="Q16" s="3"/>
      <c r="R16" s="3"/>
    </row>
    <row r="17" spans="1:18" x14ac:dyDescent="0.3">
      <c r="A17" s="1" t="s">
        <v>22</v>
      </c>
      <c r="B17" s="4" t="s">
        <v>58</v>
      </c>
      <c r="C17" s="6">
        <v>1047</v>
      </c>
      <c r="D17" s="6">
        <v>1054</v>
      </c>
      <c r="E17" s="6">
        <v>1059</v>
      </c>
      <c r="F17" s="6">
        <v>1076</v>
      </c>
      <c r="G17" s="6">
        <v>1100</v>
      </c>
      <c r="H17" s="6">
        <v>1115</v>
      </c>
      <c r="I17" s="6">
        <v>1142</v>
      </c>
      <c r="J17" s="4"/>
      <c r="K17" s="3"/>
      <c r="L17" s="3"/>
      <c r="M17" s="3"/>
      <c r="N17" s="3"/>
      <c r="O17" s="3"/>
      <c r="P17" s="3"/>
      <c r="Q17" s="3"/>
      <c r="R17" s="3"/>
    </row>
    <row r="18" spans="1:18" x14ac:dyDescent="0.3">
      <c r="A18" s="1" t="s">
        <v>28</v>
      </c>
      <c r="B18" s="4" t="s">
        <v>59</v>
      </c>
      <c r="C18" s="4">
        <v>550</v>
      </c>
      <c r="D18" s="4">
        <v>559</v>
      </c>
      <c r="E18" s="4">
        <v>578</v>
      </c>
      <c r="F18" s="4">
        <v>596</v>
      </c>
      <c r="G18" s="4">
        <v>619</v>
      </c>
      <c r="H18" s="4">
        <v>638</v>
      </c>
      <c r="I18" s="4">
        <v>660</v>
      </c>
      <c r="J18" s="4"/>
      <c r="K18" s="3"/>
      <c r="L18" s="3"/>
      <c r="M18" s="3"/>
      <c r="N18" s="3"/>
      <c r="O18" s="3"/>
      <c r="P18" s="3"/>
      <c r="Q18" s="3"/>
      <c r="R18" s="3"/>
    </row>
    <row r="19" spans="1:18" x14ac:dyDescent="0.3">
      <c r="A19" s="1" t="s">
        <v>27</v>
      </c>
      <c r="B19" s="4" t="s">
        <v>60</v>
      </c>
      <c r="C19" s="4">
        <v>369</v>
      </c>
      <c r="D19" s="4">
        <v>380</v>
      </c>
      <c r="E19" s="4">
        <v>388</v>
      </c>
      <c r="F19" s="4">
        <v>404</v>
      </c>
      <c r="G19" s="4">
        <v>420</v>
      </c>
      <c r="H19" s="4">
        <v>429</v>
      </c>
      <c r="I19" s="4">
        <v>448</v>
      </c>
      <c r="J19" s="4"/>
      <c r="K19" s="3"/>
      <c r="L19" s="3"/>
      <c r="M19" s="3"/>
      <c r="N19" s="3"/>
      <c r="O19" s="3"/>
      <c r="P19" s="3"/>
      <c r="Q19" s="3"/>
      <c r="R19" s="3"/>
    </row>
    <row r="20" spans="1:18" x14ac:dyDescent="0.3">
      <c r="A20" s="1" t="s">
        <v>26</v>
      </c>
      <c r="B20" s="4" t="s">
        <v>61</v>
      </c>
      <c r="C20" s="4">
        <v>764</v>
      </c>
      <c r="D20" s="4">
        <v>785</v>
      </c>
      <c r="E20" s="4">
        <v>810</v>
      </c>
      <c r="F20" s="4">
        <v>826</v>
      </c>
      <c r="G20" s="4">
        <v>861</v>
      </c>
      <c r="H20" s="4">
        <v>883</v>
      </c>
      <c r="I20" s="4">
        <v>892</v>
      </c>
      <c r="J20" s="4"/>
      <c r="K20" s="3"/>
      <c r="L20" s="3"/>
      <c r="M20" s="3"/>
      <c r="N20" s="3"/>
      <c r="O20" s="3"/>
      <c r="P20" s="3"/>
      <c r="Q20" s="3"/>
      <c r="R20" s="3"/>
    </row>
    <row r="21" spans="1:18" x14ac:dyDescent="0.3">
      <c r="A21" s="1" t="s">
        <v>21</v>
      </c>
      <c r="B21" s="4" t="s">
        <v>62</v>
      </c>
      <c r="C21" s="4">
        <v>75</v>
      </c>
      <c r="D21" s="4">
        <v>75</v>
      </c>
      <c r="E21" s="4">
        <v>75</v>
      </c>
      <c r="F21" s="4">
        <v>75</v>
      </c>
      <c r="G21" s="4">
        <v>75</v>
      </c>
      <c r="H21" s="4">
        <v>75</v>
      </c>
      <c r="I21" s="4">
        <v>75</v>
      </c>
      <c r="J21" s="4"/>
      <c r="K21" s="3"/>
      <c r="L21" s="3"/>
      <c r="M21" s="3"/>
      <c r="N21" s="3"/>
      <c r="O21" s="3"/>
      <c r="P21" s="3"/>
      <c r="Q21" s="3"/>
      <c r="R21" s="3"/>
    </row>
    <row r="22" spans="1:18" x14ac:dyDescent="0.3">
      <c r="A22" s="1" t="s">
        <v>63</v>
      </c>
      <c r="B22" s="1" t="s">
        <v>63</v>
      </c>
      <c r="C22" s="4">
        <v>639</v>
      </c>
      <c r="D22" s="4">
        <v>646</v>
      </c>
      <c r="E22" s="4">
        <v>666</v>
      </c>
      <c r="F22" s="4">
        <v>683</v>
      </c>
      <c r="G22" s="4">
        <v>706</v>
      </c>
      <c r="H22" s="4">
        <v>727</v>
      </c>
      <c r="I22" s="4">
        <v>749</v>
      </c>
      <c r="J22" s="4"/>
      <c r="K22" s="3"/>
      <c r="L22" s="3"/>
      <c r="M22" s="3"/>
      <c r="N22" s="3"/>
      <c r="O22" s="3"/>
      <c r="P22" s="3"/>
      <c r="Q22" s="3"/>
      <c r="R22" s="3"/>
    </row>
    <row r="23" spans="1:18" x14ac:dyDescent="0.3">
      <c r="A23" s="1" t="s">
        <v>64</v>
      </c>
      <c r="B23" s="1" t="s">
        <v>64</v>
      </c>
      <c r="C23" s="4">
        <v>496</v>
      </c>
      <c r="D23" s="4">
        <v>507</v>
      </c>
      <c r="E23" s="4">
        <v>527</v>
      </c>
      <c r="F23" s="4">
        <v>544</v>
      </c>
      <c r="G23" s="4">
        <v>560</v>
      </c>
      <c r="H23" s="4">
        <v>577</v>
      </c>
      <c r="I23" s="4">
        <v>596</v>
      </c>
      <c r="J23" s="4"/>
      <c r="K23" s="3"/>
      <c r="L23" s="3"/>
      <c r="M23" s="3"/>
      <c r="N23" s="3"/>
      <c r="O23" s="3"/>
      <c r="P23" s="3"/>
      <c r="Q23" s="3"/>
      <c r="R23" s="3"/>
    </row>
    <row r="24" spans="1:18" x14ac:dyDescent="0.3">
      <c r="A24" s="1" t="s">
        <v>25</v>
      </c>
      <c r="C24" s="1">
        <v>56.1</v>
      </c>
      <c r="D24" s="1">
        <v>55.7</v>
      </c>
      <c r="E24" s="1">
        <v>55.9</v>
      </c>
      <c r="F24" s="1">
        <v>55.8</v>
      </c>
      <c r="G24" s="1">
        <v>55.9</v>
      </c>
      <c r="H24" s="1">
        <v>55.4</v>
      </c>
      <c r="I24" s="1">
        <v>55.8</v>
      </c>
      <c r="J24" s="1" t="s">
        <v>66</v>
      </c>
    </row>
    <row r="25" spans="1:18" x14ac:dyDescent="0.3">
      <c r="A25" s="1" t="s">
        <v>29</v>
      </c>
      <c r="J25" s="4"/>
      <c r="K25" s="3"/>
      <c r="L25" s="3"/>
      <c r="M25" s="3"/>
      <c r="N25" s="3"/>
      <c r="O25" s="3"/>
      <c r="P25" s="3"/>
      <c r="Q25" s="3"/>
      <c r="R25" s="3"/>
    </row>
    <row r="26" spans="1:18" x14ac:dyDescent="0.3">
      <c r="A26" s="1" t="s">
        <v>30</v>
      </c>
      <c r="K26" s="3"/>
      <c r="L26" s="3"/>
      <c r="M26" s="3"/>
      <c r="N26" s="3"/>
      <c r="O26" s="3"/>
      <c r="P26" s="3"/>
      <c r="Q26" s="3"/>
      <c r="R26" s="3"/>
    </row>
    <row r="27" spans="1:18" x14ac:dyDescent="0.3">
      <c r="A27" s="1" t="s">
        <v>31</v>
      </c>
      <c r="K27" s="3"/>
      <c r="L27" s="3"/>
      <c r="M27" s="3"/>
      <c r="N27" s="3"/>
      <c r="O27" s="3"/>
      <c r="P27" s="3"/>
      <c r="Q27" s="3"/>
      <c r="R27" s="3"/>
    </row>
    <row r="28" spans="1:18" x14ac:dyDescent="0.3">
      <c r="A28" s="1" t="s">
        <v>32</v>
      </c>
      <c r="C28" s="1">
        <v>50</v>
      </c>
      <c r="D28" s="1">
        <v>50</v>
      </c>
      <c r="E28" s="1">
        <v>60</v>
      </c>
      <c r="F28" s="1">
        <v>60</v>
      </c>
      <c r="G28" s="1">
        <v>60</v>
      </c>
      <c r="H28" s="1">
        <v>70</v>
      </c>
      <c r="I28" s="1">
        <v>70</v>
      </c>
      <c r="J28" s="1" t="s">
        <v>66</v>
      </c>
    </row>
    <row r="29" spans="1:18" x14ac:dyDescent="0.3">
      <c r="A29" s="1" t="s">
        <v>33</v>
      </c>
    </row>
    <row r="30" spans="1:18" x14ac:dyDescent="0.3">
      <c r="A30" s="1" t="s">
        <v>34</v>
      </c>
      <c r="C30" s="1">
        <v>700</v>
      </c>
      <c r="D30" s="1">
        <v>700</v>
      </c>
      <c r="E30" s="1">
        <v>700</v>
      </c>
      <c r="F30" s="1">
        <v>700</v>
      </c>
      <c r="G30" s="1">
        <v>700</v>
      </c>
      <c r="H30" s="1">
        <v>700</v>
      </c>
      <c r="I30" s="1">
        <v>700</v>
      </c>
    </row>
    <row r="31" spans="1:18" x14ac:dyDescent="0.3">
      <c r="A31" s="1" t="s">
        <v>35</v>
      </c>
      <c r="C31" s="1">
        <v>45</v>
      </c>
      <c r="D31" s="1">
        <v>45</v>
      </c>
      <c r="E31" s="1">
        <v>45</v>
      </c>
      <c r="F31" s="1">
        <v>45</v>
      </c>
      <c r="G31" s="1">
        <v>45</v>
      </c>
      <c r="H31" s="1">
        <v>45</v>
      </c>
      <c r="I31" s="1">
        <v>45</v>
      </c>
    </row>
    <row r="32" spans="1:18" x14ac:dyDescent="0.3">
      <c r="A32" s="1" t="s">
        <v>36</v>
      </c>
      <c r="C32" s="1">
        <v>54</v>
      </c>
      <c r="D32" s="1">
        <v>54</v>
      </c>
      <c r="E32" s="1">
        <v>54</v>
      </c>
      <c r="F32" s="1">
        <v>54</v>
      </c>
      <c r="G32" s="1">
        <v>54</v>
      </c>
      <c r="H32" s="1">
        <v>54</v>
      </c>
      <c r="I32" s="1">
        <v>54</v>
      </c>
    </row>
    <row r="33" spans="1:9" x14ac:dyDescent="0.3">
      <c r="A33" s="1" t="s">
        <v>37</v>
      </c>
      <c r="C33" s="1">
        <f>C35</f>
        <v>160</v>
      </c>
      <c r="D33" s="1">
        <f>AVERAGE(D35,C36)</f>
        <v>166</v>
      </c>
      <c r="E33" s="1">
        <f t="shared" ref="E33:I33" si="0">AVERAGE(E35,D36)</f>
        <v>172</v>
      </c>
      <c r="F33" s="1">
        <f t="shared" si="0"/>
        <v>178</v>
      </c>
      <c r="G33" s="1">
        <f t="shared" si="0"/>
        <v>184</v>
      </c>
      <c r="H33" s="1">
        <f t="shared" si="0"/>
        <v>190</v>
      </c>
      <c r="I33" s="1">
        <f t="shared" si="0"/>
        <v>196</v>
      </c>
    </row>
    <row r="34" spans="1:9" x14ac:dyDescent="0.3">
      <c r="A34" s="1" t="s">
        <v>38</v>
      </c>
      <c r="C34" s="1">
        <f>D33</f>
        <v>166</v>
      </c>
      <c r="D34" s="1">
        <f t="shared" ref="D34:H34" si="1">E33</f>
        <v>172</v>
      </c>
      <c r="E34" s="1">
        <f t="shared" si="1"/>
        <v>178</v>
      </c>
      <c r="F34" s="1">
        <f t="shared" si="1"/>
        <v>184</v>
      </c>
      <c r="G34" s="1">
        <f t="shared" si="1"/>
        <v>190</v>
      </c>
      <c r="H34" s="1">
        <f t="shared" si="1"/>
        <v>196</v>
      </c>
      <c r="I34" s="1">
        <f t="shared" ref="I34" si="2">I36</f>
        <v>206</v>
      </c>
    </row>
    <row r="35" spans="1:9" x14ac:dyDescent="0.3">
      <c r="C35" s="1">
        <v>160</v>
      </c>
      <c r="D35" s="1">
        <v>166</v>
      </c>
      <c r="E35" s="1">
        <v>172</v>
      </c>
      <c r="F35" s="1">
        <v>178</v>
      </c>
      <c r="G35" s="1">
        <v>184</v>
      </c>
      <c r="H35" s="1">
        <v>190</v>
      </c>
      <c r="I35" s="1">
        <v>196</v>
      </c>
    </row>
    <row r="36" spans="1:9" x14ac:dyDescent="0.3">
      <c r="C36" s="1">
        <v>166</v>
      </c>
      <c r="D36" s="1">
        <v>172</v>
      </c>
      <c r="E36" s="1">
        <v>178</v>
      </c>
      <c r="F36" s="1">
        <v>184</v>
      </c>
      <c r="G36" s="1">
        <v>190</v>
      </c>
      <c r="H36" s="1">
        <v>196</v>
      </c>
      <c r="I36" s="1">
        <v>206</v>
      </c>
    </row>
    <row r="37" spans="1:9" x14ac:dyDescent="0.3">
      <c r="B37" s="4" t="s">
        <v>42</v>
      </c>
      <c r="C37" s="4" t="s">
        <v>68</v>
      </c>
      <c r="D37" s="4" t="s">
        <v>69</v>
      </c>
      <c r="E37" s="4" t="s">
        <v>70</v>
      </c>
      <c r="F37" s="4" t="s">
        <v>71</v>
      </c>
      <c r="G37" s="4" t="s">
        <v>72</v>
      </c>
      <c r="H37" s="4" t="s">
        <v>73</v>
      </c>
      <c r="I37" s="4" t="s">
        <v>43</v>
      </c>
    </row>
    <row r="38" spans="1:9" x14ac:dyDescent="0.3">
      <c r="B38" s="4" t="s">
        <v>44</v>
      </c>
      <c r="C38" s="4" t="s">
        <v>45</v>
      </c>
      <c r="D38" s="4" t="s">
        <v>46</v>
      </c>
      <c r="E38" s="4" t="s">
        <v>47</v>
      </c>
      <c r="F38" s="4" t="s">
        <v>48</v>
      </c>
      <c r="G38" s="4" t="s">
        <v>49</v>
      </c>
      <c r="H38" s="4" t="s">
        <v>50</v>
      </c>
      <c r="I38" s="4" t="s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Canyon Grizl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A Walker</dc:creator>
  <cp:lastModifiedBy>Jeffrey A Walker</cp:lastModifiedBy>
  <dcterms:created xsi:type="dcterms:W3CDTF">2025-07-15T14:07:03Z</dcterms:created>
  <dcterms:modified xsi:type="dcterms:W3CDTF">2025-07-15T16:13:31Z</dcterms:modified>
</cp:coreProperties>
</file>