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880C31D-D8ED-144D-B866-99B0D22ED779}" xr6:coauthVersionLast="47" xr6:coauthVersionMax="47" xr10:uidLastSave="{00000000-0000-0000-0000-000000000000}"/>
  <bookViews>
    <workbookView xWindow="2680" yWindow="500" windowWidth="261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31" i="1"/>
  <c r="D20" i="1"/>
  <c r="E20" i="1"/>
  <c r="F20" i="1"/>
  <c r="G20" i="1"/>
  <c r="C20" i="1"/>
  <c r="C31" i="1"/>
  <c r="D31" i="1"/>
  <c r="E31" i="1"/>
  <c r="F31" i="1"/>
  <c r="D30" i="1"/>
  <c r="E30" i="1"/>
  <c r="F30" i="1"/>
  <c r="C30" i="1"/>
</calcChain>
</file>

<file path=xl/sharedStrings.xml><?xml version="1.0" encoding="utf-8"?>
<sst xmlns="http://schemas.openxmlformats.org/spreadsheetml/2006/main" count="118" uniqueCount="114">
  <si>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</si>
  <si>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</si>
  <si>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</si>
  <si>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</si>
  <si>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</si>
  <si>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</si>
  <si>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</si>
  <si>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</si>
  <si>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</si>
  <si>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</si>
  <si>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</si>
  <si>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</si>
  <si>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</si>
  <si>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</si>
  <si>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</si>
  <si>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</si>
  <si>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</si>
  <si>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</si>
  <si>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</si>
  <si>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</si>
  <si>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</si>
  <si>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</si>
  <si>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</si>
  <si>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</si>
  <si>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</si>
  <si>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</si>
  <si>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</si>
  <si>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</si>
  <si>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</si>
  <si>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</si>
  <si>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</si>
  <si>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</si>
  <si>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</si>
  <si>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</si>
  <si>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</si>
  <si>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</si>
  <si>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</si>
  <si>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</si>
  <si>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</si>
  <si>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</si>
  <si>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</si>
  <si>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</si>
  <si>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</si>
  <si>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</si>
  <si>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</si>
  <si>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</si>
  <si>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</si>
  <si>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</si>
  <si>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</si>
  <si>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</si>
  <si>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</si>
  <si>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</si>
  <si>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</si>
  <si>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</si>
  <si>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</si>
  <si>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</si>
  <si>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</si>
  <si>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</si>
  <si>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</si>
  <si>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</si>
  <si>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</si>
  <si>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</si>
  <si>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</si>
  <si>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</si>
  <si>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</si>
  <si>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</si>
  <si>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</si>
  <si>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</si>
  <si>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</si>
  <si>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</si>
  <si>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</si>
  <si>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</si>
  <si>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</si>
  <si>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Reach</t>
  </si>
  <si>
    <t>Stack</t>
  </si>
  <si>
    <t>Measurement</t>
  </si>
  <si>
    <t>BB Drop</t>
  </si>
  <si>
    <t>Chain Stay Length</t>
  </si>
  <si>
    <t>Crank Arm Length</t>
  </si>
  <si>
    <t>Effective Top Tube Length</t>
  </si>
  <si>
    <t>Fork Offset</t>
  </si>
  <si>
    <t>Head Tube Angle</t>
  </si>
  <si>
    <t>Head Tube Length</t>
  </si>
  <si>
    <t>Seat Tube</t>
  </si>
  <si>
    <t>Seat Tube Angle</t>
  </si>
  <si>
    <t>Wheel Base</t>
  </si>
  <si>
    <t>State</t>
  </si>
  <si>
    <t>https://www.statebicycle.com/collections/carbon-all-road-gravel-bikes</t>
  </si>
  <si>
    <t>carbon</t>
  </si>
  <si>
    <t>threaded</t>
  </si>
  <si>
    <t>internal</t>
  </si>
  <si>
    <t>Carbon All-Road V2</t>
  </si>
  <si>
    <t>XS (49cm)</t>
  </si>
  <si>
    <t>S (52cm)</t>
  </si>
  <si>
    <t>M (54cm)</t>
  </si>
  <si>
    <t>L (56cm)</t>
  </si>
  <si>
    <t>XL (58cm)</t>
  </si>
  <si>
    <t>5’1” to 5’6”</t>
  </si>
  <si>
    <t>5’5” to 5’9”</t>
  </si>
  <si>
    <t>5’8” to 5’11”</t>
  </si>
  <si>
    <t>5’10” to 6’1”</t>
  </si>
  <si>
    <t>6’0” to 6’4”</t>
  </si>
  <si>
    <t>Standover Height (700×38C)</t>
  </si>
  <si>
    <t>29.88”</t>
  </si>
  <si>
    <t>30.94”</t>
  </si>
  <si>
    <t>31.61”</t>
  </si>
  <si>
    <t>32.40”</t>
  </si>
  <si>
    <t>33.19”</t>
  </si>
  <si>
    <t>drop bar</t>
  </si>
  <si>
    <t>https://www.statebicycle.com/cdn/shop/files/CarbonAll-Roadv2-DustyMerlot-1_1024x1024.jpg?v=1741294430</t>
  </si>
  <si>
    <t>USD</t>
  </si>
  <si>
    <t>location</t>
  </si>
  <si>
    <t>Phoenix, Arizona, USA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</si>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</sst>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7" workbookViewId="0">
      <selection activeCell="D30" sqref="D30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86</v>
      </c>
    </row>
    <row r="2" spans="1:11" x14ac:dyDescent="0.3">
      <c r="A2" s="1" t="s">
        <v>1</v>
      </c>
      <c r="B2" s="1" t="s">
        <v>91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87</v>
      </c>
    </row>
    <row r="6" spans="1:11" x14ac:dyDescent="0.3">
      <c r="B6" s="1" t="s">
        <v>109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113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75</v>
      </c>
      <c r="C8" s="6" t="s">
        <v>92</v>
      </c>
      <c r="D8" s="6" t="s">
        <v>93</v>
      </c>
      <c r="E8" s="6" t="s">
        <v>94</v>
      </c>
      <c r="F8" s="6" t="s">
        <v>95</v>
      </c>
      <c r="G8" s="6" t="s">
        <v>96</v>
      </c>
    </row>
    <row r="9" spans="1:11" x14ac:dyDescent="0.3">
      <c r="A9" s="1" t="s">
        <v>13</v>
      </c>
      <c r="B9" s="6" t="s">
        <v>76</v>
      </c>
      <c r="C9" s="7">
        <v>78</v>
      </c>
      <c r="D9" s="7">
        <v>78</v>
      </c>
      <c r="E9" s="7">
        <v>78</v>
      </c>
      <c r="F9" s="7">
        <v>78</v>
      </c>
      <c r="G9" s="7">
        <v>78</v>
      </c>
    </row>
    <row r="10" spans="1:11" x14ac:dyDescent="0.3">
      <c r="A10" s="1" t="s">
        <v>12</v>
      </c>
      <c r="B10" s="6" t="s">
        <v>77</v>
      </c>
      <c r="C10" s="7">
        <v>435</v>
      </c>
      <c r="D10" s="7">
        <v>435</v>
      </c>
      <c r="E10" s="7">
        <v>435</v>
      </c>
      <c r="F10" s="7">
        <v>435</v>
      </c>
      <c r="G10" s="7">
        <v>435</v>
      </c>
    </row>
    <row r="11" spans="1:11" x14ac:dyDescent="0.3">
      <c r="A11" s="1" t="s">
        <v>19</v>
      </c>
      <c r="B11" s="6" t="s">
        <v>78</v>
      </c>
      <c r="C11" s="7">
        <v>165</v>
      </c>
      <c r="D11" s="7">
        <v>165</v>
      </c>
      <c r="E11" s="7">
        <v>170</v>
      </c>
      <c r="F11" s="7">
        <v>170</v>
      </c>
      <c r="G11" s="7">
        <v>175</v>
      </c>
    </row>
    <row r="12" spans="1:11" x14ac:dyDescent="0.3">
      <c r="A12" s="1" t="s">
        <v>8</v>
      </c>
      <c r="B12" s="6" t="s">
        <v>79</v>
      </c>
      <c r="C12" s="7">
        <v>541</v>
      </c>
      <c r="D12" s="7">
        <v>555</v>
      </c>
      <c r="E12" s="7">
        <v>570</v>
      </c>
      <c r="F12" s="7">
        <v>584</v>
      </c>
      <c r="G12" s="7">
        <v>597</v>
      </c>
    </row>
    <row r="13" spans="1:11" x14ac:dyDescent="0.3">
      <c r="A13" s="1" t="s">
        <v>18</v>
      </c>
      <c r="B13" s="6" t="s">
        <v>80</v>
      </c>
      <c r="C13" s="7">
        <v>50</v>
      </c>
      <c r="D13" s="7">
        <v>50</v>
      </c>
      <c r="E13" s="7">
        <v>50</v>
      </c>
      <c r="F13" s="7">
        <v>50</v>
      </c>
      <c r="G13" s="7">
        <v>50</v>
      </c>
    </row>
    <row r="14" spans="1:11" x14ac:dyDescent="0.3">
      <c r="A14" s="1" t="s">
        <v>9</v>
      </c>
      <c r="B14" s="6" t="s">
        <v>82</v>
      </c>
      <c r="C14" s="7">
        <v>90</v>
      </c>
      <c r="D14" s="7">
        <v>105</v>
      </c>
      <c r="E14" s="7">
        <v>125</v>
      </c>
      <c r="F14" s="7">
        <v>145</v>
      </c>
      <c r="G14" s="7">
        <v>165</v>
      </c>
    </row>
    <row r="15" spans="1:11" x14ac:dyDescent="0.3">
      <c r="A15" s="1" t="s">
        <v>11</v>
      </c>
      <c r="B15" s="6" t="s">
        <v>81</v>
      </c>
      <c r="C15" s="7">
        <v>71.2</v>
      </c>
      <c r="D15" s="7">
        <v>71.599999999999994</v>
      </c>
      <c r="E15" s="7">
        <v>71.8</v>
      </c>
      <c r="F15" s="7">
        <v>72.2</v>
      </c>
      <c r="G15" s="7">
        <v>72.3</v>
      </c>
    </row>
    <row r="16" spans="1:11" x14ac:dyDescent="0.3">
      <c r="A16" s="1" t="s">
        <v>17</v>
      </c>
      <c r="B16" s="6" t="s">
        <v>73</v>
      </c>
      <c r="C16" s="7">
        <v>391</v>
      </c>
      <c r="D16" s="7">
        <v>396</v>
      </c>
      <c r="E16" s="7">
        <v>400</v>
      </c>
      <c r="F16" s="7">
        <v>404</v>
      </c>
      <c r="G16" s="7">
        <v>407</v>
      </c>
    </row>
    <row r="17" spans="1:12" x14ac:dyDescent="0.3">
      <c r="A17" s="1" t="s">
        <v>7</v>
      </c>
      <c r="B17" s="6" t="s">
        <v>83</v>
      </c>
      <c r="C17" s="7">
        <v>490</v>
      </c>
      <c r="D17" s="7">
        <v>520</v>
      </c>
      <c r="E17" s="7">
        <v>540</v>
      </c>
      <c r="F17" s="7">
        <v>560</v>
      </c>
      <c r="G17" s="7">
        <v>580</v>
      </c>
    </row>
    <row r="18" spans="1:12" x14ac:dyDescent="0.3">
      <c r="A18" s="1" t="s">
        <v>10</v>
      </c>
      <c r="B18" s="6" t="s">
        <v>84</v>
      </c>
      <c r="C18" s="7">
        <v>74.099999999999994</v>
      </c>
      <c r="D18" s="7">
        <v>73.7</v>
      </c>
      <c r="E18" s="7">
        <v>73.2</v>
      </c>
      <c r="F18" s="7">
        <v>72.8</v>
      </c>
      <c r="G18" s="7">
        <v>72.5</v>
      </c>
    </row>
    <row r="19" spans="1:12" x14ac:dyDescent="0.3">
      <c r="A19" s="1" t="s">
        <v>16</v>
      </c>
      <c r="B19" s="6" t="s">
        <v>74</v>
      </c>
      <c r="C19" s="7">
        <v>527</v>
      </c>
      <c r="D19" s="7">
        <v>542</v>
      </c>
      <c r="E19" s="7">
        <v>562</v>
      </c>
      <c r="F19" s="7">
        <v>582</v>
      </c>
      <c r="G19" s="7">
        <v>602</v>
      </c>
    </row>
    <row r="20" spans="1:12" x14ac:dyDescent="0.3">
      <c r="A20" s="1" t="s">
        <v>15</v>
      </c>
      <c r="B20" s="6" t="s">
        <v>102</v>
      </c>
      <c r="C20" s="1">
        <f>VALUE(LEFT(H20,5)) * 25.4</f>
        <v>758.95199999999988</v>
      </c>
      <c r="D20" s="1">
        <f t="shared" ref="D20:G20" si="0">VALUE(LEFT(I20,5)) * 25.4</f>
        <v>785.87599999999998</v>
      </c>
      <c r="E20" s="1">
        <f t="shared" si="0"/>
        <v>802.89399999999989</v>
      </c>
      <c r="F20" s="1">
        <f t="shared" si="0"/>
        <v>822.95999999999992</v>
      </c>
      <c r="G20" s="1">
        <f t="shared" si="0"/>
        <v>843.02599999999984</v>
      </c>
      <c r="H20" s="7" t="s">
        <v>103</v>
      </c>
      <c r="I20" s="7" t="s">
        <v>104</v>
      </c>
      <c r="J20" s="7" t="s">
        <v>105</v>
      </c>
      <c r="K20" s="7" t="s">
        <v>106</v>
      </c>
      <c r="L20" s="7" t="s">
        <v>107</v>
      </c>
    </row>
    <row r="21" spans="1:12" x14ac:dyDescent="0.3">
      <c r="A21" s="1" t="s">
        <v>14</v>
      </c>
      <c r="B21" s="6" t="s">
        <v>85</v>
      </c>
      <c r="C21" s="7">
        <v>1025</v>
      </c>
      <c r="D21" s="7">
        <v>1032</v>
      </c>
      <c r="E21" s="7">
        <v>1040</v>
      </c>
      <c r="F21" s="7">
        <v>1046</v>
      </c>
      <c r="G21" s="7">
        <v>1055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20</v>
      </c>
    </row>
    <row r="25" spans="1:12" x14ac:dyDescent="0.3">
      <c r="A25" s="1" t="s">
        <v>21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47</v>
      </c>
      <c r="D28" s="4">
        <v>47</v>
      </c>
      <c r="E28" s="4">
        <v>47</v>
      </c>
      <c r="F28" s="4">
        <v>47</v>
      </c>
      <c r="G28" s="4">
        <v>47</v>
      </c>
      <c r="H28" s="4"/>
      <c r="I28" s="4"/>
      <c r="J28" s="4"/>
      <c r="K28" s="4"/>
    </row>
    <row r="29" spans="1:12" x14ac:dyDescent="0.3">
      <c r="A29" s="1" t="s">
        <v>26</v>
      </c>
      <c r="C29" s="1">
        <v>58</v>
      </c>
      <c r="D29" s="1">
        <v>58</v>
      </c>
      <c r="E29" s="1">
        <v>58</v>
      </c>
      <c r="F29" s="1">
        <v>58</v>
      </c>
      <c r="G29" s="1">
        <v>58</v>
      </c>
    </row>
    <row r="30" spans="1:12" x14ac:dyDescent="0.3">
      <c r="A30" s="1" t="s">
        <v>27</v>
      </c>
      <c r="C30" s="1">
        <f>C32*2.54</f>
        <v>154.94</v>
      </c>
      <c r="D30" s="1">
        <f>D32*2.54</f>
        <v>165.1</v>
      </c>
      <c r="E30" s="1">
        <f>E32*2.54</f>
        <v>172.72</v>
      </c>
      <c r="F30" s="1">
        <f>F32*2.54</f>
        <v>177.8</v>
      </c>
      <c r="G30" s="1">
        <f>G32*2.54</f>
        <v>182.88</v>
      </c>
    </row>
    <row r="31" spans="1:12" x14ac:dyDescent="0.3">
      <c r="A31" s="1" t="s">
        <v>28</v>
      </c>
      <c r="C31" s="1">
        <f>C33*2.54</f>
        <v>167.64000000000001</v>
      </c>
      <c r="D31" s="1">
        <f>D33*2.54</f>
        <v>175.26</v>
      </c>
      <c r="E31" s="1">
        <f>E33*2.54</f>
        <v>180.34</v>
      </c>
      <c r="F31" s="1">
        <f>F33*2.54</f>
        <v>185.42000000000002</v>
      </c>
      <c r="G31" s="1">
        <f>G33*2.54</f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 t="s">
        <v>97</v>
      </c>
      <c r="D34" s="7" t="s">
        <v>98</v>
      </c>
      <c r="E34" s="7" t="s">
        <v>99</v>
      </c>
      <c r="F34" s="7" t="s">
        <v>100</v>
      </c>
      <c r="G34" s="7" t="s">
        <v>101</v>
      </c>
    </row>
    <row r="35" spans="1:8" x14ac:dyDescent="0.3">
      <c r="A35" s="1" t="s">
        <v>68</v>
      </c>
      <c r="B35" s="1" t="s">
        <v>108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88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58</v>
      </c>
    </row>
    <row r="41" spans="1:8" x14ac:dyDescent="0.3">
      <c r="A41" s="1" t="s">
        <v>35</v>
      </c>
      <c r="B41" s="5">
        <v>2.4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89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71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90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  <c r="B60" s="1" t="s">
        <v>71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  <c r="B63" s="1" t="s">
        <v>71</v>
      </c>
    </row>
    <row r="64" spans="1:2" x14ac:dyDescent="0.3">
      <c r="A64" s="1" t="s">
        <v>58</v>
      </c>
      <c r="B64" s="1" t="s">
        <v>71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1299</v>
      </c>
    </row>
    <row r="69" spans="1:2" x14ac:dyDescent="0.3">
      <c r="A69" s="1" t="s">
        <v>63</v>
      </c>
      <c r="B69" s="1">
        <v>2299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110</v>
      </c>
    </row>
    <row r="72" spans="1:2" x14ac:dyDescent="0.3">
      <c r="A72" s="1" t="s">
        <v>111</v>
      </c>
      <c r="B72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2025-10-24T22:24:30Z</dcterms:modified>
</cp:coreProperties>
</file>