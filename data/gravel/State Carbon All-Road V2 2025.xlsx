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163AC9C7-AF21-D243-A36D-BD3845B018F5}" xr6:coauthVersionLast="47" xr6:coauthVersionMax="47" xr10:uidLastSave="{00000000-0000-0000-0000-000000000000}"/>
  <bookViews>
    <workbookView xWindow="2680" yWindow="500" windowWidth="261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0" i="1" l="1"/>
  <c r="G31" i="1"/>
  <c r="D20" i="1"/>
  <c r="E20" i="1"/>
  <c r="F20" i="1"/>
  <c r="G20" i="1"/>
  <c r="C20" i="1"/>
  <c r="C31" i="1"/>
  <c r="D31" i="1"/>
  <c r="E31" i="1"/>
  <c r="F31" i="1"/>
  <c r="D30" i="1"/>
  <c r="E30" i="1"/>
  <c r="F30" i="1"/>
  <c r="C30" i="1"/>
</calcChain>
</file>

<file path=xl/sharedStrings.xml><?xml version="1.0" encoding="utf-8"?>
<sst xmlns="http://schemas.openxmlformats.org/spreadsheetml/2006/main" count="124" uniqueCount="120">
  <si>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</si>
  <si>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</si>
  <si>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</si>
  <si>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</si>
  <si>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</si>
  <si>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</si>
  <si>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</si>
  <si>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</si>
  <si>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</si>
  <si>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</si>
  <si>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</si>
  <si>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</si>
  <si>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</si>
  <si>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</si>
  <si>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</si>
  <si>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</si>
  <si>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</si>
  <si>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</si>
  <si>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</si>
  <si>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</si>
  <si>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</si>
  <si>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</si>
  <si>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</si>
  <si>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</si>
  <si>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</si>
  <si>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</si>
  <si>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</si>
  <si>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</si>
  <si>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</si>
  <si>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</si>
  <si>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</si>
  <si>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</si>
  <si>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</si>
  <si>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</si>
  <si>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</si>
  <si>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</si>
  <si>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</si>
  <si>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</si>
  <si>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</si>
  <si>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</si>
  <si>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</si>
  <si>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</si>
  <si>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</si>
  <si>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</si>
  <si>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</si>
  <si>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</si>
  <si>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</si>
  <si>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</si>
  <si>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</si>
  <si>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</si>
  <si>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</si>
  <si>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</si>
  <si>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</si>
  <si>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</si>
  <si>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</si>
  <si>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</si>
  <si>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</si>
  <si>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</si>
  <si>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</si>
  <si>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</si>
  <si>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</si>
  <si>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</si>
  <si>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</si>
  <si>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</si>
  <si>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</si>
  <si>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</si>
  <si>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</si>
  <si>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</si>
  <si>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</si>
  <si>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</si>
  <si>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</si>
  <si>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yes</t>
  </si>
  <si>
    <t>trail</t>
  </si>
  <si>
    <t>Reach</t>
  </si>
  <si>
    <t>Stack</t>
  </si>
  <si>
    <t>Measurement</t>
  </si>
  <si>
    <t>BB Drop</t>
  </si>
  <si>
    <t>Chain Stay Length</t>
  </si>
  <si>
    <t>Crank Arm Length</t>
  </si>
  <si>
    <t>Effective Top Tube Length</t>
  </si>
  <si>
    <t>Fork Offset</t>
  </si>
  <si>
    <t>Head Tube Angle</t>
  </si>
  <si>
    <t>Head Tube Length</t>
  </si>
  <si>
    <t>Seat Tube</t>
  </si>
  <si>
    <t>Seat Tube Angle</t>
  </si>
  <si>
    <t>Wheel Base</t>
  </si>
  <si>
    <t>State</t>
  </si>
  <si>
    <t>https://www.statebicycle.com/collections/carbon-all-road-gravel-bikes</t>
  </si>
  <si>
    <t>carbon</t>
  </si>
  <si>
    <t>threaded</t>
  </si>
  <si>
    <t>internal</t>
  </si>
  <si>
    <t>Carbon All-Road V2</t>
  </si>
  <si>
    <t>XS (49cm)</t>
  </si>
  <si>
    <t>S (52cm)</t>
  </si>
  <si>
    <t>M (54cm)</t>
  </si>
  <si>
    <t>L (56cm)</t>
  </si>
  <si>
    <t>XL (58cm)</t>
  </si>
  <si>
    <t>5’1” to 5’6”</t>
  </si>
  <si>
    <t>5’5” to 5’9”</t>
  </si>
  <si>
    <t>5’8” to 5’11”</t>
  </si>
  <si>
    <t>5’10” to 6’1”</t>
  </si>
  <si>
    <t>6’0” to 6’4”</t>
  </si>
  <si>
    <t>Standover Height (700×38C)</t>
  </si>
  <si>
    <t>29.88”</t>
  </si>
  <si>
    <t>30.94”</t>
  </si>
  <si>
    <t>31.61”</t>
  </si>
  <si>
    <t>32.40”</t>
  </si>
  <si>
    <t>33.19”</t>
  </si>
  <si>
    <t>drop bar</t>
  </si>
  <si>
    <t>https://www.statebicycle.com/cdn/shop/files/CarbonAll-Roadv2-DustyMerlot-1_1024x1024.jpg?v=1741294430</t>
  </si>
  <si>
    <t>USD</t>
  </si>
  <si>
    <t>location</t>
  </si>
  <si>
    <t>Phoenix, Arizona, USA</t>
  </si>
  <si>
    <t>a8:g31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</si>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</sst>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 Medium"/>
    </font>
    <font>
      <b/>
      <sz val="14"/>
      <color rgb="FF000000"/>
      <name val="Futura Medium"/>
    </font>
    <font>
      <sz val="14"/>
      <color rgb="FF1A182D"/>
      <name val="Futura Medium"/>
    </font>
    <font>
      <sz val="14"/>
      <color rgb="FF000000"/>
      <name val="Futura"/>
      <family val="2"/>
    </font>
    <font>
      <b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2" fontId="1" fillId="0" borderId="0" xfId="0" applyNumberFormat="1" applyFont="1"/>
    <xf numFmtId="0" fontId="5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8"/>
  <sheetViews>
    <sheetView tabSelected="1" topLeftCell="A7" workbookViewId="0">
      <selection activeCell="D30" sqref="D30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11" x14ac:dyDescent="0.3">
      <c r="A1" s="1" t="s">
        <v>0</v>
      </c>
      <c r="B1" s="1" t="s">
        <v>86</v>
      </c>
    </row>
    <row r="2" spans="1:11" x14ac:dyDescent="0.3">
      <c r="A2" s="1" t="s">
        <v>1</v>
      </c>
      <c r="B2" s="1" t="s">
        <v>91</v>
      </c>
    </row>
    <row r="3" spans="1:11" x14ac:dyDescent="0.3">
      <c r="A3" s="1" t="s">
        <v>2</v>
      </c>
      <c r="B3" s="1">
        <v>2025</v>
      </c>
    </row>
    <row r="4" spans="1:11" x14ac:dyDescent="0.3">
      <c r="A4" s="1" t="s">
        <v>3</v>
      </c>
      <c r="B4" s="2">
        <v>45901</v>
      </c>
    </row>
    <row r="5" spans="1:11" x14ac:dyDescent="0.3">
      <c r="A5" s="1" t="s">
        <v>4</v>
      </c>
      <c r="B5" s="1" t="s">
        <v>87</v>
      </c>
    </row>
    <row r="6" spans="1:11" x14ac:dyDescent="0.3">
      <c r="B6" s="1" t="s">
        <v>109</v>
      </c>
      <c r="C6" s="3"/>
      <c r="D6" s="3"/>
      <c r="E6" s="3"/>
      <c r="F6" s="3"/>
      <c r="G6" s="3"/>
      <c r="H6" s="3"/>
      <c r="I6" s="3"/>
      <c r="J6" s="3"/>
      <c r="K6" s="3"/>
    </row>
    <row r="7" spans="1:11" x14ac:dyDescent="0.3">
      <c r="A7" s="1" t="s">
        <v>5</v>
      </c>
      <c r="B7" s="1" t="s">
        <v>113</v>
      </c>
      <c r="C7" s="3"/>
      <c r="D7" s="3"/>
      <c r="E7" s="3"/>
      <c r="F7" s="3"/>
      <c r="G7" s="3"/>
      <c r="H7" s="3"/>
      <c r="I7" s="3"/>
      <c r="J7" s="3"/>
      <c r="K7" s="3"/>
    </row>
    <row r="8" spans="1:11" x14ac:dyDescent="0.3">
      <c r="A8" s="1" t="s">
        <v>6</v>
      </c>
      <c r="B8" s="6" t="s">
        <v>75</v>
      </c>
      <c r="C8" s="6" t="s">
        <v>92</v>
      </c>
      <c r="D8" s="6" t="s">
        <v>93</v>
      </c>
      <c r="E8" s="6" t="s">
        <v>94</v>
      </c>
      <c r="F8" s="6" t="s">
        <v>95</v>
      </c>
      <c r="G8" s="6" t="s">
        <v>96</v>
      </c>
    </row>
    <row r="9" spans="1:11" x14ac:dyDescent="0.3">
      <c r="A9" s="1" t="s">
        <v>13</v>
      </c>
      <c r="B9" s="6" t="s">
        <v>76</v>
      </c>
      <c r="C9" s="7">
        <v>78</v>
      </c>
      <c r="D9" s="7">
        <v>78</v>
      </c>
      <c r="E9" s="7">
        <v>78</v>
      </c>
      <c r="F9" s="7">
        <v>78</v>
      </c>
      <c r="G9" s="7">
        <v>78</v>
      </c>
    </row>
    <row r="10" spans="1:11" x14ac:dyDescent="0.3">
      <c r="A10" s="1" t="s">
        <v>12</v>
      </c>
      <c r="B10" s="6" t="s">
        <v>77</v>
      </c>
      <c r="C10" s="7">
        <v>435</v>
      </c>
      <c r="D10" s="7">
        <v>435</v>
      </c>
      <c r="E10" s="7">
        <v>435</v>
      </c>
      <c r="F10" s="7">
        <v>435</v>
      </c>
      <c r="G10" s="7">
        <v>435</v>
      </c>
    </row>
    <row r="11" spans="1:11" x14ac:dyDescent="0.3">
      <c r="A11" s="1" t="s">
        <v>19</v>
      </c>
      <c r="B11" s="6" t="s">
        <v>78</v>
      </c>
      <c r="C11" s="7">
        <v>165</v>
      </c>
      <c r="D11" s="7">
        <v>165</v>
      </c>
      <c r="E11" s="7">
        <v>170</v>
      </c>
      <c r="F11" s="7">
        <v>170</v>
      </c>
      <c r="G11" s="7">
        <v>175</v>
      </c>
    </row>
    <row r="12" spans="1:11" x14ac:dyDescent="0.3">
      <c r="A12" s="1" t="s">
        <v>8</v>
      </c>
      <c r="B12" s="6" t="s">
        <v>79</v>
      </c>
      <c r="C12" s="7">
        <v>541</v>
      </c>
      <c r="D12" s="7">
        <v>555</v>
      </c>
      <c r="E12" s="7">
        <v>570</v>
      </c>
      <c r="F12" s="7">
        <v>584</v>
      </c>
      <c r="G12" s="7">
        <v>597</v>
      </c>
    </row>
    <row r="13" spans="1:11" x14ac:dyDescent="0.3">
      <c r="A13" s="1" t="s">
        <v>18</v>
      </c>
      <c r="B13" s="6" t="s">
        <v>80</v>
      </c>
      <c r="C13" s="7">
        <v>50</v>
      </c>
      <c r="D13" s="7">
        <v>50</v>
      </c>
      <c r="E13" s="7">
        <v>50</v>
      </c>
      <c r="F13" s="7">
        <v>50</v>
      </c>
      <c r="G13" s="7">
        <v>50</v>
      </c>
    </row>
    <row r="14" spans="1:11" x14ac:dyDescent="0.3">
      <c r="A14" s="1" t="s">
        <v>9</v>
      </c>
      <c r="B14" s="6" t="s">
        <v>82</v>
      </c>
      <c r="C14" s="7">
        <v>90</v>
      </c>
      <c r="D14" s="7">
        <v>105</v>
      </c>
      <c r="E14" s="7">
        <v>125</v>
      </c>
      <c r="F14" s="7">
        <v>145</v>
      </c>
      <c r="G14" s="7">
        <v>165</v>
      </c>
    </row>
    <row r="15" spans="1:11" x14ac:dyDescent="0.3">
      <c r="A15" s="1" t="s">
        <v>11</v>
      </c>
      <c r="B15" s="6" t="s">
        <v>81</v>
      </c>
      <c r="C15" s="7">
        <v>71.2</v>
      </c>
      <c r="D15" s="7">
        <v>71.599999999999994</v>
      </c>
      <c r="E15" s="7">
        <v>71.8</v>
      </c>
      <c r="F15" s="7">
        <v>72.2</v>
      </c>
      <c r="G15" s="7">
        <v>72.3</v>
      </c>
    </row>
    <row r="16" spans="1:11" x14ac:dyDescent="0.3">
      <c r="A16" s="1" t="s">
        <v>17</v>
      </c>
      <c r="B16" s="6" t="s">
        <v>73</v>
      </c>
      <c r="C16" s="7">
        <v>391</v>
      </c>
      <c r="D16" s="7">
        <v>396</v>
      </c>
      <c r="E16" s="7">
        <v>400</v>
      </c>
      <c r="F16" s="7">
        <v>404</v>
      </c>
      <c r="G16" s="7">
        <v>407</v>
      </c>
    </row>
    <row r="17" spans="1:12" x14ac:dyDescent="0.3">
      <c r="A17" s="1" t="s">
        <v>7</v>
      </c>
      <c r="B17" s="6" t="s">
        <v>83</v>
      </c>
      <c r="C17" s="7">
        <v>490</v>
      </c>
      <c r="D17" s="7">
        <v>520</v>
      </c>
      <c r="E17" s="7">
        <v>540</v>
      </c>
      <c r="F17" s="7">
        <v>560</v>
      </c>
      <c r="G17" s="7">
        <v>580</v>
      </c>
    </row>
    <row r="18" spans="1:12" x14ac:dyDescent="0.3">
      <c r="A18" s="1" t="s">
        <v>10</v>
      </c>
      <c r="B18" s="6" t="s">
        <v>84</v>
      </c>
      <c r="C18" s="7">
        <v>74.099999999999994</v>
      </c>
      <c r="D18" s="7">
        <v>73.7</v>
      </c>
      <c r="E18" s="7">
        <v>73.2</v>
      </c>
      <c r="F18" s="7">
        <v>72.8</v>
      </c>
      <c r="G18" s="7">
        <v>72.5</v>
      </c>
    </row>
    <row r="19" spans="1:12" x14ac:dyDescent="0.3">
      <c r="A19" s="1" t="s">
        <v>16</v>
      </c>
      <c r="B19" s="6" t="s">
        <v>74</v>
      </c>
      <c r="C19" s="7">
        <v>527</v>
      </c>
      <c r="D19" s="7">
        <v>542</v>
      </c>
      <c r="E19" s="7">
        <v>562</v>
      </c>
      <c r="F19" s="7">
        <v>582</v>
      </c>
      <c r="G19" s="7">
        <v>602</v>
      </c>
    </row>
    <row r="20" spans="1:12" x14ac:dyDescent="0.3">
      <c r="A20" s="1" t="s">
        <v>15</v>
      </c>
      <c r="B20" s="6" t="s">
        <v>102</v>
      </c>
      <c r="C20" s="1">
        <f>VALUE(LEFT(H20,5)) * 25.4</f>
        <v>758.95199999999988</v>
      </c>
      <c r="D20" s="1">
        <f t="shared" ref="D20:G20" si="0">VALUE(LEFT(I20,5)) * 25.4</f>
        <v>785.87599999999998</v>
      </c>
      <c r="E20" s="1">
        <f t="shared" si="0"/>
        <v>802.89399999999989</v>
      </c>
      <c r="F20" s="1">
        <f t="shared" si="0"/>
        <v>822.95999999999992</v>
      </c>
      <c r="G20" s="1">
        <f t="shared" si="0"/>
        <v>843.02599999999984</v>
      </c>
      <c r="H20" s="7" t="s">
        <v>103</v>
      </c>
      <c r="I20" s="7" t="s">
        <v>104</v>
      </c>
      <c r="J20" s="7" t="s">
        <v>105</v>
      </c>
      <c r="K20" s="7" t="s">
        <v>106</v>
      </c>
      <c r="L20" s="7" t="s">
        <v>107</v>
      </c>
    </row>
    <row r="21" spans="1:12" x14ac:dyDescent="0.3">
      <c r="A21" s="1" t="s">
        <v>14</v>
      </c>
      <c r="B21" s="6" t="s">
        <v>85</v>
      </c>
      <c r="C21" s="7">
        <v>1025</v>
      </c>
      <c r="D21" s="7">
        <v>1032</v>
      </c>
      <c r="E21" s="7">
        <v>1040</v>
      </c>
      <c r="F21" s="7">
        <v>1046</v>
      </c>
      <c r="G21" s="7">
        <v>1055</v>
      </c>
    </row>
    <row r="22" spans="1:12" x14ac:dyDescent="0.3">
      <c r="A22" s="1" t="s">
        <v>22</v>
      </c>
    </row>
    <row r="23" spans="1:12" x14ac:dyDescent="0.3">
      <c r="A23" s="1" t="s">
        <v>72</v>
      </c>
    </row>
    <row r="24" spans="1:12" x14ac:dyDescent="0.3">
      <c r="A24" s="1" t="s">
        <v>20</v>
      </c>
    </row>
    <row r="25" spans="1:12" x14ac:dyDescent="0.3">
      <c r="A25" s="1" t="s">
        <v>21</v>
      </c>
    </row>
    <row r="26" spans="1:12" x14ac:dyDescent="0.3">
      <c r="A26" s="1" t="s">
        <v>23</v>
      </c>
    </row>
    <row r="27" spans="1:12" x14ac:dyDescent="0.3">
      <c r="A27" s="1" t="s">
        <v>24</v>
      </c>
      <c r="C27" s="4">
        <v>700</v>
      </c>
      <c r="D27" s="4">
        <v>700</v>
      </c>
      <c r="E27" s="4">
        <v>700</v>
      </c>
      <c r="F27" s="4">
        <v>700</v>
      </c>
      <c r="G27" s="4">
        <v>700</v>
      </c>
      <c r="H27" s="4"/>
      <c r="I27" s="4"/>
      <c r="J27" s="4"/>
      <c r="K27" s="4"/>
    </row>
    <row r="28" spans="1:12" x14ac:dyDescent="0.3">
      <c r="A28" s="1" t="s">
        <v>25</v>
      </c>
      <c r="C28" s="4">
        <v>47</v>
      </c>
      <c r="D28" s="4">
        <v>47</v>
      </c>
      <c r="E28" s="4">
        <v>47</v>
      </c>
      <c r="F28" s="4">
        <v>47</v>
      </c>
      <c r="G28" s="4">
        <v>47</v>
      </c>
      <c r="H28" s="4"/>
      <c r="I28" s="4"/>
      <c r="J28" s="4"/>
      <c r="K28" s="4"/>
    </row>
    <row r="29" spans="1:12" x14ac:dyDescent="0.3">
      <c r="A29" s="1" t="s">
        <v>26</v>
      </c>
      <c r="C29" s="1">
        <v>58</v>
      </c>
      <c r="D29" s="1">
        <v>58</v>
      </c>
      <c r="E29" s="1">
        <v>58</v>
      </c>
      <c r="F29" s="1">
        <v>58</v>
      </c>
      <c r="G29" s="1">
        <v>58</v>
      </c>
    </row>
    <row r="30" spans="1:12" x14ac:dyDescent="0.3">
      <c r="A30" s="1" t="s">
        <v>27</v>
      </c>
      <c r="C30" s="1">
        <f t="shared" ref="C30:G31" si="1">C32*2.54</f>
        <v>154.94</v>
      </c>
      <c r="D30" s="1">
        <f t="shared" si="1"/>
        <v>165.1</v>
      </c>
      <c r="E30" s="1">
        <f t="shared" si="1"/>
        <v>172.72</v>
      </c>
      <c r="F30" s="1">
        <f t="shared" si="1"/>
        <v>177.8</v>
      </c>
      <c r="G30" s="1">
        <f t="shared" si="1"/>
        <v>182.88</v>
      </c>
    </row>
    <row r="31" spans="1:12" x14ac:dyDescent="0.3">
      <c r="A31" s="1" t="s">
        <v>28</v>
      </c>
      <c r="C31" s="1">
        <f t="shared" si="1"/>
        <v>167.64000000000001</v>
      </c>
      <c r="D31" s="1">
        <f t="shared" si="1"/>
        <v>175.26</v>
      </c>
      <c r="E31" s="1">
        <f t="shared" si="1"/>
        <v>180.34</v>
      </c>
      <c r="F31" s="1">
        <f t="shared" si="1"/>
        <v>185.42000000000002</v>
      </c>
      <c r="G31" s="1">
        <f t="shared" si="1"/>
        <v>193.04</v>
      </c>
    </row>
    <row r="32" spans="1:12" x14ac:dyDescent="0.3">
      <c r="C32" s="1">
        <v>61</v>
      </c>
      <c r="D32" s="1">
        <v>65</v>
      </c>
      <c r="E32" s="1">
        <v>68</v>
      </c>
      <c r="F32" s="1">
        <v>70</v>
      </c>
      <c r="G32" s="1">
        <v>72</v>
      </c>
    </row>
    <row r="33" spans="1:8" x14ac:dyDescent="0.3">
      <c r="A33" s="1" t="s">
        <v>29</v>
      </c>
      <c r="B33" s="1" t="s">
        <v>30</v>
      </c>
      <c r="C33" s="1">
        <v>66</v>
      </c>
      <c r="D33" s="1">
        <v>69</v>
      </c>
      <c r="E33" s="1">
        <v>71</v>
      </c>
      <c r="F33" s="1">
        <v>73</v>
      </c>
      <c r="G33" s="1">
        <v>76</v>
      </c>
      <c r="H33" s="4"/>
    </row>
    <row r="34" spans="1:8" x14ac:dyDescent="0.3">
      <c r="A34" s="1" t="s">
        <v>66</v>
      </c>
      <c r="B34" s="1" t="s">
        <v>67</v>
      </c>
      <c r="C34" s="7" t="s">
        <v>97</v>
      </c>
      <c r="D34" s="7" t="s">
        <v>98</v>
      </c>
      <c r="E34" s="7" t="s">
        <v>99</v>
      </c>
      <c r="F34" s="7" t="s">
        <v>100</v>
      </c>
      <c r="G34" s="7" t="s">
        <v>101</v>
      </c>
    </row>
    <row r="35" spans="1:8" x14ac:dyDescent="0.3">
      <c r="A35" s="1" t="s">
        <v>68</v>
      </c>
      <c r="B35" s="1" t="s">
        <v>108</v>
      </c>
    </row>
    <row r="36" spans="1:8" x14ac:dyDescent="0.3">
      <c r="A36" s="1" t="s">
        <v>69</v>
      </c>
      <c r="B36" s="1" t="s">
        <v>70</v>
      </c>
    </row>
    <row r="37" spans="1:8" x14ac:dyDescent="0.3">
      <c r="A37" s="1" t="s">
        <v>31</v>
      </c>
      <c r="B37" s="1" t="s">
        <v>88</v>
      </c>
    </row>
    <row r="38" spans="1:8" x14ac:dyDescent="0.3">
      <c r="A38" s="1" t="s">
        <v>32</v>
      </c>
      <c r="B38" s="1" t="s">
        <v>71</v>
      </c>
    </row>
    <row r="39" spans="1:8" x14ac:dyDescent="0.3">
      <c r="A39" s="1" t="s">
        <v>33</v>
      </c>
    </row>
    <row r="40" spans="1:8" x14ac:dyDescent="0.3">
      <c r="A40" s="1" t="s">
        <v>34</v>
      </c>
      <c r="B40" s="1">
        <v>58</v>
      </c>
    </row>
    <row r="41" spans="1:8" x14ac:dyDescent="0.3">
      <c r="A41" s="1" t="s">
        <v>35</v>
      </c>
      <c r="B41" s="5">
        <v>2.4</v>
      </c>
    </row>
    <row r="42" spans="1:8" x14ac:dyDescent="0.3">
      <c r="A42" s="1" t="s">
        <v>36</v>
      </c>
    </row>
    <row r="43" spans="1:8" x14ac:dyDescent="0.3">
      <c r="A43" s="1" t="s">
        <v>37</v>
      </c>
    </row>
    <row r="44" spans="1:8" x14ac:dyDescent="0.3">
      <c r="A44" s="1" t="s">
        <v>38</v>
      </c>
    </row>
    <row r="45" spans="1:8" x14ac:dyDescent="0.3">
      <c r="A45" s="1" t="s">
        <v>39</v>
      </c>
    </row>
    <row r="46" spans="1:8" x14ac:dyDescent="0.3">
      <c r="A46" s="1" t="s">
        <v>40</v>
      </c>
      <c r="B46" s="1">
        <v>142</v>
      </c>
    </row>
    <row r="47" spans="1:8" x14ac:dyDescent="0.3">
      <c r="A47" s="1" t="s">
        <v>41</v>
      </c>
      <c r="B47" s="1">
        <v>100</v>
      </c>
    </row>
    <row r="48" spans="1:8" x14ac:dyDescent="0.3">
      <c r="A48" s="1" t="s">
        <v>114</v>
      </c>
    </row>
    <row r="49" spans="1:2" x14ac:dyDescent="0.3">
      <c r="A49" s="1" t="s">
        <v>115</v>
      </c>
    </row>
    <row r="50" spans="1:2" x14ac:dyDescent="0.3">
      <c r="A50" s="1" t="s">
        <v>116</v>
      </c>
    </row>
    <row r="51" spans="1:2" x14ac:dyDescent="0.3">
      <c r="A51" s="1" t="s">
        <v>117</v>
      </c>
    </row>
    <row r="52" spans="1:2" x14ac:dyDescent="0.3">
      <c r="A52" s="1" t="s">
        <v>118</v>
      </c>
    </row>
    <row r="53" spans="1:2" x14ac:dyDescent="0.3">
      <c r="A53" s="1" t="s">
        <v>119</v>
      </c>
    </row>
    <row r="54" spans="1:2" x14ac:dyDescent="0.3">
      <c r="A54" s="1" t="s">
        <v>42</v>
      </c>
      <c r="B54" s="1" t="s">
        <v>89</v>
      </c>
    </row>
    <row r="55" spans="1:2" x14ac:dyDescent="0.3">
      <c r="A55" s="1" t="s">
        <v>43</v>
      </c>
    </row>
    <row r="56" spans="1:2" x14ac:dyDescent="0.3">
      <c r="A56" s="1" t="s">
        <v>44</v>
      </c>
      <c r="B56" s="1">
        <v>27.2</v>
      </c>
    </row>
    <row r="57" spans="1:2" x14ac:dyDescent="0.3">
      <c r="A57" s="1" t="s">
        <v>45</v>
      </c>
      <c r="B57" s="1" t="s">
        <v>71</v>
      </c>
    </row>
    <row r="58" spans="1:2" x14ac:dyDescent="0.3">
      <c r="A58" s="1" t="s">
        <v>46</v>
      </c>
    </row>
    <row r="59" spans="1:2" x14ac:dyDescent="0.3">
      <c r="A59" s="1" t="s">
        <v>47</v>
      </c>
    </row>
    <row r="60" spans="1:2" x14ac:dyDescent="0.3">
      <c r="A60" s="1" t="s">
        <v>48</v>
      </c>
    </row>
    <row r="61" spans="1:2" x14ac:dyDescent="0.3">
      <c r="A61" s="1" t="s">
        <v>49</v>
      </c>
    </row>
    <row r="62" spans="1:2" x14ac:dyDescent="0.3">
      <c r="A62" s="1" t="s">
        <v>50</v>
      </c>
    </row>
    <row r="63" spans="1:2" x14ac:dyDescent="0.3">
      <c r="A63" s="1" t="s">
        <v>51</v>
      </c>
      <c r="B63" s="1" t="s">
        <v>90</v>
      </c>
    </row>
    <row r="64" spans="1:2" x14ac:dyDescent="0.3">
      <c r="A64" s="1" t="s">
        <v>52</v>
      </c>
    </row>
    <row r="65" spans="1:2" x14ac:dyDescent="0.3">
      <c r="A65" s="1" t="s">
        <v>53</v>
      </c>
    </row>
    <row r="66" spans="1:2" x14ac:dyDescent="0.3">
      <c r="A66" s="1" t="s">
        <v>54</v>
      </c>
      <c r="B66" s="1" t="s">
        <v>71</v>
      </c>
    </row>
    <row r="67" spans="1:2" x14ac:dyDescent="0.3">
      <c r="A67" s="1" t="s">
        <v>55</v>
      </c>
      <c r="B67" s="1">
        <v>2</v>
      </c>
    </row>
    <row r="68" spans="1:2" x14ac:dyDescent="0.3">
      <c r="A68" s="1" t="s">
        <v>56</v>
      </c>
      <c r="B68" s="1">
        <v>1</v>
      </c>
    </row>
    <row r="69" spans="1:2" x14ac:dyDescent="0.3">
      <c r="A69" s="1" t="s">
        <v>57</v>
      </c>
      <c r="B69" s="1" t="s">
        <v>71</v>
      </c>
    </row>
    <row r="70" spans="1:2" x14ac:dyDescent="0.3">
      <c r="A70" s="1" t="s">
        <v>58</v>
      </c>
      <c r="B70" s="1" t="s">
        <v>71</v>
      </c>
    </row>
    <row r="71" spans="1:2" x14ac:dyDescent="0.3">
      <c r="A71" s="1" t="s">
        <v>59</v>
      </c>
    </row>
    <row r="72" spans="1:2" x14ac:dyDescent="0.3">
      <c r="A72" s="1" t="s">
        <v>60</v>
      </c>
    </row>
    <row r="73" spans="1:2" x14ac:dyDescent="0.3">
      <c r="A73" s="1" t="s">
        <v>61</v>
      </c>
    </row>
    <row r="74" spans="1:2" x14ac:dyDescent="0.3">
      <c r="A74" s="1" t="s">
        <v>62</v>
      </c>
      <c r="B74" s="1">
        <v>1299</v>
      </c>
    </row>
    <row r="75" spans="1:2" x14ac:dyDescent="0.3">
      <c r="A75" s="1" t="s">
        <v>63</v>
      </c>
      <c r="B75" s="1">
        <v>2299</v>
      </c>
    </row>
    <row r="76" spans="1:2" x14ac:dyDescent="0.3">
      <c r="A76" s="1" t="s">
        <v>64</v>
      </c>
    </row>
    <row r="77" spans="1:2" x14ac:dyDescent="0.3">
      <c r="A77" s="1" t="s">
        <v>65</v>
      </c>
      <c r="B77" s="1" t="s">
        <v>110</v>
      </c>
    </row>
    <row r="78" spans="1:2" x14ac:dyDescent="0.3">
      <c r="A78" s="1" t="s">
        <v>111</v>
      </c>
      <c r="B78" s="1" t="s">
        <v>112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2025-11-07T14:48:34Z</dcterms:modified>
</cp:coreProperties>
</file>