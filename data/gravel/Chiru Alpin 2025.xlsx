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03E3A82-A71D-6948-981B-3ED011538650}" xr6:coauthVersionLast="47" xr6:coauthVersionMax="47" xr10:uidLastSave="{00000000-0000-0000-0000-000000000000}"/>
  <bookViews>
    <workbookView xWindow="30120" yWindow="-17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I9" i="1"/>
  <c r="G9" i="1"/>
  <c r="H10" i="1"/>
  <c r="I10" i="1"/>
  <c r="H11" i="1"/>
  <c r="I11" i="1"/>
  <c r="G11" i="1"/>
  <c r="G10" i="1"/>
</calcChain>
</file>

<file path=xl/sharedStrings.xml><?xml version="1.0" encoding="utf-8"?>
<sst xmlns="http://schemas.openxmlformats.org/spreadsheetml/2006/main" count="125" uniqueCount="113">
  <si>
    <t>brand</t>
  </si>
  <si>
    <t>Chiru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</si>
  <si>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</si>
  <si>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</si>
  <si>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</si>
  <si>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</si>
  <si>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</si>
  <si>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</si>
  <si>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</si>
  <si>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</si>
  <si>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</si>
  <si>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top_tube_effective_length</t>
  </si>
  <si>
    <t>TT (mm)</t>
  </si>
  <si>
    <t>seat_tube_length</t>
  </si>
  <si>
    <t>S (mm)</t>
  </si>
  <si>
    <t>chainstay_length</t>
  </si>
  <si>
    <t>RC (mm)</t>
  </si>
  <si>
    <t>wheelbase</t>
  </si>
  <si>
    <t>W (mm)</t>
  </si>
  <si>
    <t>bottom_bracket_drop</t>
  </si>
  <si>
    <t>BB (mm)</t>
  </si>
  <si>
    <t>head_tube_length</t>
  </si>
  <si>
    <t>HT (mm)</t>
  </si>
  <si>
    <t>seat_tube_angle</t>
  </si>
  <si>
    <t>SA (deg.)</t>
  </si>
  <si>
    <t>head_tube_angle</t>
  </si>
  <si>
    <t>HA (deg.)</t>
  </si>
  <si>
    <t>axle_crown</t>
  </si>
  <si>
    <t>AC (mm)</t>
  </si>
  <si>
    <t>fork_offset_rake</t>
  </si>
  <si>
    <t>O (mm)</t>
  </si>
  <si>
    <t>stack</t>
  </si>
  <si>
    <t>ST (mm)</t>
  </si>
  <si>
    <t>reach</t>
  </si>
  <si>
    <t>R (mm)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</si>
  <si>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</si>
  <si>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</si>
  <si>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</si>
  <si>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</si>
  <si>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</si>
  <si>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</si>
  <si>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</si>
  <si>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</si>
  <si>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</si>
  <si>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</si>
  <si>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</si>
  <si>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</si>
  <si>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</si>
  <si>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</si>
  <si>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</si>
  <si>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</si>
  <si>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</si>
  <si>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</si>
  <si>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</si>
  <si>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</si>
  <si>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</si>
  <si>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</si>
  <si>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</si>
  <si>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</si>
  <si>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</si>
  <si>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</si>
  <si>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</si>
  <si>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</si>
  <si>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</si>
  <si>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</si>
  <si>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</si>
  <si>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</si>
  <si>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</si>
  <si>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</si>
  <si>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</si>
  <si>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</si>
  <si>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</si>
  <si>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</si>
  <si>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</si>
  <si>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</si>
  <si>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</si>
  <si>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</si>
  <si>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</si>
  <si>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</si>
  <si>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</si>
  <si>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</si>
  <si>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</si>
  <si>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</si>
  <si>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</si>
  <si>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</si>
  <si>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</si>
  <si>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</si>
  <si>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</si>
  <si>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</si>
  <si>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Size</t>
  </si>
  <si>
    <t>yes</t>
  </si>
  <si>
    <t>EUR</t>
  </si>
  <si>
    <t>threaded 68</t>
  </si>
  <si>
    <t>either</t>
  </si>
  <si>
    <t>internal</t>
  </si>
  <si>
    <t>https://www.chirubikes.com/en/kit-cadre/alpin/</t>
  </si>
  <si>
    <t>Alpin</t>
  </si>
  <si>
    <t>a8:e30</t>
  </si>
  <si>
    <t>frame only</t>
  </si>
  <si>
    <t>https://www.chirubikes.com/wp-content/uploads/2023/06/chiru-alpin-gravel-cover-2.webp</t>
  </si>
  <si>
    <t>location</t>
  </si>
  <si>
    <t>Paris, France</t>
  </si>
  <si>
    <t>head_tube_d</t>
  </si>
  <si>
    <t>headset_upper</t>
  </si>
  <si>
    <t>headset_lower</t>
  </si>
  <si>
    <t>fork_steerer</t>
  </si>
  <si>
    <t>fork_steerer_d</t>
  </si>
  <si>
    <t>fork_material</t>
  </si>
  <si>
    <t>layback</t>
  </si>
  <si>
    <t>eff SA angle</t>
  </si>
  <si>
    <t>layback 1</t>
  </si>
  <si>
    <t>this may be actual sta</t>
  </si>
  <si>
    <t>tan(sta) = seat_v/seat_h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</si>
</sst>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irubikes.com/wp-content/uploads/2023/06/chiru-alpin-gravel-cover-2.we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topLeftCell="A2" workbookViewId="0">
      <selection activeCell="G12" sqref="G1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2" t="s">
        <v>96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1">
        <v>45930</v>
      </c>
    </row>
    <row r="5" spans="1:10" x14ac:dyDescent="0.3">
      <c r="A5" t="s">
        <v>5</v>
      </c>
      <c r="B5" t="s">
        <v>95</v>
      </c>
    </row>
    <row r="6" spans="1:10" x14ac:dyDescent="0.3">
      <c r="B6" s="3" t="s">
        <v>99</v>
      </c>
    </row>
    <row r="7" spans="1:10" x14ac:dyDescent="0.3">
      <c r="A7" t="s">
        <v>6</v>
      </c>
      <c r="B7" s="2" t="s">
        <v>97</v>
      </c>
    </row>
    <row r="8" spans="1:10" x14ac:dyDescent="0.3">
      <c r="A8" t="s">
        <v>7</v>
      </c>
      <c r="B8" t="s">
        <v>89</v>
      </c>
      <c r="C8" t="s">
        <v>8</v>
      </c>
      <c r="D8" t="s">
        <v>9</v>
      </c>
      <c r="E8" t="s">
        <v>10</v>
      </c>
    </row>
    <row r="9" spans="1:10" x14ac:dyDescent="0.3">
      <c r="A9" t="s">
        <v>11</v>
      </c>
      <c r="B9" t="s">
        <v>12</v>
      </c>
      <c r="C9">
        <v>545</v>
      </c>
      <c r="D9">
        <v>575</v>
      </c>
      <c r="E9">
        <v>600</v>
      </c>
      <c r="F9" s="2" t="s">
        <v>110</v>
      </c>
      <c r="G9">
        <f>C19/TAN(C15*PI()/180)</f>
        <v>159.73893737846703</v>
      </c>
      <c r="H9">
        <f t="shared" ref="H9:I9" si="0">D19/TAN(D15*PI()/180)</f>
        <v>162.78950736312524</v>
      </c>
      <c r="I9">
        <f t="shared" si="0"/>
        <v>175.18735841223094</v>
      </c>
    </row>
    <row r="10" spans="1:10" x14ac:dyDescent="0.3">
      <c r="A10" t="s">
        <v>13</v>
      </c>
      <c r="B10" t="s">
        <v>14</v>
      </c>
      <c r="C10">
        <v>420</v>
      </c>
      <c r="D10">
        <v>450</v>
      </c>
      <c r="E10">
        <v>475</v>
      </c>
      <c r="F10" s="2" t="s">
        <v>108</v>
      </c>
      <c r="G10">
        <f>C9-C20</f>
        <v>144</v>
      </c>
      <c r="H10">
        <f t="shared" ref="H10:I10" si="1">D9-D20</f>
        <v>144</v>
      </c>
      <c r="I10">
        <f t="shared" si="1"/>
        <v>156.19999999999999</v>
      </c>
    </row>
    <row r="11" spans="1:10" x14ac:dyDescent="0.3">
      <c r="A11" t="s">
        <v>15</v>
      </c>
      <c r="B11" t="s">
        <v>16</v>
      </c>
      <c r="C11">
        <v>428</v>
      </c>
      <c r="D11">
        <v>430</v>
      </c>
      <c r="E11">
        <v>435</v>
      </c>
      <c r="F11" s="2" t="s">
        <v>109</v>
      </c>
      <c r="G11">
        <f>ATAN(C19/G10)*180/PI()</f>
        <v>75.963756532073532</v>
      </c>
      <c r="H11">
        <f t="shared" ref="H11:I11" si="2">ATAN(D19/H10)*180/PI()</f>
        <v>76.216665633718605</v>
      </c>
      <c r="I11">
        <f t="shared" si="2"/>
        <v>75.749133791843306</v>
      </c>
      <c r="J11" s="2" t="s">
        <v>112</v>
      </c>
    </row>
    <row r="12" spans="1:10" x14ac:dyDescent="0.3">
      <c r="A12" t="s">
        <v>17</v>
      </c>
      <c r="B12" t="s">
        <v>18</v>
      </c>
      <c r="C12">
        <v>1086</v>
      </c>
      <c r="D12">
        <v>1118</v>
      </c>
      <c r="E12">
        <v>1145</v>
      </c>
      <c r="F12" s="2"/>
      <c r="J12" s="2"/>
    </row>
    <row r="13" spans="1:10" x14ac:dyDescent="0.3">
      <c r="A13" t="s">
        <v>19</v>
      </c>
      <c r="B13" t="s">
        <v>20</v>
      </c>
      <c r="C13">
        <v>74</v>
      </c>
      <c r="D13">
        <v>70</v>
      </c>
      <c r="E13">
        <v>68</v>
      </c>
    </row>
    <row r="14" spans="1:10" x14ac:dyDescent="0.3">
      <c r="A14" t="s">
        <v>21</v>
      </c>
      <c r="B14" t="s">
        <v>22</v>
      </c>
      <c r="C14">
        <v>135</v>
      </c>
      <c r="D14">
        <v>150</v>
      </c>
      <c r="E14">
        <v>180</v>
      </c>
    </row>
    <row r="15" spans="1:10" x14ac:dyDescent="0.3">
      <c r="A15" s="2" t="s">
        <v>23</v>
      </c>
      <c r="B15" t="s">
        <v>24</v>
      </c>
      <c r="C15">
        <v>74.5</v>
      </c>
      <c r="D15">
        <v>74.5</v>
      </c>
      <c r="E15">
        <v>74.099999999999994</v>
      </c>
      <c r="F15" s="2" t="s">
        <v>111</v>
      </c>
    </row>
    <row r="16" spans="1:10" x14ac:dyDescent="0.3">
      <c r="A16" t="s">
        <v>25</v>
      </c>
      <c r="B16" t="s">
        <v>26</v>
      </c>
      <c r="C16">
        <v>67.7</v>
      </c>
      <c r="D16">
        <v>68</v>
      </c>
      <c r="E16">
        <v>68.3</v>
      </c>
    </row>
    <row r="17" spans="1:5" x14ac:dyDescent="0.3">
      <c r="A17" t="s">
        <v>27</v>
      </c>
      <c r="B17" t="s">
        <v>28</v>
      </c>
      <c r="C17">
        <v>427</v>
      </c>
      <c r="D17">
        <v>427</v>
      </c>
      <c r="E17">
        <v>427</v>
      </c>
    </row>
    <row r="18" spans="1:5" x14ac:dyDescent="0.3">
      <c r="A18" t="s">
        <v>29</v>
      </c>
      <c r="B18" t="s">
        <v>30</v>
      </c>
      <c r="C18">
        <v>50</v>
      </c>
      <c r="D18">
        <v>50</v>
      </c>
      <c r="E18">
        <v>50</v>
      </c>
    </row>
    <row r="19" spans="1:5" x14ac:dyDescent="0.3">
      <c r="A19" t="s">
        <v>31</v>
      </c>
      <c r="B19" t="s">
        <v>32</v>
      </c>
      <c r="C19">
        <v>576</v>
      </c>
      <c r="D19">
        <v>587</v>
      </c>
      <c r="E19">
        <v>615</v>
      </c>
    </row>
    <row r="20" spans="1:5" x14ac:dyDescent="0.3">
      <c r="A20" t="s">
        <v>33</v>
      </c>
      <c r="B20" t="s">
        <v>34</v>
      </c>
      <c r="C20">
        <v>401</v>
      </c>
      <c r="D20">
        <v>431</v>
      </c>
      <c r="E20">
        <v>443.8</v>
      </c>
    </row>
    <row r="21" spans="1:5" x14ac:dyDescent="0.3">
      <c r="A21" t="s">
        <v>35</v>
      </c>
    </row>
    <row r="22" spans="1:5" x14ac:dyDescent="0.3">
      <c r="A22" t="s">
        <v>36</v>
      </c>
      <c r="B22" t="s">
        <v>36</v>
      </c>
    </row>
    <row r="23" spans="1:5" x14ac:dyDescent="0.3">
      <c r="A23" t="s">
        <v>37</v>
      </c>
      <c r="B23" t="s">
        <v>37</v>
      </c>
    </row>
    <row r="24" spans="1:5" x14ac:dyDescent="0.3">
      <c r="A24" t="s">
        <v>38</v>
      </c>
      <c r="B24" t="s">
        <v>38</v>
      </c>
    </row>
    <row r="25" spans="1:5" x14ac:dyDescent="0.3">
      <c r="A25" t="s">
        <v>39</v>
      </c>
    </row>
    <row r="26" spans="1:5" x14ac:dyDescent="0.3">
      <c r="A26" t="s">
        <v>40</v>
      </c>
      <c r="B26" t="s">
        <v>40</v>
      </c>
      <c r="C26">
        <v>700</v>
      </c>
      <c r="D26">
        <v>700</v>
      </c>
      <c r="E26">
        <v>700</v>
      </c>
    </row>
    <row r="27" spans="1:5" x14ac:dyDescent="0.3">
      <c r="A27" t="s">
        <v>41</v>
      </c>
      <c r="B27" t="s">
        <v>41</v>
      </c>
      <c r="C27">
        <v>2.4</v>
      </c>
      <c r="D27">
        <v>2.4</v>
      </c>
      <c r="E27">
        <v>2.4</v>
      </c>
    </row>
    <row r="28" spans="1:5" x14ac:dyDescent="0.3">
      <c r="A28" t="s">
        <v>42</v>
      </c>
      <c r="B28" t="s">
        <v>42</v>
      </c>
      <c r="C28">
        <v>2.4</v>
      </c>
      <c r="D28">
        <v>2.4</v>
      </c>
      <c r="E28">
        <v>2.4</v>
      </c>
    </row>
    <row r="29" spans="1:5" x14ac:dyDescent="0.3">
      <c r="A29" t="s">
        <v>43</v>
      </c>
      <c r="C29">
        <v>162</v>
      </c>
      <c r="D29">
        <v>172</v>
      </c>
      <c r="E29">
        <v>180</v>
      </c>
    </row>
    <row r="30" spans="1:5" x14ac:dyDescent="0.3">
      <c r="A30" t="s">
        <v>44</v>
      </c>
      <c r="C30">
        <v>173</v>
      </c>
      <c r="D30">
        <v>180</v>
      </c>
      <c r="E30">
        <v>188</v>
      </c>
    </row>
    <row r="32" spans="1:5" x14ac:dyDescent="0.3">
      <c r="A32" t="s">
        <v>45</v>
      </c>
      <c r="B32" t="s">
        <v>46</v>
      </c>
    </row>
    <row r="33" spans="1:2" x14ac:dyDescent="0.3">
      <c r="A33" t="s">
        <v>83</v>
      </c>
      <c r="B33" t="s">
        <v>84</v>
      </c>
    </row>
    <row r="34" spans="1:2" x14ac:dyDescent="0.3">
      <c r="A34" t="s">
        <v>85</v>
      </c>
      <c r="B34" t="s">
        <v>86</v>
      </c>
    </row>
    <row r="35" spans="1:2" x14ac:dyDescent="0.3">
      <c r="A35" t="s">
        <v>87</v>
      </c>
      <c r="B35" t="s">
        <v>88</v>
      </c>
    </row>
    <row r="36" spans="1:2" x14ac:dyDescent="0.3">
      <c r="A36" t="s">
        <v>47</v>
      </c>
      <c r="B36" t="s">
        <v>48</v>
      </c>
    </row>
    <row r="37" spans="1:2" x14ac:dyDescent="0.3">
      <c r="A37" t="s">
        <v>49</v>
      </c>
      <c r="B37" s="2" t="s">
        <v>90</v>
      </c>
    </row>
    <row r="38" spans="1:2" x14ac:dyDescent="0.3">
      <c r="A38" t="s">
        <v>50</v>
      </c>
    </row>
    <row r="39" spans="1:2" x14ac:dyDescent="0.3">
      <c r="A39" t="s">
        <v>51</v>
      </c>
      <c r="B39">
        <v>55</v>
      </c>
    </row>
    <row r="40" spans="1:2" x14ac:dyDescent="0.3">
      <c r="A40" t="s">
        <v>52</v>
      </c>
      <c r="B40">
        <v>2.2000000000000002</v>
      </c>
    </row>
    <row r="41" spans="1:2" x14ac:dyDescent="0.3">
      <c r="A41" t="s">
        <v>53</v>
      </c>
      <c r="B41">
        <v>50</v>
      </c>
    </row>
    <row r="42" spans="1:2" x14ac:dyDescent="0.3">
      <c r="A42" t="s">
        <v>54</v>
      </c>
    </row>
    <row r="43" spans="1:2" x14ac:dyDescent="0.3">
      <c r="A43" t="s">
        <v>55</v>
      </c>
    </row>
    <row r="44" spans="1:2" x14ac:dyDescent="0.3">
      <c r="A44" t="s">
        <v>56</v>
      </c>
    </row>
    <row r="45" spans="1:2" x14ac:dyDescent="0.3">
      <c r="A45" t="s">
        <v>57</v>
      </c>
      <c r="B45">
        <v>142</v>
      </c>
    </row>
    <row r="46" spans="1:2" x14ac:dyDescent="0.3">
      <c r="A46" t="s">
        <v>58</v>
      </c>
      <c r="B46">
        <v>100</v>
      </c>
    </row>
    <row r="47" spans="1:2" x14ac:dyDescent="0.3">
      <c r="A47" t="s">
        <v>102</v>
      </c>
    </row>
    <row r="48" spans="1:2" x14ac:dyDescent="0.3">
      <c r="A48" t="s">
        <v>103</v>
      </c>
    </row>
    <row r="49" spans="1:2" x14ac:dyDescent="0.3">
      <c r="A49" t="s">
        <v>104</v>
      </c>
    </row>
    <row r="50" spans="1:2" x14ac:dyDescent="0.3">
      <c r="A50" t="s">
        <v>105</v>
      </c>
    </row>
    <row r="51" spans="1:2" x14ac:dyDescent="0.3">
      <c r="A51" t="s">
        <v>106</v>
      </c>
    </row>
    <row r="52" spans="1:2" x14ac:dyDescent="0.3">
      <c r="A52" t="s">
        <v>107</v>
      </c>
    </row>
    <row r="53" spans="1:2" x14ac:dyDescent="0.3">
      <c r="A53" t="s">
        <v>59</v>
      </c>
      <c r="B53" s="2" t="s">
        <v>92</v>
      </c>
    </row>
    <row r="54" spans="1:2" x14ac:dyDescent="0.3">
      <c r="A54" t="s">
        <v>60</v>
      </c>
    </row>
    <row r="55" spans="1:2" x14ac:dyDescent="0.3">
      <c r="A55" t="s">
        <v>61</v>
      </c>
      <c r="B55">
        <v>27.2</v>
      </c>
    </row>
    <row r="56" spans="1:2" x14ac:dyDescent="0.3">
      <c r="A56" t="s">
        <v>62</v>
      </c>
      <c r="B56" s="2" t="s">
        <v>90</v>
      </c>
    </row>
    <row r="57" spans="1:2" x14ac:dyDescent="0.3">
      <c r="A57" t="s">
        <v>63</v>
      </c>
      <c r="B57">
        <v>44</v>
      </c>
    </row>
    <row r="58" spans="1:2" x14ac:dyDescent="0.3">
      <c r="A58" t="s">
        <v>64</v>
      </c>
      <c r="B58">
        <v>48</v>
      </c>
    </row>
    <row r="59" spans="1:2" x14ac:dyDescent="0.3">
      <c r="A59" t="s">
        <v>65</v>
      </c>
    </row>
    <row r="60" spans="1:2" x14ac:dyDescent="0.3">
      <c r="A60" t="s">
        <v>66</v>
      </c>
      <c r="B60">
        <v>160</v>
      </c>
    </row>
    <row r="61" spans="1:2" x14ac:dyDescent="0.3">
      <c r="A61" t="s">
        <v>67</v>
      </c>
    </row>
    <row r="62" spans="1:2" x14ac:dyDescent="0.3">
      <c r="A62" t="s">
        <v>68</v>
      </c>
      <c r="B62" s="2" t="s">
        <v>93</v>
      </c>
    </row>
    <row r="63" spans="1:2" x14ac:dyDescent="0.3">
      <c r="A63" t="s">
        <v>69</v>
      </c>
      <c r="B63" s="2" t="s">
        <v>94</v>
      </c>
    </row>
    <row r="64" spans="1:2" x14ac:dyDescent="0.3">
      <c r="A64" t="s">
        <v>70</v>
      </c>
      <c r="B64" s="2" t="s">
        <v>94</v>
      </c>
    </row>
    <row r="65" spans="1:3" x14ac:dyDescent="0.3">
      <c r="A65" t="s">
        <v>71</v>
      </c>
    </row>
    <row r="66" spans="1:3" x14ac:dyDescent="0.3">
      <c r="A66" t="s">
        <v>72</v>
      </c>
      <c r="B66">
        <v>2</v>
      </c>
    </row>
    <row r="67" spans="1:3" x14ac:dyDescent="0.3">
      <c r="A67" t="s">
        <v>73</v>
      </c>
      <c r="B67">
        <v>1</v>
      </c>
    </row>
    <row r="68" spans="1:3" x14ac:dyDescent="0.3">
      <c r="A68" t="s">
        <v>74</v>
      </c>
      <c r="B68">
        <v>1</v>
      </c>
    </row>
    <row r="69" spans="1:3" x14ac:dyDescent="0.3">
      <c r="A69" t="s">
        <v>75</v>
      </c>
      <c r="B69" s="2" t="s">
        <v>90</v>
      </c>
    </row>
    <row r="70" spans="1:3" x14ac:dyDescent="0.3">
      <c r="A70" t="s">
        <v>76</v>
      </c>
      <c r="B70" s="2" t="s">
        <v>90</v>
      </c>
    </row>
    <row r="71" spans="1:3" x14ac:dyDescent="0.3">
      <c r="A71" t="s">
        <v>77</v>
      </c>
      <c r="B71" s="2" t="s">
        <v>90</v>
      </c>
    </row>
    <row r="72" spans="1:3" x14ac:dyDescent="0.3">
      <c r="A72" t="s">
        <v>78</v>
      </c>
      <c r="B72" s="2" t="s">
        <v>90</v>
      </c>
    </row>
    <row r="73" spans="1:3" x14ac:dyDescent="0.3">
      <c r="A73" t="s">
        <v>79</v>
      </c>
      <c r="B73">
        <v>2710</v>
      </c>
      <c r="C73" s="2" t="s">
        <v>98</v>
      </c>
    </row>
    <row r="74" spans="1:3" x14ac:dyDescent="0.3">
      <c r="A74" t="s">
        <v>80</v>
      </c>
    </row>
    <row r="75" spans="1:3" x14ac:dyDescent="0.3">
      <c r="A75" t="s">
        <v>81</v>
      </c>
    </row>
    <row r="76" spans="1:3" x14ac:dyDescent="0.3">
      <c r="A76" t="s">
        <v>82</v>
      </c>
      <c r="B76" s="2" t="s">
        <v>91</v>
      </c>
    </row>
    <row r="77" spans="1:3" x14ac:dyDescent="0.3">
      <c r="A77" t="s">
        <v>100</v>
      </c>
      <c r="B77" t="s">
        <v>101</v>
      </c>
    </row>
  </sheetData>
  <hyperlinks>
    <hyperlink ref="B6" r:id="rId1" xr:uid="{114518B9-09B3-AC40-A4BA-B65238EBBD43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2025-11-19T15:35:53Z</dcterms:modified>
</cp:coreProperties>
</file>