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82442D9-F807-8B4C-95F0-06E712AD82DE}" xr6:coauthVersionLast="47" xr6:coauthVersionMax="47" xr10:uidLastSave="{00000000-0000-0000-0000-000000000000}"/>
  <bookViews>
    <workbookView xWindow="33780" yWindow="-19540" windowWidth="25860" windowHeight="16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G34" i="1"/>
  <c r="H33" i="1"/>
  <c r="D33" i="1"/>
  <c r="F33" i="1"/>
  <c r="E34" i="1" s="1"/>
  <c r="G33" i="1"/>
  <c r="F34" i="1" s="1"/>
  <c r="E33" i="1"/>
  <c r="D34" i="1" s="1"/>
</calcChain>
</file>

<file path=xl/sharedStrings.xml><?xml version="1.0" encoding="utf-8"?>
<sst xmlns="http://schemas.openxmlformats.org/spreadsheetml/2006/main" count="119" uniqueCount="102">
  <si>
    <t>brand</t>
  </si>
  <si>
    <t>Enigma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</si>
  <si>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</si>
  <si>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</si>
  <si>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</si>
  <si>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</si>
  <si>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</si>
  <si>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</si>
  <si>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</si>
  <si>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</si>
  <si>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</si>
  <si>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B - SEAT TUBE (MM)</t>
  </si>
  <si>
    <t>head_tube_length</t>
  </si>
  <si>
    <t>C - HEAD TUBE (MM)</t>
  </si>
  <si>
    <t>chainstay_length</t>
  </si>
  <si>
    <t>D - CHAIN STAY (MM)</t>
  </si>
  <si>
    <t>bottom_bracket_drop</t>
  </si>
  <si>
    <t>E - BB DROP (MM)</t>
  </si>
  <si>
    <t>seat_tube_angle</t>
  </si>
  <si>
    <t>head_tube_angle</t>
  </si>
  <si>
    <t>fork_offset_rake</t>
  </si>
  <si>
    <t>stack</t>
  </si>
  <si>
    <t>reach</t>
  </si>
  <si>
    <t>wheelbase</t>
  </si>
  <si>
    <t>downtube_od</t>
  </si>
  <si>
    <t>DOWN TUBE OD</t>
  </si>
  <si>
    <t>top_tube_od</t>
  </si>
  <si>
    <t>TOP TUBE OD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</si>
  <si>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</si>
  <si>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</si>
  <si>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</si>
  <si>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</si>
  <si>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</si>
  <si>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</si>
  <si>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</si>
  <si>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</si>
  <si>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</si>
  <si>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*not specified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</si>
  <si>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</si>
  <si>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</si>
  <si>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</si>
  <si>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</si>
  <si>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</si>
  <si>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</si>
  <si>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</si>
  <si>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</si>
  <si>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</si>
  <si>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</si>
  <si>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</si>
  <si>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</si>
  <si>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</si>
  <si>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</si>
  <si>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</si>
  <si>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</si>
  <si>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</si>
  <si>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</si>
  <si>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</si>
  <si>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</si>
  <si>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</si>
  <si>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</si>
  <si>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</si>
  <si>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</si>
  <si>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</si>
  <si>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</si>
  <si>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</si>
  <si>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</si>
  <si>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</si>
  <si>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</si>
  <si>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</si>
  <si>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</si>
  <si>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</si>
  <si>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</si>
  <si>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</si>
  <si>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</si>
  <si>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</si>
  <si>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</si>
  <si>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</si>
  <si>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</si>
  <si>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</si>
  <si>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threaded</t>
  </si>
  <si>
    <t>class</t>
  </si>
  <si>
    <t>handlebar</t>
  </si>
  <si>
    <t>fork</t>
  </si>
  <si>
    <t>frame_weight</t>
  </si>
  <si>
    <t>a8:f34</t>
  </si>
  <si>
    <t>pounds</t>
  </si>
  <si>
    <t>gravel</t>
  </si>
  <si>
    <t>drop bar</t>
  </si>
  <si>
    <t>FRAME SIZE (CM)</t>
  </si>
  <si>
    <t>A - TOP TUBE (MM)</t>
  </si>
  <si>
    <t>F - SEAT ANGLE°</t>
  </si>
  <si>
    <t>G - HEAD ANGLE°</t>
  </si>
  <si>
    <t>titanium</t>
  </si>
  <si>
    <t>internal</t>
  </si>
  <si>
    <t>clamp on</t>
  </si>
  <si>
    <t>H - FORK OFFSET (MM) </t>
  </si>
  <si>
    <t>I - STACK (MM) </t>
  </si>
  <si>
    <t>J - REACH (MM) </t>
  </si>
  <si>
    <t>K - WHEEL BASE (MM) </t>
  </si>
  <si>
    <t>CSIX fork</t>
  </si>
  <si>
    <t>https://www.enigmabikes.com/products/edge-readytoride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</si>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</sst>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theme="1"/>
      <name val="Inherit"/>
    </font>
    <font>
      <sz val="14"/>
      <color theme="1"/>
      <name val="Inherit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abSelected="1" topLeftCell="A54" workbookViewId="0">
      <selection activeCell="B72" sqref="B72"/>
    </sheetView>
  </sheetViews>
  <sheetFormatPr baseColWidth="10" defaultRowHeight="20"/>
  <cols>
    <col min="1" max="2" width="19.6640625" customWidth="1"/>
  </cols>
  <sheetData>
    <row r="1" spans="1:23">
      <c r="A1" t="s">
        <v>0</v>
      </c>
      <c r="B1" t="s">
        <v>1</v>
      </c>
    </row>
    <row r="2" spans="1:23">
      <c r="A2" t="s">
        <v>2</v>
      </c>
      <c r="B2" s="1" t="s">
        <v>101</v>
      </c>
    </row>
    <row r="3" spans="1:23">
      <c r="A3" t="s">
        <v>3</v>
      </c>
      <c r="B3" t="s">
        <v>4</v>
      </c>
    </row>
    <row r="4" spans="1:23">
      <c r="A4" t="s">
        <v>5</v>
      </c>
      <c r="B4" s="4">
        <v>45887</v>
      </c>
    </row>
    <row r="5" spans="1:23">
      <c r="A5" t="s">
        <v>6</v>
      </c>
      <c r="B5" t="s">
        <v>100</v>
      </c>
    </row>
    <row r="7" spans="1:23">
      <c r="A7" t="s">
        <v>7</v>
      </c>
      <c r="B7" s="1" t="s">
        <v>84</v>
      </c>
    </row>
    <row r="8" spans="1:23">
      <c r="A8" t="s">
        <v>8</v>
      </c>
      <c r="B8" s="2" t="s">
        <v>88</v>
      </c>
      <c r="C8" s="5">
        <v>50</v>
      </c>
      <c r="D8" s="5">
        <v>52</v>
      </c>
      <c r="E8" s="5">
        <v>54</v>
      </c>
      <c r="F8" s="5">
        <v>56</v>
      </c>
      <c r="G8" s="5">
        <v>58</v>
      </c>
      <c r="H8" s="5">
        <v>60</v>
      </c>
      <c r="J8" s="2" t="s">
        <v>88</v>
      </c>
      <c r="K8" s="2" t="s">
        <v>89</v>
      </c>
      <c r="L8" s="2" t="s">
        <v>11</v>
      </c>
      <c r="M8" s="2" t="s">
        <v>13</v>
      </c>
      <c r="N8" s="2" t="s">
        <v>15</v>
      </c>
      <c r="O8" s="2" t="s">
        <v>17</v>
      </c>
      <c r="P8" s="2" t="s">
        <v>90</v>
      </c>
      <c r="Q8" s="2" t="s">
        <v>91</v>
      </c>
      <c r="R8" s="2" t="s">
        <v>95</v>
      </c>
      <c r="S8" s="2" t="s">
        <v>96</v>
      </c>
      <c r="T8" s="2" t="s">
        <v>97</v>
      </c>
      <c r="U8" s="2" t="s">
        <v>98</v>
      </c>
      <c r="V8" s="2" t="s">
        <v>25</v>
      </c>
      <c r="W8" s="2" t="s">
        <v>27</v>
      </c>
    </row>
    <row r="9" spans="1:23">
      <c r="A9" t="s">
        <v>9</v>
      </c>
      <c r="B9" s="2" t="s">
        <v>89</v>
      </c>
      <c r="C9" s="5">
        <v>497</v>
      </c>
      <c r="D9" s="5">
        <v>517</v>
      </c>
      <c r="E9" s="5">
        <v>537</v>
      </c>
      <c r="F9" s="5">
        <v>558</v>
      </c>
      <c r="G9" s="5">
        <v>580</v>
      </c>
      <c r="H9" s="5">
        <v>600</v>
      </c>
      <c r="J9" s="3">
        <v>50</v>
      </c>
      <c r="K9" s="3">
        <v>497</v>
      </c>
      <c r="L9" s="3">
        <v>450</v>
      </c>
      <c r="M9" s="3">
        <v>115</v>
      </c>
      <c r="N9" s="3">
        <v>430</v>
      </c>
      <c r="O9" s="3">
        <v>75</v>
      </c>
      <c r="P9" s="3">
        <v>76</v>
      </c>
      <c r="Q9" s="3">
        <v>70</v>
      </c>
      <c r="R9" s="3">
        <v>50</v>
      </c>
      <c r="S9" s="3">
        <v>549</v>
      </c>
      <c r="T9" s="3">
        <v>360</v>
      </c>
      <c r="U9" s="3">
        <v>1005</v>
      </c>
      <c r="V9" s="3">
        <v>45</v>
      </c>
      <c r="W9" s="3">
        <v>35</v>
      </c>
    </row>
    <row r="10" spans="1:23">
      <c r="A10" t="s">
        <v>10</v>
      </c>
      <c r="B10" s="2" t="s">
        <v>11</v>
      </c>
      <c r="C10" s="5">
        <v>450</v>
      </c>
      <c r="D10" s="5">
        <v>480</v>
      </c>
      <c r="E10" s="5">
        <v>510</v>
      </c>
      <c r="F10" s="5">
        <v>540</v>
      </c>
      <c r="G10" s="5">
        <v>570</v>
      </c>
      <c r="H10" s="5">
        <v>600</v>
      </c>
      <c r="J10" s="3">
        <v>52</v>
      </c>
      <c r="K10" s="3">
        <v>517</v>
      </c>
      <c r="L10" s="3">
        <v>480</v>
      </c>
      <c r="M10" s="3">
        <v>130</v>
      </c>
      <c r="N10" s="3">
        <v>430</v>
      </c>
      <c r="O10" s="3">
        <v>75</v>
      </c>
      <c r="P10" s="3">
        <v>75</v>
      </c>
      <c r="Q10" s="3">
        <v>70.5</v>
      </c>
      <c r="R10" s="3">
        <v>50</v>
      </c>
      <c r="S10" s="3">
        <v>567</v>
      </c>
      <c r="T10" s="3">
        <v>365</v>
      </c>
      <c r="U10" s="3">
        <v>1016</v>
      </c>
      <c r="V10" s="3">
        <v>45</v>
      </c>
      <c r="W10" s="3">
        <v>35</v>
      </c>
    </row>
    <row r="11" spans="1:23">
      <c r="A11" t="s">
        <v>12</v>
      </c>
      <c r="B11" s="2" t="s">
        <v>13</v>
      </c>
      <c r="C11" s="5">
        <v>115</v>
      </c>
      <c r="D11" s="5">
        <v>130</v>
      </c>
      <c r="E11" s="5">
        <v>145</v>
      </c>
      <c r="F11" s="5">
        <v>165</v>
      </c>
      <c r="G11" s="5">
        <v>185</v>
      </c>
      <c r="H11" s="5">
        <v>205</v>
      </c>
      <c r="J11" s="3">
        <v>54</v>
      </c>
      <c r="K11" s="3">
        <v>537</v>
      </c>
      <c r="L11" s="3">
        <v>510</v>
      </c>
      <c r="M11" s="3">
        <v>145</v>
      </c>
      <c r="N11" s="3">
        <v>430</v>
      </c>
      <c r="O11" s="3">
        <v>75</v>
      </c>
      <c r="P11" s="3">
        <v>74</v>
      </c>
      <c r="Q11" s="3">
        <v>71</v>
      </c>
      <c r="R11" s="3">
        <v>50</v>
      </c>
      <c r="S11" s="3">
        <v>582</v>
      </c>
      <c r="T11" s="3">
        <v>371</v>
      </c>
      <c r="U11" s="3">
        <v>1022</v>
      </c>
      <c r="V11" s="3">
        <v>45</v>
      </c>
      <c r="W11" s="3">
        <v>35</v>
      </c>
    </row>
    <row r="12" spans="1:23">
      <c r="A12" t="s">
        <v>14</v>
      </c>
      <c r="B12" s="2" t="s">
        <v>15</v>
      </c>
      <c r="C12" s="5">
        <v>430</v>
      </c>
      <c r="D12" s="5">
        <v>430</v>
      </c>
      <c r="E12" s="5">
        <v>430</v>
      </c>
      <c r="F12" s="5">
        <v>430</v>
      </c>
      <c r="G12" s="5">
        <v>430</v>
      </c>
      <c r="H12" s="5">
        <v>430</v>
      </c>
      <c r="J12" s="3">
        <v>56</v>
      </c>
      <c r="K12" s="3">
        <v>558</v>
      </c>
      <c r="L12" s="3">
        <v>540</v>
      </c>
      <c r="M12" s="3">
        <v>165</v>
      </c>
      <c r="N12" s="3">
        <v>430</v>
      </c>
      <c r="O12" s="3">
        <v>75</v>
      </c>
      <c r="P12" s="3">
        <v>73</v>
      </c>
      <c r="Q12" s="3">
        <v>71</v>
      </c>
      <c r="R12" s="3">
        <v>50</v>
      </c>
      <c r="S12" s="3">
        <v>602</v>
      </c>
      <c r="T12" s="3">
        <v>375</v>
      </c>
      <c r="U12" s="3">
        <v>1033</v>
      </c>
      <c r="V12" s="3">
        <v>45</v>
      </c>
      <c r="W12" s="3">
        <v>35</v>
      </c>
    </row>
    <row r="13" spans="1:23">
      <c r="A13" t="s">
        <v>16</v>
      </c>
      <c r="B13" s="2" t="s">
        <v>17</v>
      </c>
      <c r="C13" s="5">
        <v>75</v>
      </c>
      <c r="D13" s="5">
        <v>75</v>
      </c>
      <c r="E13" s="5">
        <v>75</v>
      </c>
      <c r="F13" s="5">
        <v>75</v>
      </c>
      <c r="G13" s="5">
        <v>75</v>
      </c>
      <c r="H13" s="5">
        <v>75</v>
      </c>
      <c r="J13" s="3">
        <v>58</v>
      </c>
      <c r="K13" s="3">
        <v>580</v>
      </c>
      <c r="L13" s="3">
        <v>570</v>
      </c>
      <c r="M13" s="3">
        <v>185</v>
      </c>
      <c r="N13" s="3">
        <v>430</v>
      </c>
      <c r="O13" s="3">
        <v>75</v>
      </c>
      <c r="P13" s="3">
        <v>73</v>
      </c>
      <c r="Q13" s="3">
        <v>71.5</v>
      </c>
      <c r="R13" s="3">
        <v>50</v>
      </c>
      <c r="S13" s="3">
        <v>622</v>
      </c>
      <c r="T13" s="3">
        <v>389</v>
      </c>
      <c r="U13" s="3">
        <v>1048</v>
      </c>
      <c r="V13" s="3">
        <v>45</v>
      </c>
      <c r="W13" s="3">
        <v>35</v>
      </c>
    </row>
    <row r="14" spans="1:23">
      <c r="A14" t="s">
        <v>18</v>
      </c>
      <c r="B14" s="2" t="s">
        <v>90</v>
      </c>
      <c r="C14" s="5">
        <v>76</v>
      </c>
      <c r="D14" s="5">
        <v>75</v>
      </c>
      <c r="E14" s="5">
        <v>74</v>
      </c>
      <c r="F14" s="5">
        <v>73</v>
      </c>
      <c r="G14" s="5">
        <v>73</v>
      </c>
      <c r="H14" s="5">
        <v>73</v>
      </c>
      <c r="J14" s="3">
        <v>60</v>
      </c>
      <c r="K14" s="3">
        <v>600</v>
      </c>
      <c r="L14" s="3">
        <v>600</v>
      </c>
      <c r="M14" s="3">
        <v>205</v>
      </c>
      <c r="N14" s="3">
        <v>430</v>
      </c>
      <c r="O14" s="3">
        <v>75</v>
      </c>
      <c r="P14" s="3">
        <v>73</v>
      </c>
      <c r="Q14" s="3">
        <v>71.5</v>
      </c>
      <c r="R14" s="3">
        <v>50</v>
      </c>
      <c r="S14" s="3">
        <v>641</v>
      </c>
      <c r="T14" s="3">
        <v>403</v>
      </c>
      <c r="U14" s="3">
        <v>1069</v>
      </c>
      <c r="V14" s="3">
        <v>45</v>
      </c>
      <c r="W14" s="3">
        <v>35</v>
      </c>
    </row>
    <row r="15" spans="1:23">
      <c r="A15" t="s">
        <v>19</v>
      </c>
      <c r="B15" s="2" t="s">
        <v>91</v>
      </c>
      <c r="C15" s="5">
        <v>70</v>
      </c>
      <c r="D15" s="5">
        <v>70.5</v>
      </c>
      <c r="E15" s="5">
        <v>71</v>
      </c>
      <c r="F15" s="5">
        <v>71</v>
      </c>
      <c r="G15" s="5">
        <v>71.5</v>
      </c>
      <c r="H15" s="5">
        <v>71.5</v>
      </c>
    </row>
    <row r="16" spans="1:23">
      <c r="A16" t="s">
        <v>20</v>
      </c>
      <c r="B16" s="2" t="s">
        <v>95</v>
      </c>
      <c r="C16" s="5">
        <v>50</v>
      </c>
      <c r="D16" s="5">
        <v>50</v>
      </c>
      <c r="E16" s="5">
        <v>50</v>
      </c>
      <c r="F16" s="5">
        <v>50</v>
      </c>
      <c r="G16" s="5">
        <v>50</v>
      </c>
      <c r="H16" s="5">
        <v>50</v>
      </c>
    </row>
    <row r="17" spans="1:9">
      <c r="A17" t="s">
        <v>21</v>
      </c>
      <c r="B17" s="2" t="s">
        <v>96</v>
      </c>
      <c r="C17" s="5">
        <v>549</v>
      </c>
      <c r="D17" s="5">
        <v>567</v>
      </c>
      <c r="E17" s="5">
        <v>582</v>
      </c>
      <c r="F17" s="5">
        <v>602</v>
      </c>
      <c r="G17" s="5">
        <v>622</v>
      </c>
      <c r="H17" s="5">
        <v>641</v>
      </c>
    </row>
    <row r="18" spans="1:9">
      <c r="A18" t="s">
        <v>22</v>
      </c>
      <c r="B18" s="2" t="s">
        <v>97</v>
      </c>
      <c r="C18" s="5">
        <v>360</v>
      </c>
      <c r="D18" s="5">
        <v>365</v>
      </c>
      <c r="E18" s="5">
        <v>371</v>
      </c>
      <c r="F18" s="5">
        <v>375</v>
      </c>
      <c r="G18" s="5">
        <v>389</v>
      </c>
      <c r="H18" s="5">
        <v>403</v>
      </c>
    </row>
    <row r="19" spans="1:9">
      <c r="A19" t="s">
        <v>23</v>
      </c>
      <c r="B19" s="2" t="s">
        <v>98</v>
      </c>
      <c r="C19" s="5">
        <v>1005</v>
      </c>
      <c r="D19" s="5">
        <v>1016</v>
      </c>
      <c r="E19" s="5">
        <v>1022</v>
      </c>
      <c r="F19" s="5">
        <v>1033</v>
      </c>
      <c r="G19" s="5">
        <v>1048</v>
      </c>
      <c r="H19" s="5">
        <v>1069</v>
      </c>
    </row>
    <row r="20" spans="1:9">
      <c r="A20" t="s">
        <v>24</v>
      </c>
      <c r="B20" s="2" t="s">
        <v>25</v>
      </c>
      <c r="C20" s="5">
        <v>45</v>
      </c>
      <c r="D20" s="5">
        <v>45</v>
      </c>
      <c r="E20" s="5">
        <v>45</v>
      </c>
      <c r="F20" s="5">
        <v>45</v>
      </c>
      <c r="G20" s="5">
        <v>45</v>
      </c>
      <c r="H20" s="5">
        <v>45</v>
      </c>
    </row>
    <row r="21" spans="1:9">
      <c r="A21" t="s">
        <v>26</v>
      </c>
      <c r="B21" s="2" t="s">
        <v>27</v>
      </c>
      <c r="C21" s="5">
        <v>35</v>
      </c>
      <c r="D21" s="5">
        <v>35</v>
      </c>
      <c r="E21" s="5">
        <v>35</v>
      </c>
      <c r="F21" s="5">
        <v>35</v>
      </c>
      <c r="G21" s="5">
        <v>35</v>
      </c>
      <c r="H21" s="5">
        <v>35</v>
      </c>
    </row>
    <row r="22" spans="1:9">
      <c r="A22" s="1" t="s">
        <v>83</v>
      </c>
      <c r="C22" s="6"/>
      <c r="D22" s="6"/>
      <c r="E22" s="6"/>
      <c r="F22" s="6"/>
      <c r="G22" s="6"/>
      <c r="H22" s="6"/>
    </row>
    <row r="23" spans="1:9">
      <c r="A23" t="s">
        <v>28</v>
      </c>
      <c r="C23" s="6"/>
      <c r="D23" s="6"/>
      <c r="E23" s="6"/>
      <c r="F23" s="6"/>
      <c r="G23" s="6"/>
      <c r="H23" s="6"/>
    </row>
    <row r="24" spans="1:9">
      <c r="A24" t="s">
        <v>29</v>
      </c>
      <c r="C24" s="5">
        <v>395</v>
      </c>
      <c r="D24" s="5">
        <v>395</v>
      </c>
      <c r="E24" s="5">
        <v>395</v>
      </c>
      <c r="F24" s="5">
        <v>395</v>
      </c>
      <c r="G24" s="5">
        <v>395</v>
      </c>
      <c r="H24" s="5">
        <v>395</v>
      </c>
      <c r="I24" s="1" t="s">
        <v>99</v>
      </c>
    </row>
    <row r="25" spans="1:9">
      <c r="A25" t="s">
        <v>30</v>
      </c>
      <c r="I25" s="1"/>
    </row>
    <row r="26" spans="1:9">
      <c r="A26" t="s">
        <v>31</v>
      </c>
      <c r="I26" s="1"/>
    </row>
    <row r="27" spans="1:9">
      <c r="A27" t="s">
        <v>32</v>
      </c>
    </row>
    <row r="28" spans="1:9">
      <c r="A28" t="s">
        <v>33</v>
      </c>
    </row>
    <row r="29" spans="1:9">
      <c r="A29" t="s">
        <v>34</v>
      </c>
    </row>
    <row r="30" spans="1:9">
      <c r="A30" t="s">
        <v>35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9">
      <c r="A31" t="s">
        <v>36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 t="s">
        <v>37</v>
      </c>
    </row>
    <row r="32" spans="1:9">
      <c r="A32" t="s">
        <v>38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8">
      <c r="A33" t="s">
        <v>39</v>
      </c>
      <c r="C33">
        <v>154</v>
      </c>
      <c r="D33">
        <f>AVERAGE(C35,D35)</f>
        <v>162</v>
      </c>
      <c r="E33">
        <f>AVERAGE(D35,E35)</f>
        <v>170</v>
      </c>
      <c r="F33">
        <f t="shared" ref="F33:H33" si="0">AVERAGE(E35,F35)</f>
        <v>178</v>
      </c>
      <c r="G33">
        <f t="shared" si="0"/>
        <v>186</v>
      </c>
      <c r="H33">
        <f t="shared" si="0"/>
        <v>194</v>
      </c>
    </row>
    <row r="34" spans="1:8">
      <c r="A34" t="s">
        <v>40</v>
      </c>
      <c r="C34">
        <f>D33</f>
        <v>162</v>
      </c>
      <c r="D34">
        <f>E33</f>
        <v>170</v>
      </c>
      <c r="E34">
        <f>F33</f>
        <v>178</v>
      </c>
      <c r="F34">
        <f>G33</f>
        <v>186</v>
      </c>
      <c r="G34">
        <f>H33</f>
        <v>194</v>
      </c>
      <c r="H34">
        <v>200</v>
      </c>
    </row>
    <row r="35" spans="1:8">
      <c r="C35">
        <v>158</v>
      </c>
      <c r="D35">
        <v>166</v>
      </c>
      <c r="E35">
        <v>174</v>
      </c>
      <c r="F35">
        <v>182</v>
      </c>
      <c r="G35">
        <v>190</v>
      </c>
      <c r="H35">
        <v>198</v>
      </c>
    </row>
    <row r="36" spans="1:8">
      <c r="A36" t="s">
        <v>41</v>
      </c>
      <c r="B36" t="s">
        <v>42</v>
      </c>
    </row>
    <row r="37" spans="1:8">
      <c r="A37" t="s">
        <v>80</v>
      </c>
      <c r="B37" s="1" t="s">
        <v>86</v>
      </c>
    </row>
    <row r="38" spans="1:8">
      <c r="A38" t="s">
        <v>81</v>
      </c>
      <c r="B38" s="1" t="s">
        <v>87</v>
      </c>
    </row>
    <row r="39" spans="1:8">
      <c r="A39" t="s">
        <v>82</v>
      </c>
    </row>
    <row r="40" spans="1:8">
      <c r="A40" t="s">
        <v>43</v>
      </c>
      <c r="B40" s="1" t="s">
        <v>92</v>
      </c>
    </row>
    <row r="41" spans="1:8">
      <c r="A41" t="s">
        <v>44</v>
      </c>
      <c r="B41" s="1" t="s">
        <v>45</v>
      </c>
    </row>
    <row r="42" spans="1:8">
      <c r="A42" t="s">
        <v>46</v>
      </c>
    </row>
    <row r="43" spans="1:8">
      <c r="A43" t="s">
        <v>47</v>
      </c>
      <c r="B43">
        <v>50</v>
      </c>
    </row>
    <row r="44" spans="1:8">
      <c r="A44" t="s">
        <v>48</v>
      </c>
    </row>
    <row r="45" spans="1:8">
      <c r="A45" t="s">
        <v>49</v>
      </c>
    </row>
    <row r="46" spans="1:8">
      <c r="A46" t="s">
        <v>50</v>
      </c>
    </row>
    <row r="47" spans="1:8">
      <c r="A47" t="s">
        <v>51</v>
      </c>
    </row>
    <row r="48" spans="1:8">
      <c r="A48" t="s">
        <v>52</v>
      </c>
    </row>
    <row r="49" spans="1:2">
      <c r="A49" t="s">
        <v>53</v>
      </c>
      <c r="B49">
        <v>142</v>
      </c>
    </row>
    <row r="50" spans="1:2">
      <c r="A50" t="s">
        <v>54</v>
      </c>
      <c r="B50">
        <v>100</v>
      </c>
    </row>
    <row r="51" spans="1:2">
      <c r="A51" t="s">
        <v>55</v>
      </c>
      <c r="B51" s="1" t="s">
        <v>79</v>
      </c>
    </row>
    <row r="52" spans="1:2">
      <c r="A52" t="s">
        <v>56</v>
      </c>
    </row>
    <row r="53" spans="1:2">
      <c r="A53" t="s">
        <v>57</v>
      </c>
      <c r="B53">
        <v>31.6</v>
      </c>
    </row>
    <row r="54" spans="1:2">
      <c r="A54" t="s">
        <v>58</v>
      </c>
      <c r="B54" s="1" t="s">
        <v>94</v>
      </c>
    </row>
    <row r="55" spans="1:2">
      <c r="A55" t="s">
        <v>59</v>
      </c>
    </row>
    <row r="56" spans="1:2">
      <c r="A56" t="s">
        <v>60</v>
      </c>
    </row>
    <row r="57" spans="1:2">
      <c r="A57" t="s">
        <v>61</v>
      </c>
      <c r="B57">
        <v>160</v>
      </c>
    </row>
    <row r="58" spans="1:2">
      <c r="A58" t="s">
        <v>62</v>
      </c>
      <c r="B58">
        <v>140</v>
      </c>
    </row>
    <row r="59" spans="1:2">
      <c r="A59" t="s">
        <v>63</v>
      </c>
    </row>
    <row r="60" spans="1:2">
      <c r="A60" t="s">
        <v>64</v>
      </c>
      <c r="B60" s="1" t="s">
        <v>93</v>
      </c>
    </row>
    <row r="61" spans="1:2">
      <c r="A61" t="s">
        <v>65</v>
      </c>
      <c r="B61" s="1" t="s">
        <v>93</v>
      </c>
    </row>
    <row r="62" spans="1:2">
      <c r="A62" t="s">
        <v>66</v>
      </c>
    </row>
    <row r="63" spans="1:2">
      <c r="A63" t="s">
        <v>67</v>
      </c>
    </row>
    <row r="64" spans="1:2">
      <c r="A64" t="s">
        <v>68</v>
      </c>
      <c r="B64">
        <v>2</v>
      </c>
    </row>
    <row r="65" spans="1:2">
      <c r="A65" t="s">
        <v>69</v>
      </c>
      <c r="B65">
        <v>1</v>
      </c>
    </row>
    <row r="66" spans="1:2">
      <c r="A66" t="s">
        <v>70</v>
      </c>
      <c r="B66" s="1"/>
    </row>
    <row r="67" spans="1:2">
      <c r="A67" t="s">
        <v>71</v>
      </c>
      <c r="B67" s="1" t="s">
        <v>45</v>
      </c>
    </row>
    <row r="68" spans="1:2">
      <c r="A68" t="s">
        <v>72</v>
      </c>
      <c r="B68" s="1"/>
    </row>
    <row r="69" spans="1:2">
      <c r="A69" t="s">
        <v>73</v>
      </c>
    </row>
    <row r="70" spans="1:2">
      <c r="A70" t="s">
        <v>74</v>
      </c>
    </row>
    <row r="71" spans="1:2">
      <c r="A71" t="s">
        <v>75</v>
      </c>
      <c r="B71">
        <v>2299</v>
      </c>
    </row>
    <row r="72" spans="1:2">
      <c r="A72" t="s">
        <v>76</v>
      </c>
      <c r="B72">
        <v>4195</v>
      </c>
    </row>
    <row r="73" spans="1:2">
      <c r="A73" t="s">
        <v>77</v>
      </c>
      <c r="B73" s="1" t="s">
        <v>45</v>
      </c>
    </row>
    <row r="74" spans="1:2">
      <c r="A74" t="s">
        <v>78</v>
      </c>
      <c r="B74" s="1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2025-08-18T11:30:52Z</dcterms:modified>
</cp:coreProperties>
</file>