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251937B3-1071-4049-AB1D-42DF7ED53924}" xr6:coauthVersionLast="47" xr6:coauthVersionMax="47" xr10:uidLastSave="{00000000-0000-0000-0000-000000000000}"/>
  <bookViews>
    <workbookView xWindow="27100" yWindow="-25560" windowWidth="34140" windowHeight="179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1" l="1"/>
  <c r="E17" i="1"/>
  <c r="F17" i="1"/>
  <c r="G17" i="1"/>
  <c r="C17" i="1"/>
  <c r="D13" i="1"/>
  <c r="E13" i="1"/>
  <c r="F13" i="1"/>
  <c r="G13" i="1"/>
  <c r="C13" i="1"/>
  <c r="D28" i="1"/>
  <c r="C33" i="1"/>
  <c r="D33" i="1"/>
  <c r="E33" i="1"/>
  <c r="F33" i="1"/>
  <c r="G33" i="1"/>
  <c r="D32" i="1"/>
  <c r="E32" i="1"/>
  <c r="F32" i="1"/>
  <c r="G32" i="1"/>
  <c r="C32" i="1"/>
  <c r="D16" i="1"/>
  <c r="E16" i="1"/>
  <c r="F16" i="1"/>
  <c r="G16" i="1"/>
  <c r="C16" i="1"/>
  <c r="D14" i="1"/>
  <c r="E14" i="1"/>
  <c r="F14" i="1"/>
  <c r="G14" i="1"/>
  <c r="C14" i="1"/>
</calcChain>
</file>

<file path=xl/sharedStrings.xml><?xml version="1.0" encoding="utf-8"?>
<sst xmlns="http://schemas.openxmlformats.org/spreadsheetml/2006/main" count="152" uniqueCount="134">
  <si>
    <t>brand</t>
  </si>
  <si>
    <t>Chumba</t>
  </si>
  <si>
    <t>model</t>
  </si>
  <si>
    <t>model_year</t>
  </si>
  <si>
    <t>input_date</t>
  </si>
  <si>
    <t>url</t>
  </si>
  <si>
    <t>data_range</t>
  </si>
  <si>
    <t>frame_size</t>
  </si>
  <si>
    <t>XL</t>
  </si>
  <si>
    <t>top_tube_effective_length</t>
  </si>
  <si>
    <t>Effective Top Tube</t>
  </si>
  <si>
    <t>head_tube_angle</t>
  </si>
  <si>
    <t>Head Tube Angle</t>
  </si>
  <si>
    <t>head_tube_length</t>
  </si>
  <si>
    <t>Head Tube Length</t>
  </si>
  <si>
    <t>seat_tube_angle</t>
  </si>
  <si>
    <t>seat_tube_length</t>
  </si>
  <si>
    <t>Seat Tube Length</t>
  </si>
  <si>
    <t>chainstay_length</t>
  </si>
  <si>
    <t>Chainstay Length</t>
  </si>
  <si>
    <t>bottom_bracket_drop</t>
  </si>
  <si>
    <t>Bottom Bracket Drop</t>
  </si>
  <si>
    <t>wheelbase</t>
  </si>
  <si>
    <t>Wheelbase</t>
  </si>
  <si>
    <t>standover</t>
  </si>
  <si>
    <t>Standover Height</t>
  </si>
  <si>
    <t>reach</t>
  </si>
  <si>
    <t>Reach</t>
  </si>
  <si>
    <t>stack</t>
  </si>
  <si>
    <t>Stack</t>
  </si>
  <si>
    <t>axle_crown</t>
  </si>
  <si>
    <t>fork_offset_rake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</si>
  <si>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</si>
  <si>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</si>
  <si>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</si>
  <si>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</si>
  <si>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</si>
  <si>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</si>
  <si>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</si>
  <si>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</si>
  <si>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</si>
  <si>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</si>
  <si>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</si>
  <si>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</si>
  <si>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</si>
  <si>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</si>
  <si>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</si>
  <si>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</si>
  <si>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</si>
  <si>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</si>
  <si>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</si>
  <si>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</si>
  <si>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</si>
  <si>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</si>
  <si>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</si>
  <si>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</si>
  <si>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</si>
  <si>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</si>
  <si>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</si>
  <si>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</si>
  <si>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</si>
  <si>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</si>
  <si>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</si>
  <si>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</si>
  <si>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</si>
  <si>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</si>
  <si>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</si>
  <si>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</si>
  <si>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</si>
  <si>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</si>
  <si>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</si>
  <si>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</si>
  <si>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</si>
  <si>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</si>
  <si>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</si>
  <si>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</si>
  <si>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</si>
  <si>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</si>
  <si>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yes</t>
  </si>
  <si>
    <t>Measurement</t>
  </si>
  <si>
    <t>S</t>
  </si>
  <si>
    <t>M</t>
  </si>
  <si>
    <t>M/L</t>
  </si>
  <si>
    <t>L</t>
  </si>
  <si>
    <t>L/XL</t>
  </si>
  <si>
    <t>Suggested Rider</t>
  </si>
  <si>
    <t>5'7" - 5'9"</t>
  </si>
  <si>
    <t>6'2&gt;</t>
  </si>
  <si>
    <t>internal</t>
  </si>
  <si>
    <t>external</t>
  </si>
  <si>
    <t>trail</t>
  </si>
  <si>
    <t>class</t>
  </si>
  <si>
    <t>hardtail</t>
  </si>
  <si>
    <t>handlebar</t>
  </si>
  <si>
    <t>fork</t>
  </si>
  <si>
    <t>USD</t>
  </si>
  <si>
    <t>Sendero Ti</t>
  </si>
  <si>
    <t>https://chumbausa.com/sendero-titanium-custom-mountain-bike-29er</t>
  </si>
  <si>
    <t>flat bar</t>
  </si>
  <si>
    <t>&lt;5'7"</t>
  </si>
  <si>
    <t>5'9" - 5'10"</t>
  </si>
  <si>
    <t>5'11" - 6'1"</t>
  </si>
  <si>
    <t>Suggested Stem Length</t>
  </si>
  <si>
    <t>32-50mm</t>
  </si>
  <si>
    <t>32-65mm</t>
  </si>
  <si>
    <t>Effective Seat Tube Angle</t>
  </si>
  <si>
    <t>420-440</t>
  </si>
  <si>
    <t>428-448</t>
  </si>
  <si>
    <t>1118-1138</t>
  </si>
  <si>
    <t>1141-1161</t>
  </si>
  <si>
    <t>1156-1176</t>
  </si>
  <si>
    <t>1167-1187</t>
  </si>
  <si>
    <t>1206-1226</t>
  </si>
  <si>
    <t>Front Center</t>
  </si>
  <si>
    <t>Max Seatpost Insertion</t>
  </si>
  <si>
    <t>front_center</t>
  </si>
  <si>
    <t>max_seatpost_insertion</t>
  </si>
  <si>
    <t>specs are for 120 mm fork</t>
  </si>
  <si>
    <t>Fox 34 Stepcast 29er fork, 44mm Offset, 530mm Axle to Crown</t>
  </si>
  <si>
    <t>suspension</t>
  </si>
  <si>
    <t>threaded 73</t>
  </si>
  <si>
    <t>frame only</t>
  </si>
  <si>
    <t>a8:g33</t>
  </si>
  <si>
    <t>my estimates are ~ 530 so these measures are with 0% sag</t>
  </si>
  <si>
    <t>titanium</t>
  </si>
  <si>
    <t>https://images.squarespace-cdn.com/content/v1/52f98c74e4b097d8674dc15e/1734790323833-9S8MGWMUHW1BQCD5ZGHX/Chumba-Sendero-MTB-Titanium-a.jpg?format=2500w</t>
  </si>
  <si>
    <t>location</t>
  </si>
  <si>
    <t>Kansas City, Missouri, USA</t>
  </si>
  <si>
    <t>head_tube_d</t>
  </si>
  <si>
    <t>headset_upper</t>
  </si>
  <si>
    <t>headset_lower</t>
  </si>
  <si>
    <t>fork_steerer</t>
  </si>
  <si>
    <t>fork_steerer_d</t>
  </si>
  <si>
    <t>fork_material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</si>
</sst>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4"/>
      <color rgb="FF000000"/>
      <name val="Futura"/>
    </font>
    <font>
      <sz val="14"/>
      <color rgb="FF000000"/>
      <name val="Futura"/>
      <family val="2"/>
    </font>
    <font>
      <b/>
      <sz val="18"/>
      <color rgb="FFFFFFFF"/>
      <name val="Arial"/>
      <family val="2"/>
    </font>
    <font>
      <sz val="15"/>
      <color rgb="FF808080"/>
      <name val="Arial"/>
      <family val="2"/>
    </font>
    <font>
      <sz val="17"/>
      <color rgb="FF24272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5" fontId="0" fillId="0" borderId="0" xfId="0" applyNumberForma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0"/>
  <sheetViews>
    <sheetView tabSelected="1" topLeftCell="A2" workbookViewId="0">
      <selection activeCell="G13" sqref="G13"/>
    </sheetView>
  </sheetViews>
  <sheetFormatPr baseColWidth="10" defaultRowHeight="20" x14ac:dyDescent="0.3"/>
  <cols>
    <col min="1" max="2" width="19.6640625" customWidth="1"/>
  </cols>
  <sheetData>
    <row r="1" spans="1:16" x14ac:dyDescent="0.3">
      <c r="A1" t="s">
        <v>0</v>
      </c>
      <c r="B1" t="s">
        <v>1</v>
      </c>
    </row>
    <row r="2" spans="1:16" x14ac:dyDescent="0.3">
      <c r="A2" t="s">
        <v>2</v>
      </c>
      <c r="B2" s="1" t="s">
        <v>96</v>
      </c>
    </row>
    <row r="3" spans="1:16" x14ac:dyDescent="0.3">
      <c r="A3" t="s">
        <v>3</v>
      </c>
      <c r="B3">
        <v>2025</v>
      </c>
    </row>
    <row r="4" spans="1:16" x14ac:dyDescent="0.3">
      <c r="A4" t="s">
        <v>4</v>
      </c>
      <c r="B4" s="4">
        <v>45937</v>
      </c>
    </row>
    <row r="5" spans="1:16" x14ac:dyDescent="0.3">
      <c r="A5" t="s">
        <v>5</v>
      </c>
      <c r="B5" t="s">
        <v>97</v>
      </c>
    </row>
    <row r="6" spans="1:16" x14ac:dyDescent="0.3">
      <c r="B6" t="s">
        <v>125</v>
      </c>
    </row>
    <row r="7" spans="1:16" x14ac:dyDescent="0.3">
      <c r="A7" t="s">
        <v>6</v>
      </c>
      <c r="B7" s="1" t="s">
        <v>122</v>
      </c>
    </row>
    <row r="8" spans="1:16" ht="24" x14ac:dyDescent="0.3">
      <c r="A8" t="s">
        <v>7</v>
      </c>
      <c r="B8" t="s">
        <v>79</v>
      </c>
      <c r="C8" t="s">
        <v>80</v>
      </c>
      <c r="D8" t="s">
        <v>81</v>
      </c>
      <c r="E8" t="s">
        <v>82</v>
      </c>
      <c r="F8" t="s">
        <v>83</v>
      </c>
      <c r="G8" t="s">
        <v>8</v>
      </c>
      <c r="H8" s="1" t="s">
        <v>117</v>
      </c>
      <c r="J8" s="2" t="s">
        <v>79</v>
      </c>
      <c r="K8" s="2" t="s">
        <v>80</v>
      </c>
      <c r="L8" s="2" t="s">
        <v>81</v>
      </c>
      <c r="M8" s="2" t="s">
        <v>82</v>
      </c>
      <c r="N8" s="2" t="s">
        <v>83</v>
      </c>
      <c r="O8" s="2" t="s">
        <v>84</v>
      </c>
      <c r="P8" s="2" t="s">
        <v>8</v>
      </c>
    </row>
    <row r="9" spans="1:16" ht="21" x14ac:dyDescent="0.3">
      <c r="A9" t="s">
        <v>9</v>
      </c>
      <c r="B9" t="s">
        <v>10</v>
      </c>
      <c r="C9">
        <v>596</v>
      </c>
      <c r="D9">
        <v>620</v>
      </c>
      <c r="E9">
        <v>634</v>
      </c>
      <c r="F9">
        <v>645</v>
      </c>
      <c r="G9">
        <v>670</v>
      </c>
      <c r="J9" s="3"/>
      <c r="K9" s="3"/>
      <c r="L9" s="3"/>
      <c r="M9" s="3"/>
      <c r="N9" s="3"/>
      <c r="O9" s="3"/>
      <c r="P9" s="3"/>
    </row>
    <row r="10" spans="1:16" ht="21" x14ac:dyDescent="0.3">
      <c r="A10" t="s">
        <v>11</v>
      </c>
      <c r="B10" t="s">
        <v>12</v>
      </c>
      <c r="C10">
        <v>67.5</v>
      </c>
      <c r="D10">
        <v>67.5</v>
      </c>
      <c r="E10">
        <v>67.5</v>
      </c>
      <c r="F10">
        <v>67.5</v>
      </c>
      <c r="G10">
        <v>67.5</v>
      </c>
      <c r="J10" s="3"/>
      <c r="K10" s="3"/>
      <c r="L10" s="3"/>
      <c r="M10" s="3"/>
      <c r="N10" s="3"/>
      <c r="O10" s="3"/>
      <c r="P10" s="3"/>
    </row>
    <row r="11" spans="1:16" ht="21" x14ac:dyDescent="0.3">
      <c r="A11" t="s">
        <v>13</v>
      </c>
      <c r="B11" t="s">
        <v>14</v>
      </c>
      <c r="C11">
        <v>95</v>
      </c>
      <c r="D11">
        <v>100</v>
      </c>
      <c r="E11">
        <v>105</v>
      </c>
      <c r="F11">
        <v>110</v>
      </c>
      <c r="G11">
        <v>120</v>
      </c>
      <c r="J11" s="3"/>
      <c r="K11" s="3"/>
      <c r="L11" s="3"/>
      <c r="M11" s="3"/>
      <c r="N11" s="3"/>
      <c r="O11" s="3"/>
      <c r="P11" s="3"/>
    </row>
    <row r="12" spans="1:16" ht="21" x14ac:dyDescent="0.3">
      <c r="A12" t="s">
        <v>15</v>
      </c>
      <c r="B12" t="s">
        <v>105</v>
      </c>
      <c r="C12">
        <v>74.8</v>
      </c>
      <c r="D12">
        <v>74.400000000000006</v>
      </c>
      <c r="E12">
        <v>74.400000000000006</v>
      </c>
      <c r="F12">
        <v>74.400000000000006</v>
      </c>
      <c r="G12">
        <v>74.599999999999994</v>
      </c>
      <c r="J12" s="3"/>
      <c r="K12" s="3"/>
      <c r="L12" s="3"/>
      <c r="M12" s="3"/>
      <c r="N12" s="3"/>
      <c r="O12" s="3"/>
      <c r="P12" s="3"/>
    </row>
    <row r="13" spans="1:16" ht="21" x14ac:dyDescent="0.3">
      <c r="A13" t="s">
        <v>16</v>
      </c>
      <c r="B13" t="s">
        <v>17</v>
      </c>
      <c r="C13">
        <f>H13*25.4</f>
        <v>393.7</v>
      </c>
      <c r="D13">
        <f t="shared" ref="D13:G13" si="0">I13*25.4</f>
        <v>412.75</v>
      </c>
      <c r="E13">
        <f t="shared" si="0"/>
        <v>438.15</v>
      </c>
      <c r="F13">
        <f t="shared" si="0"/>
        <v>463.54999999999995</v>
      </c>
      <c r="G13">
        <f t="shared" si="0"/>
        <v>514.35</v>
      </c>
      <c r="H13">
        <v>15.5</v>
      </c>
      <c r="I13">
        <v>16.25</v>
      </c>
      <c r="J13">
        <v>17.25</v>
      </c>
      <c r="K13">
        <v>18.25</v>
      </c>
      <c r="L13">
        <v>20.25</v>
      </c>
      <c r="M13" s="3"/>
      <c r="N13" s="3"/>
      <c r="O13" s="3"/>
      <c r="P13" s="3"/>
    </row>
    <row r="14" spans="1:16" ht="21" x14ac:dyDescent="0.3">
      <c r="A14" t="s">
        <v>18</v>
      </c>
      <c r="B14" t="s">
        <v>19</v>
      </c>
      <c r="C14">
        <f>VALUE(LEFT(H14,3))</f>
        <v>420</v>
      </c>
      <c r="D14">
        <f t="shared" ref="D14:G14" si="1">VALUE(LEFT(I14,3))</f>
        <v>420</v>
      </c>
      <c r="E14">
        <f t="shared" si="1"/>
        <v>420</v>
      </c>
      <c r="F14">
        <f t="shared" si="1"/>
        <v>420</v>
      </c>
      <c r="G14">
        <f t="shared" si="1"/>
        <v>428</v>
      </c>
      <c r="H14" t="s">
        <v>106</v>
      </c>
      <c r="I14" t="s">
        <v>106</v>
      </c>
      <c r="J14" t="s">
        <v>106</v>
      </c>
      <c r="K14" t="s">
        <v>106</v>
      </c>
      <c r="L14" t="s">
        <v>107</v>
      </c>
      <c r="M14" s="3"/>
      <c r="N14" s="3"/>
      <c r="O14" s="3"/>
      <c r="P14" s="3"/>
    </row>
    <row r="15" spans="1:16" ht="21" x14ac:dyDescent="0.3">
      <c r="A15" t="s">
        <v>20</v>
      </c>
      <c r="B15" t="s">
        <v>21</v>
      </c>
      <c r="C15">
        <v>48</v>
      </c>
      <c r="D15">
        <v>48</v>
      </c>
      <c r="E15">
        <v>48</v>
      </c>
      <c r="F15">
        <v>48</v>
      </c>
      <c r="G15">
        <v>48</v>
      </c>
      <c r="J15" s="3"/>
      <c r="K15" s="3"/>
      <c r="L15" s="3"/>
      <c r="M15" s="3"/>
      <c r="N15" s="3"/>
      <c r="O15" s="3"/>
      <c r="P15" s="3"/>
    </row>
    <row r="16" spans="1:16" ht="21" x14ac:dyDescent="0.3">
      <c r="A16" t="s">
        <v>22</v>
      </c>
      <c r="B16" t="s">
        <v>23</v>
      </c>
      <c r="C16">
        <f>VALUE(LEFT(H16,4))</f>
        <v>1118</v>
      </c>
      <c r="D16">
        <f t="shared" ref="D16:G16" si="2">VALUE(LEFT(I16,4))</f>
        <v>1141</v>
      </c>
      <c r="E16">
        <f t="shared" si="2"/>
        <v>1156</v>
      </c>
      <c r="F16">
        <f t="shared" si="2"/>
        <v>1167</v>
      </c>
      <c r="G16">
        <f t="shared" si="2"/>
        <v>1206</v>
      </c>
      <c r="H16" t="s">
        <v>108</v>
      </c>
      <c r="I16" t="s">
        <v>109</v>
      </c>
      <c r="J16" t="s">
        <v>110</v>
      </c>
      <c r="K16" t="s">
        <v>111</v>
      </c>
      <c r="L16" t="s">
        <v>112</v>
      </c>
      <c r="M16" s="3"/>
      <c r="N16" s="3"/>
      <c r="O16" s="3"/>
      <c r="P16" s="3"/>
    </row>
    <row r="17" spans="1:16" ht="21" x14ac:dyDescent="0.3">
      <c r="A17" t="s">
        <v>24</v>
      </c>
      <c r="B17" t="s">
        <v>25</v>
      </c>
      <c r="C17">
        <f>H17*25.4</f>
        <v>749.3</v>
      </c>
      <c r="D17">
        <f t="shared" ref="D17:G17" si="3">I17*25.4</f>
        <v>762</v>
      </c>
      <c r="E17">
        <f t="shared" si="3"/>
        <v>782.31999999999994</v>
      </c>
      <c r="F17">
        <f t="shared" si="3"/>
        <v>800.09999999999991</v>
      </c>
      <c r="G17">
        <f t="shared" si="3"/>
        <v>838.19999999999993</v>
      </c>
      <c r="H17">
        <v>29.5</v>
      </c>
      <c r="I17">
        <v>30</v>
      </c>
      <c r="J17">
        <v>30.8</v>
      </c>
      <c r="K17">
        <v>31.5</v>
      </c>
      <c r="L17">
        <v>33</v>
      </c>
      <c r="M17" s="3"/>
      <c r="N17" s="3"/>
      <c r="O17" s="3"/>
      <c r="P17" s="3"/>
    </row>
    <row r="18" spans="1:16" ht="21" x14ac:dyDescent="0.3">
      <c r="A18" t="s">
        <v>26</v>
      </c>
      <c r="B18" t="s">
        <v>27</v>
      </c>
      <c r="C18">
        <v>417</v>
      </c>
      <c r="D18">
        <v>439</v>
      </c>
      <c r="E18">
        <v>451</v>
      </c>
      <c r="F18">
        <v>461</v>
      </c>
      <c r="G18">
        <v>488</v>
      </c>
      <c r="J18" s="3"/>
      <c r="K18" s="3"/>
      <c r="L18" s="3"/>
      <c r="M18" s="3"/>
      <c r="N18" s="3"/>
      <c r="O18" s="3"/>
      <c r="P18" s="3"/>
    </row>
    <row r="19" spans="1:16" ht="21" x14ac:dyDescent="0.3">
      <c r="A19" s="1" t="s">
        <v>115</v>
      </c>
      <c r="B19" t="s">
        <v>113</v>
      </c>
      <c r="C19">
        <v>702</v>
      </c>
      <c r="D19">
        <v>726</v>
      </c>
      <c r="E19">
        <v>740</v>
      </c>
      <c r="F19">
        <v>752</v>
      </c>
      <c r="G19">
        <v>782</v>
      </c>
      <c r="J19" s="3"/>
      <c r="K19" s="3"/>
      <c r="L19" s="3"/>
      <c r="M19" s="3"/>
      <c r="N19" s="3"/>
      <c r="O19" s="3"/>
      <c r="P19" s="3"/>
    </row>
    <row r="20" spans="1:16" ht="21" x14ac:dyDescent="0.3">
      <c r="A20" t="s">
        <v>28</v>
      </c>
      <c r="B20" t="s">
        <v>29</v>
      </c>
      <c r="C20">
        <v>618</v>
      </c>
      <c r="D20">
        <v>623</v>
      </c>
      <c r="E20">
        <v>627</v>
      </c>
      <c r="F20">
        <v>632</v>
      </c>
      <c r="G20">
        <v>641</v>
      </c>
      <c r="J20" s="3"/>
      <c r="K20" s="3"/>
      <c r="L20" s="3"/>
      <c r="M20" s="3"/>
      <c r="N20" s="3"/>
      <c r="O20" s="3"/>
      <c r="P20" s="3"/>
    </row>
    <row r="21" spans="1:16" ht="21" x14ac:dyDescent="0.3">
      <c r="A21" s="1" t="s">
        <v>116</v>
      </c>
      <c r="B21" t="s">
        <v>114</v>
      </c>
      <c r="C21">
        <v>230</v>
      </c>
      <c r="D21">
        <v>205</v>
      </c>
      <c r="E21">
        <v>232</v>
      </c>
      <c r="F21">
        <v>257</v>
      </c>
      <c r="G21">
        <v>308</v>
      </c>
      <c r="J21" s="3"/>
      <c r="K21" s="3"/>
      <c r="L21" s="3"/>
      <c r="M21" s="3"/>
      <c r="N21" s="3"/>
      <c r="O21" s="3"/>
      <c r="P21" s="3"/>
    </row>
    <row r="22" spans="1:16" ht="23" x14ac:dyDescent="0.3">
      <c r="A22" t="s">
        <v>30</v>
      </c>
      <c r="C22">
        <v>530</v>
      </c>
      <c r="D22">
        <v>530</v>
      </c>
      <c r="E22">
        <v>530</v>
      </c>
      <c r="F22">
        <v>530</v>
      </c>
      <c r="G22">
        <v>530</v>
      </c>
      <c r="H22" s="5" t="s">
        <v>118</v>
      </c>
      <c r="J22" s="3"/>
      <c r="K22" s="3"/>
      <c r="L22" s="3"/>
      <c r="M22" s="3"/>
      <c r="N22" s="3"/>
      <c r="O22" s="3"/>
      <c r="P22" s="3"/>
    </row>
    <row r="23" spans="1:16" ht="21" x14ac:dyDescent="0.3">
      <c r="A23" t="s">
        <v>31</v>
      </c>
      <c r="C23">
        <v>44</v>
      </c>
      <c r="D23">
        <v>44</v>
      </c>
      <c r="E23">
        <v>44</v>
      </c>
      <c r="F23">
        <v>44</v>
      </c>
      <c r="G23">
        <v>44</v>
      </c>
      <c r="H23" s="1" t="s">
        <v>123</v>
      </c>
      <c r="J23" s="3"/>
      <c r="K23" s="3"/>
      <c r="L23" s="3"/>
      <c r="M23" s="3"/>
      <c r="N23" s="3"/>
      <c r="O23" s="3"/>
      <c r="P23" s="3"/>
    </row>
    <row r="24" spans="1:16" ht="21" x14ac:dyDescent="0.3">
      <c r="A24" s="1" t="s">
        <v>90</v>
      </c>
      <c r="J24" s="3"/>
      <c r="K24" s="3"/>
      <c r="L24" s="3"/>
      <c r="M24" s="3"/>
      <c r="N24" s="3"/>
      <c r="O24" s="3"/>
      <c r="P24" s="3"/>
    </row>
    <row r="25" spans="1:16" x14ac:dyDescent="0.3">
      <c r="A25" t="s">
        <v>32</v>
      </c>
    </row>
    <row r="26" spans="1:16" x14ac:dyDescent="0.3">
      <c r="A26" t="s">
        <v>33</v>
      </c>
      <c r="B26" t="s">
        <v>33</v>
      </c>
    </row>
    <row r="27" spans="1:16" x14ac:dyDescent="0.3">
      <c r="A27" t="s">
        <v>34</v>
      </c>
      <c r="B27" t="s">
        <v>34</v>
      </c>
      <c r="C27">
        <v>50</v>
      </c>
      <c r="D27">
        <v>50</v>
      </c>
      <c r="E27">
        <v>50</v>
      </c>
      <c r="F27">
        <v>50</v>
      </c>
      <c r="G27">
        <v>60</v>
      </c>
    </row>
    <row r="28" spans="1:16" x14ac:dyDescent="0.3">
      <c r="A28" t="s">
        <v>35</v>
      </c>
      <c r="D28">
        <f>4/2.205*1000</f>
        <v>1814.0589569160995</v>
      </c>
    </row>
    <row r="29" spans="1:16" x14ac:dyDescent="0.3">
      <c r="A29" t="s">
        <v>36</v>
      </c>
      <c r="B29" t="s">
        <v>36</v>
      </c>
      <c r="C29">
        <v>700</v>
      </c>
      <c r="D29">
        <v>700</v>
      </c>
      <c r="E29">
        <v>700</v>
      </c>
      <c r="F29">
        <v>700</v>
      </c>
      <c r="G29">
        <v>700</v>
      </c>
    </row>
    <row r="30" spans="1:16" x14ac:dyDescent="0.3">
      <c r="A30" t="s">
        <v>37</v>
      </c>
      <c r="B30" t="s">
        <v>37</v>
      </c>
      <c r="C30">
        <v>2.4</v>
      </c>
      <c r="D30">
        <v>2.4</v>
      </c>
      <c r="E30">
        <v>2.4</v>
      </c>
      <c r="F30">
        <v>2.4</v>
      </c>
      <c r="G30">
        <v>2.4</v>
      </c>
    </row>
    <row r="31" spans="1:16" x14ac:dyDescent="0.3">
      <c r="A31" t="s">
        <v>38</v>
      </c>
      <c r="B31" t="s">
        <v>38</v>
      </c>
      <c r="C31">
        <v>2.4</v>
      </c>
      <c r="D31">
        <v>2.4</v>
      </c>
      <c r="E31">
        <v>2.4</v>
      </c>
      <c r="F31">
        <v>2.4</v>
      </c>
      <c r="G31">
        <v>2.4</v>
      </c>
    </row>
    <row r="32" spans="1:16" x14ac:dyDescent="0.3">
      <c r="A32" t="s">
        <v>39</v>
      </c>
      <c r="C32">
        <f>C34*2.54</f>
        <v>152.4</v>
      </c>
      <c r="D32">
        <f t="shared" ref="D32:G33" si="4">D34*2.54</f>
        <v>170.18</v>
      </c>
      <c r="E32">
        <f t="shared" si="4"/>
        <v>175.26</v>
      </c>
      <c r="F32">
        <f t="shared" si="4"/>
        <v>180.34</v>
      </c>
      <c r="G32">
        <f t="shared" si="4"/>
        <v>187.96</v>
      </c>
    </row>
    <row r="33" spans="1:8" x14ac:dyDescent="0.3">
      <c r="A33" t="s">
        <v>40</v>
      </c>
      <c r="C33">
        <f>C35*2.54</f>
        <v>170.18</v>
      </c>
      <c r="D33">
        <f t="shared" si="4"/>
        <v>175.26</v>
      </c>
      <c r="E33">
        <f t="shared" si="4"/>
        <v>177.8</v>
      </c>
      <c r="F33">
        <f t="shared" si="4"/>
        <v>185.42000000000002</v>
      </c>
      <c r="G33">
        <f t="shared" si="4"/>
        <v>193.04</v>
      </c>
    </row>
    <row r="34" spans="1:8" x14ac:dyDescent="0.3">
      <c r="C34">
        <v>60</v>
      </c>
      <c r="D34">
        <v>67</v>
      </c>
      <c r="E34">
        <v>69</v>
      </c>
      <c r="F34">
        <v>71</v>
      </c>
      <c r="G34">
        <v>74</v>
      </c>
    </row>
    <row r="35" spans="1:8" x14ac:dyDescent="0.3">
      <c r="A35" t="s">
        <v>41</v>
      </c>
      <c r="B35" t="s">
        <v>42</v>
      </c>
      <c r="C35">
        <v>67</v>
      </c>
      <c r="D35">
        <v>69</v>
      </c>
      <c r="E35">
        <v>70</v>
      </c>
      <c r="F35">
        <v>73</v>
      </c>
      <c r="G35">
        <v>76</v>
      </c>
    </row>
    <row r="36" spans="1:8" x14ac:dyDescent="0.3">
      <c r="A36" t="s">
        <v>91</v>
      </c>
      <c r="B36" t="s">
        <v>92</v>
      </c>
      <c r="C36" t="s">
        <v>99</v>
      </c>
      <c r="D36" t="s">
        <v>86</v>
      </c>
      <c r="E36" t="s">
        <v>100</v>
      </c>
      <c r="F36" t="s">
        <v>101</v>
      </c>
      <c r="G36" t="s">
        <v>87</v>
      </c>
      <c r="H36" t="s">
        <v>85</v>
      </c>
    </row>
    <row r="37" spans="1:8" x14ac:dyDescent="0.3">
      <c r="A37" t="s">
        <v>93</v>
      </c>
      <c r="B37" s="1" t="s">
        <v>98</v>
      </c>
      <c r="C37" t="s">
        <v>103</v>
      </c>
      <c r="D37" t="s">
        <v>103</v>
      </c>
      <c r="E37" t="s">
        <v>103</v>
      </c>
      <c r="F37" t="s">
        <v>104</v>
      </c>
      <c r="G37" t="s">
        <v>104</v>
      </c>
      <c r="H37" t="s">
        <v>102</v>
      </c>
    </row>
    <row r="38" spans="1:8" x14ac:dyDescent="0.3">
      <c r="A38" t="s">
        <v>94</v>
      </c>
      <c r="B38" s="1" t="s">
        <v>119</v>
      </c>
    </row>
    <row r="39" spans="1:8" x14ac:dyDescent="0.3">
      <c r="A39" t="s">
        <v>43</v>
      </c>
      <c r="B39" s="1" t="s">
        <v>124</v>
      </c>
    </row>
    <row r="40" spans="1:8" x14ac:dyDescent="0.3">
      <c r="A40" t="s">
        <v>44</v>
      </c>
      <c r="B40" s="1" t="s">
        <v>78</v>
      </c>
    </row>
    <row r="41" spans="1:8" x14ac:dyDescent="0.3">
      <c r="A41" t="s">
        <v>45</v>
      </c>
      <c r="B41">
        <v>20</v>
      </c>
    </row>
    <row r="42" spans="1:8" x14ac:dyDescent="0.3">
      <c r="A42" t="s">
        <v>46</v>
      </c>
      <c r="B42">
        <v>2.4</v>
      </c>
    </row>
    <row r="43" spans="1:8" x14ac:dyDescent="0.3">
      <c r="A43" t="s">
        <v>47</v>
      </c>
    </row>
    <row r="44" spans="1:8" x14ac:dyDescent="0.3">
      <c r="A44" t="s">
        <v>48</v>
      </c>
      <c r="B44">
        <v>120</v>
      </c>
    </row>
    <row r="45" spans="1:8" x14ac:dyDescent="0.3">
      <c r="A45" t="s">
        <v>49</v>
      </c>
      <c r="B45" s="1">
        <v>120</v>
      </c>
    </row>
    <row r="46" spans="1:8" x14ac:dyDescent="0.3">
      <c r="A46" t="s">
        <v>50</v>
      </c>
    </row>
    <row r="47" spans="1:8" x14ac:dyDescent="0.3">
      <c r="A47" t="s">
        <v>51</v>
      </c>
    </row>
    <row r="48" spans="1:8" x14ac:dyDescent="0.3">
      <c r="A48" t="s">
        <v>52</v>
      </c>
      <c r="B48">
        <v>148</v>
      </c>
    </row>
    <row r="49" spans="1:2" x14ac:dyDescent="0.3">
      <c r="A49" t="s">
        <v>53</v>
      </c>
      <c r="B49">
        <v>110</v>
      </c>
    </row>
    <row r="50" spans="1:2" x14ac:dyDescent="0.3">
      <c r="A50" t="s">
        <v>128</v>
      </c>
    </row>
    <row r="51" spans="1:2" x14ac:dyDescent="0.3">
      <c r="A51" t="s">
        <v>129</v>
      </c>
    </row>
    <row r="52" spans="1:2" x14ac:dyDescent="0.3">
      <c r="A52" t="s">
        <v>130</v>
      </c>
    </row>
    <row r="53" spans="1:2" x14ac:dyDescent="0.3">
      <c r="A53" t="s">
        <v>131</v>
      </c>
    </row>
    <row r="54" spans="1:2" x14ac:dyDescent="0.3">
      <c r="A54" t="s">
        <v>132</v>
      </c>
    </row>
    <row r="55" spans="1:2" x14ac:dyDescent="0.3">
      <c r="A55" t="s">
        <v>133</v>
      </c>
    </row>
    <row r="56" spans="1:2" x14ac:dyDescent="0.3">
      <c r="A56" t="s">
        <v>54</v>
      </c>
      <c r="B56" s="1" t="s">
        <v>120</v>
      </c>
    </row>
    <row r="57" spans="1:2" x14ac:dyDescent="0.3">
      <c r="A57" t="s">
        <v>55</v>
      </c>
    </row>
    <row r="58" spans="1:2" x14ac:dyDescent="0.3">
      <c r="A58" t="s">
        <v>56</v>
      </c>
      <c r="B58">
        <v>31.6</v>
      </c>
    </row>
    <row r="59" spans="1:2" x14ac:dyDescent="0.3">
      <c r="A59" t="s">
        <v>57</v>
      </c>
      <c r="B59" s="1"/>
    </row>
    <row r="60" spans="1:2" x14ac:dyDescent="0.3">
      <c r="A60" t="s">
        <v>58</v>
      </c>
      <c r="B60">
        <v>38</v>
      </c>
    </row>
    <row r="61" spans="1:2" x14ac:dyDescent="0.3">
      <c r="A61" t="s">
        <v>59</v>
      </c>
    </row>
    <row r="62" spans="1:2" x14ac:dyDescent="0.3">
      <c r="A62" t="s">
        <v>60</v>
      </c>
    </row>
    <row r="63" spans="1:2" x14ac:dyDescent="0.3">
      <c r="A63" t="s">
        <v>61</v>
      </c>
    </row>
    <row r="64" spans="1:2" x14ac:dyDescent="0.3">
      <c r="A64" t="s">
        <v>62</v>
      </c>
    </row>
    <row r="65" spans="1:3" x14ac:dyDescent="0.3">
      <c r="A65" t="s">
        <v>63</v>
      </c>
      <c r="B65" s="1" t="s">
        <v>89</v>
      </c>
    </row>
    <row r="66" spans="1:3" x14ac:dyDescent="0.3">
      <c r="A66" t="s">
        <v>64</v>
      </c>
      <c r="B66" s="1" t="s">
        <v>88</v>
      </c>
    </row>
    <row r="67" spans="1:3" x14ac:dyDescent="0.3">
      <c r="A67" t="s">
        <v>65</v>
      </c>
    </row>
    <row r="68" spans="1:3" x14ac:dyDescent="0.3">
      <c r="A68" t="s">
        <v>66</v>
      </c>
    </row>
    <row r="69" spans="1:3" x14ac:dyDescent="0.3">
      <c r="A69" t="s">
        <v>67</v>
      </c>
      <c r="B69">
        <v>2</v>
      </c>
    </row>
    <row r="70" spans="1:3" x14ac:dyDescent="0.3">
      <c r="A70" t="s">
        <v>68</v>
      </c>
      <c r="B70">
        <v>1</v>
      </c>
      <c r="C70" s="1"/>
    </row>
    <row r="71" spans="1:3" x14ac:dyDescent="0.3">
      <c r="A71" t="s">
        <v>69</v>
      </c>
      <c r="B71" s="1"/>
      <c r="C71" s="1"/>
    </row>
    <row r="72" spans="1:3" x14ac:dyDescent="0.3">
      <c r="A72" t="s">
        <v>70</v>
      </c>
    </row>
    <row r="73" spans="1:3" x14ac:dyDescent="0.3">
      <c r="A73" t="s">
        <v>71</v>
      </c>
    </row>
    <row r="74" spans="1:3" x14ac:dyDescent="0.3">
      <c r="A74" t="s">
        <v>72</v>
      </c>
    </row>
    <row r="75" spans="1:3" x14ac:dyDescent="0.3">
      <c r="A75" t="s">
        <v>73</v>
      </c>
    </row>
    <row r="76" spans="1:3" x14ac:dyDescent="0.3">
      <c r="A76" t="s">
        <v>74</v>
      </c>
      <c r="B76">
        <v>4450</v>
      </c>
      <c r="C76" s="1" t="s">
        <v>121</v>
      </c>
    </row>
    <row r="77" spans="1:3" x14ac:dyDescent="0.3">
      <c r="A77" t="s">
        <v>75</v>
      </c>
    </row>
    <row r="78" spans="1:3" x14ac:dyDescent="0.3">
      <c r="A78" t="s">
        <v>76</v>
      </c>
      <c r="B78" s="1" t="s">
        <v>78</v>
      </c>
    </row>
    <row r="79" spans="1:3" x14ac:dyDescent="0.3">
      <c r="A79" t="s">
        <v>77</v>
      </c>
      <c r="B79" s="1" t="s">
        <v>95</v>
      </c>
    </row>
    <row r="80" spans="1:3" x14ac:dyDescent="0.3">
      <c r="A80" t="s">
        <v>126</v>
      </c>
      <c r="B80" t="s">
        <v>127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2025-07-26T17:59:00Z</dcterms:created>
  <dcterms:modified xsi:type="dcterms:W3CDTF">2025-11-18T20:29:48Z</dcterms:modified>
</cp:coreProperties>
</file>