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E5E05E1-3C2F-4943-BD26-8E7FA90F4FD7}" xr6:coauthVersionLast="47" xr6:coauthVersionMax="47" xr10:uidLastSave="{00000000-0000-0000-0000-000000000000}"/>
  <bookViews>
    <workbookView xWindow="1280" yWindow="560" windowWidth="26060" windowHeight="15600" xr2:uid="{ABFFBBBD-2C2A-DA41-8959-3BF392F3D8AC}"/>
  </bookViews>
  <sheets>
    <sheet name="Wilier Rave SLR ID2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4" i="1" s="1"/>
  <c r="H35" i="1"/>
  <c r="C34" i="1"/>
  <c r="E37" i="1"/>
  <c r="E35" i="1" s="1"/>
  <c r="F34" i="1" s="1"/>
  <c r="F37" i="1"/>
  <c r="F35" i="1" s="1"/>
  <c r="G34" i="1" s="1"/>
  <c r="G37" i="1"/>
  <c r="G35" i="1" s="1"/>
  <c r="H34" i="1" s="1"/>
  <c r="D37" i="1"/>
  <c r="D35" i="1" s="1"/>
  <c r="E34" i="1" s="1"/>
  <c r="H14" i="1"/>
  <c r="D14" i="1"/>
  <c r="E14" i="1"/>
  <c r="F14" i="1"/>
  <c r="G14" i="1"/>
  <c r="C14" i="1"/>
  <c r="C12" i="1"/>
  <c r="D12" i="1"/>
  <c r="E12" i="1"/>
  <c r="F12" i="1"/>
  <c r="G12" i="1"/>
  <c r="H12" i="1"/>
  <c r="C13" i="1"/>
  <c r="D13" i="1"/>
  <c r="E13" i="1"/>
  <c r="F13" i="1"/>
  <c r="G13" i="1"/>
  <c r="H13" i="1"/>
  <c r="C15" i="1"/>
  <c r="D15" i="1"/>
  <c r="E15" i="1"/>
  <c r="F15" i="1"/>
  <c r="G15" i="1"/>
  <c r="H15" i="1"/>
  <c r="C16" i="1"/>
  <c r="D16" i="1"/>
  <c r="E16" i="1"/>
  <c r="F16" i="1"/>
  <c r="G16" i="1"/>
  <c r="H16" i="1"/>
  <c r="D11" i="1"/>
  <c r="E11" i="1"/>
  <c r="F11" i="1"/>
  <c r="G11" i="1"/>
  <c r="H11" i="1"/>
  <c r="C11" i="1"/>
</calcChain>
</file>

<file path=xl/sharedStrings.xml><?xml version="1.0" encoding="utf-8"?>
<sst xmlns="http://schemas.openxmlformats.org/spreadsheetml/2006/main" count="129" uniqueCount="102">
  <si>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</si>
  <si>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</si>
  <si>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</si>
  <si>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</si>
  <si>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</si>
  <si>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</si>
  <si>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</si>
  <si>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</si>
  <si>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</si>
  <si>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</si>
  <si>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</si>
  <si>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</si>
  <si>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</si>
  <si>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</si>
  <si>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</si>
  <si>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</si>
  <si>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</si>
  <si>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</si>
  <si>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</si>
  <si>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</si>
  <si>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</si>
  <si>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</si>
  <si>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</si>
  <si>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</si>
  <si>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</si>
  <si>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</si>
  <si>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</si>
  <si>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</si>
  <si>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E - BB DROP (MM)</t>
  </si>
  <si>
    <t>F - *SEAT ANGLE°</t>
  </si>
  <si>
    <t>G - *HEAD ANGLE°</t>
  </si>
  <si>
    <t>H - FORK OFFSET</t>
  </si>
  <si>
    <t>I - STACK (MM)</t>
  </si>
  <si>
    <t>J - REACH (MM)</t>
  </si>
  <si>
    <t>K - WHEEL BASE (MM)</t>
  </si>
  <si>
    <t>DOWN TUBE OD</t>
  </si>
  <si>
    <t>TOP TUBE OD</t>
  </si>
  <si>
    <t>XL</t>
  </si>
  <si>
    <t>brand</t>
  </si>
  <si>
    <t>material</t>
  </si>
  <si>
    <t>yes</t>
  </si>
  <si>
    <t>XS</t>
  </si>
  <si>
    <t>S</t>
  </si>
  <si>
    <t>M</t>
  </si>
  <si>
    <t>L</t>
  </si>
  <si>
    <t>XXL</t>
  </si>
  <si>
    <t>C/C (cm)</t>
  </si>
  <si>
    <t>L (cm)</t>
  </si>
  <si>
    <t>H (cm)</t>
  </si>
  <si>
    <t>A (°)</t>
  </si>
  <si>
    <t>L1 (cm)</t>
  </si>
  <si>
    <t>H1 (cm)</t>
  </si>
  <si>
    <t>A1 (°)</t>
  </si>
  <si>
    <t>Reach (mm)</t>
  </si>
  <si>
    <t>Stack (mm)</t>
  </si>
  <si>
    <t>Wheelbase (mm)</t>
  </si>
  <si>
    <t>seat_tube_cc</t>
  </si>
  <si>
    <t>bikeinsights</t>
  </si>
  <si>
    <t>using the calculator</t>
  </si>
  <si>
    <t>https://www.wilier.com/en/bikes/gravel/rave-slr-id2?color=v11-glitch-black</t>
  </si>
  <si>
    <t>carbon</t>
  </si>
  <si>
    <t>Wilier</t>
  </si>
  <si>
    <t>Rave SLR ID2</t>
  </si>
  <si>
    <t>measure range</t>
  </si>
  <si>
    <t>grand fondo, two stem-handlebar sizes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</si>
  <si>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</si>
  <si>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</si>
  <si>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</si>
  <si>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</si>
  <si>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</si>
  <si>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</si>
  <si>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</si>
  <si>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</si>
  <si>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</si>
  <si>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</si>
  <si>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</si>
  <si>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</si>
  <si>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</si>
  <si>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</si>
  <si>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</si>
  <si>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</si>
  <si>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</si>
  <si>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</si>
  <si>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</si>
  <si>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</si>
  <si>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</si>
  <si>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</si>
  <si>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</si>
  <si>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</si>
  <si>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</si>
  <si>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</si>
  <si>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</si>
  <si>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frame_weight</t>
  </si>
  <si>
    <t>a10:h35</t>
  </si>
  <si>
    <t>no</t>
  </si>
  <si>
    <t>fork suspension</t>
  </si>
  <si>
    <t>stem suspension</t>
  </si>
  <si>
    <t>rear suspension</t>
  </si>
  <si>
    <t>internal storage</t>
  </si>
  <si>
    <t>700c width max</t>
  </si>
  <si>
    <t>ISO ASTM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</si>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</sst>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2"/>
      <color rgb="FFFFFFFF"/>
      <name val="Inherit"/>
    </font>
    <font>
      <sz val="12"/>
      <color rgb="FF000000"/>
      <name val="Inherit"/>
    </font>
    <font>
      <b/>
      <sz val="12"/>
      <color theme="1"/>
      <name val="Inherit"/>
    </font>
    <font>
      <sz val="14"/>
      <color rgb="FF000000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33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9A7C9A5-277C-9A40-AA98-CB2D1AB86D7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38100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8510CE20-87EA-3746-985B-13F6099CA3BB}"/>
            </a:ext>
          </a:extLst>
        </xdr:cNvPr>
        <xdr:cNvSpPr>
          <a:spLocks noChangeAspect="1" noChangeArrowheads="1"/>
        </xdr:cNvSpPr>
      </xdr:nvSpPr>
      <xdr:spPr bwMode="auto">
        <a:xfrm>
          <a:off x="12788900" y="609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88900</xdr:colOff>
      <xdr:row>28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3175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80B8D02-F234-C145-B95D-9A7F4CEED16C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57A44DE3-341D-3B4E-843E-590F4F76BEC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10</xdr:col>
      <xdr:colOff>396240</xdr:colOff>
      <xdr:row>28</xdr:row>
      <xdr:rowOff>114300</xdr:rowOff>
    </xdr:from>
    <xdr:to>
      <xdr:col>18</xdr:col>
      <xdr:colOff>553720</xdr:colOff>
      <xdr:row>45</xdr:row>
      <xdr:rowOff>165100</xdr:rowOff>
    </xdr:to>
    <xdr:pic>
      <xdr:nvPicPr>
        <xdr:cNvPr id="4" name="Picture 3" descr="Geometries| Wilier">
          <a:extLst>
            <a:ext uri="{FF2B5EF4-FFF2-40B4-BE49-F238E27FC236}">
              <a16:creationId xmlns:a16="http://schemas.microsoft.com/office/drawing/2014/main" id="{FD032BDD-72C2-7C8F-FCAE-FA86720C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1440" y="7226300"/>
          <a:ext cx="6990080" cy="436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B59131C2-8AE3-1449-9CB9-AF6231F9173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3E928EA-951A-444E-BC57-31CC7288954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B7EEB53B-7F7E-8949-ADD6-F8AECAD90D6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7EB3E4A-D3CD-2F47-B4ED-4A1A074DC4F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39EAE5FE-85BC-AC45-80DC-2A9527835AA1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1C0843F2-1DE7-0041-B368-46A2646E2E5B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5CD31EA1-AD8F-5843-B1FC-7157BFD8456A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792C6856-1FC5-DF47-842F-B2E14A93E5F9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27B1B779-D1B5-B64C-8DB4-EA6B55D2C700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21186768-D6A1-984B-A6F4-9464F6CE8F31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AD0C693A-059F-7E48-8872-0D67A8482BA8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BCDDE3EA-2A8A-6945-8F4E-FA2EC17593CD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ABBC5E7A-C506-C146-8113-8956C2BEEFC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A8DAD60-4C7A-7B43-879A-4E256EFBE9B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68C6D0B0-4CDE-4940-A863-EB7B0EDDB14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B3CB6B5F-03D9-E842-966E-C1F1789A341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6D952D9-6B6A-1B4F-9DFA-5AEA1C9A2A6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0921FF2A-1BE4-874F-9D76-E7249CBBDB9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</xdr:row>
      <xdr:rowOff>0</xdr:rowOff>
    </xdr:from>
    <xdr:ext cx="304800" cy="3048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CF19E91-B997-AC42-AB20-CDBEB19C6FC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4800" cy="304800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6EC9AA01-E38F-5744-8877-CA381A79290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B4421D79-4F0E-BB4B-8299-0602503710A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H37"/>
  <sheetViews>
    <sheetView tabSelected="1" topLeftCell="Q1" workbookViewId="0">
      <selection activeCell="T7" sqref="T7"/>
    </sheetView>
  </sheetViews>
  <sheetFormatPr baseColWidth="10" defaultRowHeight="20"/>
  <cols>
    <col min="1" max="1" width="29.33203125" style="1" bestFit="1" customWidth="1"/>
    <col min="2" max="2" width="27.6640625" style="1" customWidth="1"/>
    <col min="3" max="3" width="13.1640625" style="1" customWidth="1"/>
    <col min="4" max="5" width="10.83203125" style="1"/>
    <col min="6" max="6" width="12.6640625" style="1" customWidth="1"/>
    <col min="7" max="13" width="10.83203125" style="1"/>
    <col min="14" max="14" width="13.83203125" style="1" customWidth="1"/>
    <col min="15" max="16384" width="10.83203125" style="1"/>
  </cols>
  <sheetData>
    <row r="1" spans="1:34">
      <c r="A1" s="1" t="s">
        <v>38</v>
      </c>
      <c r="B1" s="1" t="s">
        <v>61</v>
      </c>
    </row>
    <row r="2" spans="1:34">
      <c r="A2" s="1" t="s">
        <v>0</v>
      </c>
      <c r="B2" s="1" t="s">
        <v>62</v>
      </c>
    </row>
    <row r="3" spans="1:34">
      <c r="A3" s="1" t="s">
        <v>1</v>
      </c>
      <c r="B3" s="1">
        <v>2025</v>
      </c>
    </row>
    <row r="4" spans="1:34">
      <c r="A4" s="1" t="s">
        <v>2</v>
      </c>
      <c r="B4" s="6">
        <v>45845</v>
      </c>
    </row>
    <row r="5" spans="1:34">
      <c r="A5" s="1" t="s">
        <v>3</v>
      </c>
      <c r="B5" s="1" t="s">
        <v>59</v>
      </c>
    </row>
    <row r="6" spans="1:34" customFormat="1" ht="55" customHeight="1">
      <c r="A6" s="8" t="s">
        <v>39</v>
      </c>
      <c r="B6" s="8" t="s">
        <v>65</v>
      </c>
      <c r="C6" s="8" t="s">
        <v>66</v>
      </c>
      <c r="D6" s="8" t="s">
        <v>99</v>
      </c>
      <c r="E6" s="8" t="s">
        <v>67</v>
      </c>
      <c r="F6" s="8" t="s">
        <v>68</v>
      </c>
      <c r="G6" s="8" t="s">
        <v>95</v>
      </c>
      <c r="H6" s="8" t="s">
        <v>96</v>
      </c>
      <c r="I6" s="8" t="s">
        <v>97</v>
      </c>
      <c r="J6" s="8" t="s">
        <v>69</v>
      </c>
      <c r="K6" s="8" t="s">
        <v>70</v>
      </c>
      <c r="L6" s="8" t="s">
        <v>71</v>
      </c>
      <c r="M6" s="8" t="s">
        <v>72</v>
      </c>
      <c r="N6" s="8" t="s">
        <v>73</v>
      </c>
      <c r="O6" s="8" t="s">
        <v>74</v>
      </c>
      <c r="P6" s="8" t="s">
        <v>75</v>
      </c>
      <c r="Q6" s="8" t="s">
        <v>76</v>
      </c>
      <c r="R6" s="8" t="s">
        <v>77</v>
      </c>
      <c r="S6" s="8" t="s">
        <v>78</v>
      </c>
      <c r="T6" s="8" t="s">
        <v>79</v>
      </c>
      <c r="U6" s="8" t="s">
        <v>80</v>
      </c>
      <c r="V6" s="8" t="s">
        <v>81</v>
      </c>
      <c r="W6" s="8" t="s">
        <v>82</v>
      </c>
      <c r="X6" s="8" t="s">
        <v>83</v>
      </c>
      <c r="Y6" s="8" t="s">
        <v>84</v>
      </c>
      <c r="Z6" s="8" t="s">
        <v>85</v>
      </c>
      <c r="AA6" s="8" t="s">
        <v>86</v>
      </c>
      <c r="AB6" s="10" t="s">
        <v>100</v>
      </c>
      <c r="AC6" s="8" t="s">
        <v>87</v>
      </c>
      <c r="AD6" s="8" t="s">
        <v>88</v>
      </c>
      <c r="AE6" s="8" t="s">
        <v>89</v>
      </c>
      <c r="AF6" s="8" t="s">
        <v>90</v>
      </c>
      <c r="AG6" s="8" t="s">
        <v>91</v>
      </c>
      <c r="AH6" s="9" t="s">
        <v>98</v>
      </c>
    </row>
    <row r="7" spans="1:34">
      <c r="A7" s="1" t="s">
        <v>60</v>
      </c>
      <c r="B7" s="1" t="s">
        <v>40</v>
      </c>
      <c r="C7" s="1">
        <v>0</v>
      </c>
      <c r="D7" s="1">
        <v>53</v>
      </c>
      <c r="F7" s="1" t="s">
        <v>94</v>
      </c>
      <c r="G7" s="1" t="s">
        <v>94</v>
      </c>
      <c r="H7" s="1" t="s">
        <v>94</v>
      </c>
      <c r="I7" s="1" t="s">
        <v>94</v>
      </c>
      <c r="Q7" s="1" t="s">
        <v>94</v>
      </c>
      <c r="R7" s="1">
        <v>50</v>
      </c>
      <c r="T7" s="1" t="s">
        <v>101</v>
      </c>
      <c r="AH7" s="1" t="s">
        <v>94</v>
      </c>
    </row>
    <row r="9" spans="1:34">
      <c r="A9" s="7" t="s">
        <v>63</v>
      </c>
      <c r="B9" s="7" t="s">
        <v>93</v>
      </c>
    </row>
    <row r="10" spans="1:34">
      <c r="A10" s="1" t="s">
        <v>4</v>
      </c>
      <c r="B10" s="1" t="s">
        <v>4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37</v>
      </c>
      <c r="H10" s="7" t="s">
        <v>45</v>
      </c>
      <c r="J10" s="7" t="s">
        <v>41</v>
      </c>
      <c r="K10" s="7" t="s">
        <v>42</v>
      </c>
      <c r="L10" s="7" t="s">
        <v>43</v>
      </c>
      <c r="M10" s="7" t="s">
        <v>44</v>
      </c>
      <c r="N10" s="7" t="s">
        <v>37</v>
      </c>
      <c r="O10" s="7" t="s">
        <v>45</v>
      </c>
      <c r="Q10" s="2" t="s">
        <v>28</v>
      </c>
      <c r="R10" s="2" t="s">
        <v>29</v>
      </c>
      <c r="S10" s="2" t="s">
        <v>30</v>
      </c>
      <c r="T10" s="2" t="s">
        <v>31</v>
      </c>
      <c r="U10" s="2" t="s">
        <v>32</v>
      </c>
      <c r="V10" s="2" t="s">
        <v>33</v>
      </c>
      <c r="W10" s="2" t="s">
        <v>34</v>
      </c>
      <c r="X10" s="2" t="s">
        <v>35</v>
      </c>
      <c r="Y10" s="2" t="s">
        <v>36</v>
      </c>
    </row>
    <row r="11" spans="1:34">
      <c r="A11" s="1" t="s">
        <v>56</v>
      </c>
      <c r="B11" s="7" t="s">
        <v>46</v>
      </c>
      <c r="C11" s="7">
        <f>J11*10</f>
        <v>432</v>
      </c>
      <c r="D11" s="7">
        <f t="shared" ref="D11:F11" si="0">K11*10</f>
        <v>462</v>
      </c>
      <c r="E11" s="7">
        <f t="shared" si="0"/>
        <v>482</v>
      </c>
      <c r="F11" s="7">
        <f t="shared" si="0"/>
        <v>502</v>
      </c>
      <c r="G11" s="7">
        <f>N11*10</f>
        <v>522</v>
      </c>
      <c r="H11" s="7">
        <f>O11*10</f>
        <v>542</v>
      </c>
      <c r="J11" s="7">
        <v>43.2</v>
      </c>
      <c r="K11" s="7">
        <v>46.2</v>
      </c>
      <c r="L11" s="7">
        <v>48.2</v>
      </c>
      <c r="M11" s="7">
        <v>50.2</v>
      </c>
      <c r="N11" s="7">
        <v>52.2</v>
      </c>
      <c r="O11" s="7">
        <v>54.2</v>
      </c>
      <c r="Q11" s="4"/>
      <c r="R11" s="4"/>
      <c r="S11" s="4"/>
      <c r="T11" s="4"/>
      <c r="U11" s="4"/>
      <c r="V11" s="4"/>
      <c r="W11" s="4"/>
      <c r="X11" s="4"/>
      <c r="Y11" s="4"/>
    </row>
    <row r="12" spans="1:34">
      <c r="A12" s="1" t="s">
        <v>6</v>
      </c>
      <c r="B12" s="7" t="s">
        <v>47</v>
      </c>
      <c r="C12" s="7">
        <f t="shared" ref="C12:C16" si="1">J12*10</f>
        <v>516</v>
      </c>
      <c r="D12" s="7">
        <f t="shared" ref="D12:D16" si="2">K12*10</f>
        <v>532</v>
      </c>
      <c r="E12" s="7">
        <f t="shared" ref="E12:E16" si="3">L12*10</f>
        <v>549</v>
      </c>
      <c r="F12" s="7">
        <f t="shared" ref="F12:F16" si="4">M12*10</f>
        <v>566</v>
      </c>
      <c r="G12" s="7">
        <f t="shared" ref="G12:G16" si="5">N12*10</f>
        <v>583</v>
      </c>
      <c r="H12" s="7">
        <f t="shared" ref="H12:H16" si="6">O12*10</f>
        <v>597</v>
      </c>
      <c r="J12" s="7">
        <v>51.6</v>
      </c>
      <c r="K12" s="7">
        <v>53.2</v>
      </c>
      <c r="L12" s="7">
        <v>54.9</v>
      </c>
      <c r="M12" s="7">
        <v>56.6</v>
      </c>
      <c r="N12" s="7">
        <v>58.3</v>
      </c>
      <c r="O12" s="7">
        <v>59.7</v>
      </c>
      <c r="Q12" s="3"/>
      <c r="R12" s="3"/>
      <c r="S12" s="3"/>
      <c r="T12" s="3"/>
      <c r="U12" s="3"/>
      <c r="V12" s="3"/>
      <c r="W12" s="3"/>
      <c r="X12" s="3"/>
      <c r="Y12" s="3"/>
    </row>
    <row r="13" spans="1:34">
      <c r="A13" s="1" t="s">
        <v>5</v>
      </c>
      <c r="B13" s="7" t="s">
        <v>48</v>
      </c>
      <c r="C13" s="7">
        <f t="shared" si="1"/>
        <v>450</v>
      </c>
      <c r="D13" s="7">
        <f t="shared" si="2"/>
        <v>480</v>
      </c>
      <c r="E13" s="7">
        <f t="shared" si="3"/>
        <v>500</v>
      </c>
      <c r="F13" s="7">
        <f t="shared" si="4"/>
        <v>520</v>
      </c>
      <c r="G13" s="7">
        <f t="shared" si="5"/>
        <v>540</v>
      </c>
      <c r="H13" s="7">
        <f t="shared" si="6"/>
        <v>560</v>
      </c>
      <c r="J13" s="7">
        <v>45</v>
      </c>
      <c r="K13" s="7">
        <v>48</v>
      </c>
      <c r="L13" s="7">
        <v>50</v>
      </c>
      <c r="M13" s="7">
        <v>52</v>
      </c>
      <c r="N13" s="7">
        <v>54</v>
      </c>
      <c r="O13" s="7">
        <v>56</v>
      </c>
      <c r="Q13" s="3"/>
      <c r="R13" s="3"/>
      <c r="S13" s="3"/>
      <c r="T13" s="3"/>
      <c r="U13" s="3"/>
      <c r="V13" s="3"/>
      <c r="W13" s="3"/>
      <c r="X13" s="3"/>
      <c r="Y13" s="3"/>
    </row>
    <row r="14" spans="1:34">
      <c r="A14" s="1" t="s">
        <v>11</v>
      </c>
      <c r="B14" s="7" t="s">
        <v>49</v>
      </c>
      <c r="C14" s="7">
        <f>J14</f>
        <v>75.5</v>
      </c>
      <c r="D14" s="7">
        <f t="shared" ref="D14:F14" si="7">K14</f>
        <v>74.7</v>
      </c>
      <c r="E14" s="7">
        <f t="shared" si="7"/>
        <v>74</v>
      </c>
      <c r="F14" s="7">
        <f t="shared" si="7"/>
        <v>73.5</v>
      </c>
      <c r="G14" s="7">
        <f>N14</f>
        <v>73</v>
      </c>
      <c r="H14" s="7">
        <f>O14</f>
        <v>73</v>
      </c>
      <c r="J14" s="7">
        <v>75.5</v>
      </c>
      <c r="K14" s="7">
        <v>74.7</v>
      </c>
      <c r="L14" s="7">
        <v>74</v>
      </c>
      <c r="M14" s="7">
        <v>73.5</v>
      </c>
      <c r="N14" s="7">
        <v>73</v>
      </c>
      <c r="O14" s="7">
        <v>73</v>
      </c>
      <c r="Q14" s="3"/>
      <c r="R14" s="3"/>
      <c r="S14" s="3"/>
      <c r="T14" s="3"/>
      <c r="U14" s="3"/>
      <c r="V14" s="3"/>
      <c r="W14" s="3"/>
      <c r="X14" s="3"/>
      <c r="Y14" s="3"/>
    </row>
    <row r="15" spans="1:34">
      <c r="A15" s="1" t="s">
        <v>13</v>
      </c>
      <c r="B15" s="7" t="s">
        <v>50</v>
      </c>
      <c r="C15" s="7">
        <f t="shared" si="1"/>
        <v>419</v>
      </c>
      <c r="D15" s="7">
        <f t="shared" si="2"/>
        <v>419</v>
      </c>
      <c r="E15" s="7">
        <f t="shared" si="3"/>
        <v>421</v>
      </c>
      <c r="F15" s="7">
        <f t="shared" si="4"/>
        <v>421</v>
      </c>
      <c r="G15" s="7">
        <f t="shared" si="5"/>
        <v>423</v>
      </c>
      <c r="H15" s="7">
        <f t="shared" si="6"/>
        <v>423</v>
      </c>
      <c r="J15" s="7">
        <v>41.9</v>
      </c>
      <c r="K15" s="7">
        <v>41.9</v>
      </c>
      <c r="L15" s="7">
        <v>42.1</v>
      </c>
      <c r="M15" s="7">
        <v>42.1</v>
      </c>
      <c r="N15" s="7">
        <v>42.3</v>
      </c>
      <c r="O15" s="7">
        <v>42.3</v>
      </c>
      <c r="Q15" s="3"/>
      <c r="R15" s="3"/>
      <c r="S15" s="3"/>
      <c r="T15" s="3"/>
      <c r="U15" s="3"/>
      <c r="V15" s="3"/>
      <c r="W15" s="3"/>
      <c r="X15" s="3"/>
      <c r="Y15" s="3"/>
    </row>
    <row r="16" spans="1:34">
      <c r="A16" s="1" t="s">
        <v>9</v>
      </c>
      <c r="B16" s="7" t="s">
        <v>51</v>
      </c>
      <c r="C16" s="7">
        <f t="shared" si="1"/>
        <v>107</v>
      </c>
      <c r="D16" s="7">
        <f t="shared" si="2"/>
        <v>118</v>
      </c>
      <c r="E16" s="7">
        <f t="shared" si="3"/>
        <v>131</v>
      </c>
      <c r="F16" s="7">
        <f t="shared" si="4"/>
        <v>148</v>
      </c>
      <c r="G16" s="7">
        <f t="shared" si="5"/>
        <v>166</v>
      </c>
      <c r="H16" s="7">
        <f t="shared" si="6"/>
        <v>185</v>
      </c>
      <c r="J16" s="7">
        <v>10.7</v>
      </c>
      <c r="K16" s="7">
        <v>11.8</v>
      </c>
      <c r="L16" s="7">
        <v>13.1</v>
      </c>
      <c r="M16" s="7">
        <v>14.8</v>
      </c>
      <c r="N16" s="7">
        <v>16.600000000000001</v>
      </c>
      <c r="O16" s="7">
        <v>18.5</v>
      </c>
      <c r="Q16"/>
      <c r="R16"/>
      <c r="S16"/>
      <c r="T16"/>
      <c r="U16"/>
      <c r="V16"/>
      <c r="W16"/>
      <c r="X16"/>
      <c r="Y16"/>
    </row>
    <row r="17" spans="1:17">
      <c r="A17" s="1" t="s">
        <v>10</v>
      </c>
      <c r="B17" s="7" t="s">
        <v>52</v>
      </c>
      <c r="C17" s="7">
        <v>70</v>
      </c>
      <c r="D17" s="7">
        <v>70</v>
      </c>
      <c r="E17" s="7">
        <v>70.8</v>
      </c>
      <c r="F17" s="7">
        <v>71.2</v>
      </c>
      <c r="G17" s="7">
        <v>71.599999999999994</v>
      </c>
      <c r="H17" s="7">
        <v>72</v>
      </c>
      <c r="J17" s="7">
        <v>69.2</v>
      </c>
      <c r="K17" s="7">
        <v>70</v>
      </c>
      <c r="L17" s="7">
        <v>70.8</v>
      </c>
      <c r="M17" s="7">
        <v>71.2</v>
      </c>
      <c r="N17" s="7">
        <v>71.599999999999994</v>
      </c>
      <c r="O17" s="7">
        <v>72</v>
      </c>
    </row>
    <row r="18" spans="1:17">
      <c r="A18" s="1" t="s">
        <v>7</v>
      </c>
      <c r="B18" s="7" t="s">
        <v>53</v>
      </c>
      <c r="C18" s="7">
        <v>375</v>
      </c>
      <c r="D18" s="7">
        <v>381</v>
      </c>
      <c r="E18" s="7">
        <v>387</v>
      </c>
      <c r="F18" s="7">
        <v>393</v>
      </c>
      <c r="G18" s="7">
        <v>400</v>
      </c>
      <c r="H18" s="7">
        <v>408</v>
      </c>
      <c r="J18" s="7">
        <v>375</v>
      </c>
      <c r="K18" s="7">
        <v>381</v>
      </c>
      <c r="L18" s="7">
        <v>387</v>
      </c>
      <c r="M18" s="7">
        <v>393</v>
      </c>
      <c r="N18" s="7">
        <v>400</v>
      </c>
      <c r="O18" s="7">
        <v>408</v>
      </c>
    </row>
    <row r="19" spans="1:17">
      <c r="A19" s="1" t="s">
        <v>8</v>
      </c>
      <c r="B19" s="7" t="s">
        <v>54</v>
      </c>
      <c r="C19" s="7">
        <v>532</v>
      </c>
      <c r="D19" s="7">
        <v>546</v>
      </c>
      <c r="E19" s="7">
        <v>561</v>
      </c>
      <c r="F19" s="7">
        <v>579</v>
      </c>
      <c r="G19" s="7">
        <v>597</v>
      </c>
      <c r="H19" s="7">
        <v>617</v>
      </c>
      <c r="J19" s="7">
        <v>532</v>
      </c>
      <c r="K19" s="7">
        <v>546</v>
      </c>
      <c r="L19" s="7">
        <v>561</v>
      </c>
      <c r="M19" s="7">
        <v>579</v>
      </c>
      <c r="N19" s="7">
        <v>597</v>
      </c>
      <c r="O19" s="7">
        <v>617</v>
      </c>
      <c r="Q19"/>
    </row>
    <row r="20" spans="1:17">
      <c r="A20" s="1" t="s">
        <v>14</v>
      </c>
      <c r="B20" s="7" t="s">
        <v>55</v>
      </c>
      <c r="C20" s="7">
        <v>1014</v>
      </c>
      <c r="D20" s="7">
        <v>1017</v>
      </c>
      <c r="E20" s="7">
        <v>1022</v>
      </c>
      <c r="F20" s="7">
        <v>1031</v>
      </c>
      <c r="G20" s="7">
        <v>1042</v>
      </c>
      <c r="H20" s="7">
        <v>1052</v>
      </c>
      <c r="J20" s="7">
        <v>1014</v>
      </c>
      <c r="K20" s="7">
        <v>1017</v>
      </c>
      <c r="L20" s="7">
        <v>1022</v>
      </c>
      <c r="M20" s="7">
        <v>1031</v>
      </c>
      <c r="N20" s="7">
        <v>1042</v>
      </c>
      <c r="O20" s="7">
        <v>1052</v>
      </c>
      <c r="Q20"/>
    </row>
    <row r="21" spans="1:17">
      <c r="A21" s="1" t="s">
        <v>15</v>
      </c>
      <c r="B21" s="1" t="s">
        <v>15</v>
      </c>
      <c r="C21" s="7">
        <v>75</v>
      </c>
      <c r="D21" s="7">
        <v>75</v>
      </c>
      <c r="E21" s="7">
        <v>75</v>
      </c>
      <c r="F21" s="7">
        <v>75</v>
      </c>
      <c r="G21" s="7">
        <v>75</v>
      </c>
      <c r="H21" s="7">
        <v>75</v>
      </c>
      <c r="I21" s="1" t="s">
        <v>57</v>
      </c>
      <c r="Q21"/>
    </row>
    <row r="22" spans="1:17">
      <c r="A22" s="1" t="s">
        <v>17</v>
      </c>
      <c r="B22" s="1" t="s">
        <v>17</v>
      </c>
      <c r="C22" s="7">
        <v>50</v>
      </c>
      <c r="D22" s="7">
        <v>50</v>
      </c>
      <c r="E22" s="7">
        <v>50</v>
      </c>
      <c r="F22" s="7">
        <v>50</v>
      </c>
      <c r="G22" s="7">
        <v>50</v>
      </c>
      <c r="H22" s="7">
        <v>50</v>
      </c>
      <c r="I22" s="1" t="s">
        <v>57</v>
      </c>
      <c r="Q22"/>
    </row>
    <row r="23" spans="1:17">
      <c r="A23" s="1" t="s">
        <v>12</v>
      </c>
      <c r="B23" s="1" t="s">
        <v>12</v>
      </c>
      <c r="C23" s="7"/>
      <c r="D23" s="7"/>
      <c r="E23" s="7"/>
      <c r="F23" s="7"/>
      <c r="Q23"/>
    </row>
    <row r="24" spans="1:17">
      <c r="A24" s="1" t="s">
        <v>16</v>
      </c>
      <c r="B24" s="1" t="s">
        <v>16</v>
      </c>
      <c r="Q24"/>
    </row>
    <row r="25" spans="1:17">
      <c r="A25" s="1" t="s">
        <v>18</v>
      </c>
      <c r="B25" s="1" t="s">
        <v>18</v>
      </c>
      <c r="Q25"/>
    </row>
    <row r="26" spans="1:17">
      <c r="A26" s="1" t="s">
        <v>19</v>
      </c>
      <c r="B26" s="1" t="s">
        <v>19</v>
      </c>
      <c r="Q26"/>
    </row>
    <row r="27" spans="1:17">
      <c r="A27" s="1" t="s">
        <v>20</v>
      </c>
      <c r="B27" s="1" t="s">
        <v>20</v>
      </c>
      <c r="C27" s="1">
        <v>88</v>
      </c>
      <c r="D27" s="1">
        <v>88</v>
      </c>
      <c r="E27" s="1">
        <v>88</v>
      </c>
      <c r="F27" s="1">
        <v>114</v>
      </c>
      <c r="G27" s="1">
        <v>114</v>
      </c>
      <c r="H27" s="1">
        <v>114</v>
      </c>
      <c r="I27" s="1" t="s">
        <v>64</v>
      </c>
      <c r="Q27"/>
    </row>
    <row r="28" spans="1:17">
      <c r="A28" s="1" t="s">
        <v>21</v>
      </c>
      <c r="B28" s="1" t="s">
        <v>21</v>
      </c>
      <c r="Q28"/>
    </row>
    <row r="29" spans="1:17">
      <c r="A29" s="1" t="s">
        <v>22</v>
      </c>
      <c r="B29" s="1" t="s">
        <v>22</v>
      </c>
      <c r="Q29"/>
    </row>
    <row r="30" spans="1:17">
      <c r="A30" s="1" t="s">
        <v>92</v>
      </c>
      <c r="E30" s="1">
        <v>980</v>
      </c>
      <c r="Q30"/>
    </row>
    <row r="31" spans="1:17">
      <c r="A31" s="1" t="s">
        <v>23</v>
      </c>
      <c r="B31" s="1" t="s">
        <v>23</v>
      </c>
      <c r="C31" s="1">
        <v>700</v>
      </c>
      <c r="D31" s="1">
        <v>700</v>
      </c>
      <c r="E31" s="1">
        <v>700</v>
      </c>
      <c r="F31" s="1">
        <v>700</v>
      </c>
      <c r="G31" s="1">
        <v>700</v>
      </c>
      <c r="H31" s="1">
        <v>700</v>
      </c>
      <c r="Q31"/>
    </row>
    <row r="32" spans="1:17">
      <c r="A32" s="1" t="s">
        <v>24</v>
      </c>
      <c r="B32" s="1" t="s">
        <v>24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  <c r="H32" s="1">
        <v>50</v>
      </c>
      <c r="Q32"/>
    </row>
    <row r="33" spans="1:9">
      <c r="A33" s="1" t="s">
        <v>25</v>
      </c>
      <c r="B33" s="1" t="s">
        <v>25</v>
      </c>
      <c r="C33" s="1">
        <v>52</v>
      </c>
      <c r="D33" s="1">
        <v>52</v>
      </c>
      <c r="E33" s="1">
        <v>52</v>
      </c>
      <c r="F33" s="1">
        <v>52</v>
      </c>
      <c r="G33" s="1">
        <v>52</v>
      </c>
      <c r="H33" s="1">
        <v>52</v>
      </c>
    </row>
    <row r="34" spans="1:9">
      <c r="A34" s="1" t="s">
        <v>26</v>
      </c>
      <c r="B34" s="1" t="s">
        <v>26</v>
      </c>
      <c r="C34" s="5">
        <f>C36</f>
        <v>150</v>
      </c>
      <c r="D34" s="5">
        <f>C35</f>
        <v>164.5</v>
      </c>
      <c r="E34" s="5">
        <f t="shared" ref="E34:H34" si="8">D35</f>
        <v>171.5</v>
      </c>
      <c r="F34" s="5">
        <f t="shared" si="8"/>
        <v>178.5</v>
      </c>
      <c r="G34" s="5">
        <f>F35</f>
        <v>185.5</v>
      </c>
      <c r="H34" s="5">
        <f t="shared" si="8"/>
        <v>191.5</v>
      </c>
    </row>
    <row r="35" spans="1:9">
      <c r="A35" s="1" t="s">
        <v>27</v>
      </c>
      <c r="B35" s="1" t="s">
        <v>27</v>
      </c>
      <c r="C35" s="5">
        <f>AVERAGE(C37,D36)</f>
        <v>164.5</v>
      </c>
      <c r="D35" s="5">
        <f>AVERAGE(D37,E36)</f>
        <v>171.5</v>
      </c>
      <c r="E35" s="5">
        <f>AVERAGE(E37,F36)</f>
        <v>178.5</v>
      </c>
      <c r="F35" s="5">
        <f>AVERAGE(F37,G36)</f>
        <v>185.5</v>
      </c>
      <c r="G35" s="5">
        <f>AVERAGE(G37,H36)</f>
        <v>191.5</v>
      </c>
      <c r="H35" s="5">
        <f>H37</f>
        <v>200</v>
      </c>
    </row>
    <row r="36" spans="1:9">
      <c r="C36" s="1">
        <v>150</v>
      </c>
      <c r="D36" s="1">
        <v>165</v>
      </c>
      <c r="E36" s="1">
        <v>172</v>
      </c>
      <c r="F36" s="1">
        <v>179</v>
      </c>
      <c r="G36" s="1">
        <v>186</v>
      </c>
      <c r="H36" s="1">
        <v>192</v>
      </c>
      <c r="I36" s="1" t="s">
        <v>58</v>
      </c>
    </row>
    <row r="37" spans="1:9">
      <c r="C37" s="1">
        <v>164</v>
      </c>
      <c r="D37" s="1">
        <f>E36-1</f>
        <v>171</v>
      </c>
      <c r="E37" s="1">
        <f t="shared" ref="E37:G37" si="9">F36-1</f>
        <v>178</v>
      </c>
      <c r="F37" s="1">
        <f>G36-1</f>
        <v>185</v>
      </c>
      <c r="G37" s="1">
        <f t="shared" si="9"/>
        <v>191</v>
      </c>
      <c r="H37" s="1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Wilier Rave SLR ID2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2025-07-23T00:46:20Z</dcterms:modified>
</cp:coreProperties>
</file>