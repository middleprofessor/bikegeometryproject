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C9E15C9-999B-3D40-89C4-146E9E10E3F3}" xr6:coauthVersionLast="47" xr6:coauthVersionMax="47" xr10:uidLastSave="{00000000-0000-0000-0000-000000000000}"/>
  <bookViews>
    <workbookView xWindow="5900" yWindow="1060" windowWidth="28800" windowHeight="17500" xr2:uid="{ABFFBBBD-2C2A-DA41-8959-3BF392F3D8AC}"/>
  </bookViews>
  <sheets>
    <sheet name="Cervelo Aspero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G23" i="1"/>
  <c r="H23" i="1"/>
  <c r="E23" i="1"/>
  <c r="D23" i="1"/>
  <c r="C23" i="1"/>
  <c r="C14" i="1"/>
  <c r="D22" i="1"/>
  <c r="E22" i="1"/>
  <c r="F22" i="1"/>
  <c r="G22" i="1"/>
  <c r="H22" i="1"/>
  <c r="C22" i="1"/>
  <c r="D14" i="1"/>
  <c r="E14" i="1"/>
  <c r="F14" i="1"/>
  <c r="G14" i="1"/>
  <c r="H14" i="1"/>
  <c r="D13" i="1"/>
  <c r="E13" i="1"/>
  <c r="F13" i="1"/>
  <c r="G13" i="1"/>
  <c r="H13" i="1"/>
  <c r="C13" i="1"/>
  <c r="C18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4" i="1"/>
  <c r="D24" i="1"/>
  <c r="E24" i="1"/>
  <c r="F24" i="1"/>
  <c r="G24" i="1"/>
  <c r="H24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</calcChain>
</file>

<file path=xl/sharedStrings.xml><?xml version="1.0" encoding="utf-8"?>
<sst xmlns="http://schemas.openxmlformats.org/spreadsheetml/2006/main" count="130" uniqueCount="121">
  <si>
    <t>model</t>
  </si>
  <si>
    <t>model year</t>
  </si>
  <si>
    <t>input date</t>
  </si>
  <si>
    <t>URL</t>
  </si>
  <si>
    <t>frame_size</t>
  </si>
  <si>
    <t>seat_tube_length</t>
  </si>
  <si>
    <t>top_tube_effective_length</t>
  </si>
  <si>
    <t>reach</t>
  </si>
  <si>
    <t>stack</t>
  </si>
  <si>
    <t>head_tube_length</t>
  </si>
  <si>
    <t>head_tube_angle</t>
  </si>
  <si>
    <t>seat_tube_angle</t>
  </si>
  <si>
    <t>front_center</t>
  </si>
  <si>
    <t>chainstay_length</t>
  </si>
  <si>
    <t>wheelbase</t>
  </si>
  <si>
    <t>bottom_bracket_drop</t>
  </si>
  <si>
    <t>axle_crown</t>
  </si>
  <si>
    <t>fork_offset_rake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</si>
  <si>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</si>
  <si>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</si>
  <si>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</si>
  <si>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</si>
  <si>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</si>
  <si>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</si>
  <si>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</si>
  <si>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</si>
  <si>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</si>
  <si>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</si>
  <si>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E - BB DROP (MM)</t>
  </si>
  <si>
    <t>F - *SEAT ANGLE°</t>
  </si>
  <si>
    <t>G - *HEAD ANGLE°</t>
  </si>
  <si>
    <t>H - FORK OFFSET</t>
  </si>
  <si>
    <t>I - STACK (MM)</t>
  </si>
  <si>
    <t>J - REACH (MM)</t>
  </si>
  <si>
    <t>K - WHEEL BASE (MM)</t>
  </si>
  <si>
    <t>DOWN TUBE OD</t>
  </si>
  <si>
    <t>TOP TUBE OD</t>
  </si>
  <si>
    <t>brand</t>
  </si>
  <si>
    <t>material</t>
  </si>
  <si>
    <t>yes</t>
  </si>
  <si>
    <t>Cervelo</t>
  </si>
  <si>
    <t>https://www.cervelo.com/en-US/bikes/aspero</t>
  </si>
  <si>
    <t>carbon</t>
  </si>
  <si>
    <t>Reach | mm</t>
  </si>
  <si>
    <t>Stack | mm</t>
  </si>
  <si>
    <t>Head Tube Angle</t>
  </si>
  <si>
    <t>Front Center | mm</t>
  </si>
  <si>
    <t>577/582</t>
  </si>
  <si>
    <t>587/592</t>
  </si>
  <si>
    <t>597/602</t>
  </si>
  <si>
    <t>614/619</t>
  </si>
  <si>
    <t>631/637</t>
  </si>
  <si>
    <t>648/654</t>
  </si>
  <si>
    <t>Bottom Bracket Drop | mm</t>
  </si>
  <si>
    <t>Head Tube Length | mm</t>
  </si>
  <si>
    <t>Top Tube Length | mm</t>
  </si>
  <si>
    <t>Seat Tube Angle</t>
  </si>
  <si>
    <t>Standover Height | mm</t>
  </si>
  <si>
    <t>Trail | mm</t>
  </si>
  <si>
    <t>Wheel Size</t>
  </si>
  <si>
    <t>700C</t>
  </si>
  <si>
    <t>Fork Offset | mm</t>
  </si>
  <si>
    <t>52/57</t>
  </si>
  <si>
    <t>49/54</t>
  </si>
  <si>
    <t>46/51</t>
  </si>
  <si>
    <t>Wheelbase | mm</t>
  </si>
  <si>
    <t>990/995</t>
  </si>
  <si>
    <t>999/1004</t>
  </si>
  <si>
    <t>1010/1015</t>
  </si>
  <si>
    <t>1028/1033</t>
  </si>
  <si>
    <t>1046/1051</t>
  </si>
  <si>
    <t>1063/1068</t>
  </si>
  <si>
    <t>Chainstay Length | mm</t>
  </si>
  <si>
    <t>Frame Size</t>
  </si>
  <si>
    <t>measure range</t>
  </si>
  <si>
    <t>Aspero</t>
  </si>
  <si>
    <t>short offset</t>
  </si>
  <si>
    <t>Size 48 - 80mm</t>
  </si>
  <si>
    <t>Size 51 - 80mm</t>
  </si>
  <si>
    <t>Size 54 - 90mm</t>
  </si>
  <si>
    <t>Size 56 - 90mm</t>
  </si>
  <si>
    <t>Size 58 - 100mm</t>
  </si>
  <si>
    <t>Size 61 - 100mm</t>
  </si>
  <si>
    <t>Stem sizing</t>
  </si>
  <si>
    <t>udh</t>
  </si>
  <si>
    <t>dropout</t>
  </si>
  <si>
    <t>700c width max</t>
  </si>
  <si>
    <t>650B tire max</t>
  </si>
  <si>
    <t>suspension corrected</t>
  </si>
  <si>
    <t>fork suspension</t>
  </si>
  <si>
    <t>stem suspension</t>
  </si>
  <si>
    <t>rear suspension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</si>
  <si>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</si>
  <si>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</si>
  <si>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</si>
  <si>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</si>
  <si>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</si>
  <si>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</si>
  <si>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</si>
  <si>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</si>
  <si>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</si>
  <si>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</si>
  <si>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</si>
  <si>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</si>
  <si>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</si>
  <si>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</si>
  <si>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</si>
  <si>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</si>
  <si>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</si>
  <si>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</si>
  <si>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ISO ASTM</t>
  </si>
  <si>
    <t>rotor max front</t>
  </si>
  <si>
    <t>rotor max rear</t>
  </si>
  <si>
    <t>frameset</t>
  </si>
  <si>
    <t>base build</t>
  </si>
  <si>
    <t>currency</t>
  </si>
  <si>
    <t>internal storage</t>
  </si>
  <si>
    <t>frame_weight</t>
  </si>
  <si>
    <t>threaded</t>
  </si>
  <si>
    <t>us</t>
  </si>
  <si>
    <t>a10:h34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</si>
</sst>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sz val="14"/>
      <color theme="1"/>
      <name val="Futura Medium"/>
    </font>
    <font>
      <b/>
      <sz val="12"/>
      <color rgb="FFFFFFFF"/>
      <name val="Inherit"/>
    </font>
    <font>
      <sz val="12"/>
      <color rgb="FF000000"/>
      <name val="Inherit"/>
    </font>
    <font>
      <b/>
      <sz val="12"/>
      <color theme="1"/>
      <name val="Inherit"/>
    </font>
    <font>
      <b/>
      <sz val="14"/>
      <color theme="1"/>
      <name val="Futura Medium"/>
    </font>
    <font>
      <sz val="14"/>
      <color rgb="FF050505"/>
      <name val="Futura Medium"/>
    </font>
    <font>
      <sz val="16"/>
      <color theme="1"/>
      <name val="Univers"/>
    </font>
    <font>
      <sz val="14"/>
      <color theme="1"/>
      <name val="Futura"/>
      <family val="2"/>
    </font>
    <font>
      <sz val="14"/>
      <color rgb="FF000000"/>
      <name val="Futura Medium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5" fontId="1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25400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38DC2D-E858-8C44-BCBB-D793340C9A17}"/>
            </a:ext>
          </a:extLst>
        </xdr:cNvPr>
        <xdr:cNvSpPr>
          <a:spLocks noChangeAspect="1" noChangeArrowheads="1"/>
        </xdr:cNvSpPr>
      </xdr:nvSpPr>
      <xdr:spPr bwMode="auto">
        <a:xfrm>
          <a:off x="22352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304800</xdr:colOff>
      <xdr:row>31</xdr:row>
      <xdr:rowOff>25400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7DF1B68-5743-5C42-AE7C-EAE776B227D6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7818D9B2-83FF-3F41-9103-FB43F1544CEE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1072652A-5DDE-A54B-90E9-CC26FB9B856F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30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545F601-5ED2-6D42-9AE6-16E19AFD0D78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04800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88D79FE7-8A0E-FD41-A37E-C21D1ADBA6A0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304800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35AC469-7452-7949-AFBB-80F69ADA9BDC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88900</xdr:colOff>
      <xdr:row>28</xdr:row>
      <xdr:rowOff>114300</xdr:rowOff>
    </xdr:from>
    <xdr:ext cx="304800" cy="317500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2050D579-6446-F849-BEE4-FFC905AC63CB}"/>
            </a:ext>
          </a:extLst>
        </xdr:cNvPr>
        <xdr:cNvSpPr>
          <a:spLocks noChangeAspect="1" noChangeArrowheads="1"/>
        </xdr:cNvSpPr>
      </xdr:nvSpPr>
      <xdr:spPr bwMode="auto">
        <a:xfrm>
          <a:off x="9575800" y="62103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1750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C8362FDA-0932-B14E-944A-B44AF65D7550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17500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BE47742-2C1F-F54D-AC9E-3AADD3ABAD25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30</xdr:row>
      <xdr:rowOff>0</xdr:rowOff>
    </xdr:from>
    <xdr:ext cx="304800" cy="31750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6ECD7A36-9E4D-0E4B-A2F4-809DD25A0111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1750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E0549CBF-CB10-B54B-9403-170FF3CC3D1F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317500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612A7929-3B56-FE42-8899-1474AA71AFA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12700</xdr:colOff>
      <xdr:row>28</xdr:row>
      <xdr:rowOff>165100</xdr:rowOff>
    </xdr:from>
    <xdr:ext cx="304800" cy="304800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90118349-5BAA-D946-AD1B-E67D8BD82827}"/>
            </a:ext>
          </a:extLst>
        </xdr:cNvPr>
        <xdr:cNvSpPr>
          <a:spLocks noChangeAspect="1" noChangeArrowheads="1"/>
        </xdr:cNvSpPr>
      </xdr:nvSpPr>
      <xdr:spPr bwMode="auto">
        <a:xfrm>
          <a:off x="10248900" y="70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3792797B-DDFA-4F4A-B804-D52B907AFB56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F3EB6EED-D2CE-684E-B486-D611D1FFE066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31</xdr:row>
      <xdr:rowOff>50800</xdr:rowOff>
    </xdr:from>
    <xdr:ext cx="304800" cy="304800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B901711F-16F5-0B47-AC09-EEB13ECFFE9F}"/>
            </a:ext>
          </a:extLst>
        </xdr:cNvPr>
        <xdr:cNvSpPr>
          <a:spLocks noChangeAspect="1" noChangeArrowheads="1"/>
        </xdr:cNvSpPr>
      </xdr:nvSpPr>
      <xdr:spPr bwMode="auto">
        <a:xfrm>
          <a:off x="12712700" y="74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04800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247A2D5E-CADC-7442-9D45-311F8EFA59D5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304800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1BEBBE93-EDB2-844B-91C3-08F04644C9E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429254E4-EA6B-914F-947C-0BC8113992D0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2865921F-66BE-7845-A9F2-215DBDD79B9D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4658584C-381D-5044-AE4E-1929155FB38D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204F244B-2581-F744-BCAC-C2896FA4C8EC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304800" cy="304800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D8B0BB83-3AFD-B540-AE65-841DEB2F4246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E0B37F4C-F5CE-ED41-82C5-389B21096559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4FCB5D10-4672-7243-9D0A-07705234BED1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AF123A8D-0A31-1140-91D2-2AFEB31D57E9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341C746C-0C84-BF4C-841E-C5CD8D402789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304800" cy="304800"/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BE0AAB82-FC40-7549-B727-60B837FFB35E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DE37-3828-6849-A98A-EC05E320BDEE}">
  <dimension ref="A1:AH35"/>
  <sheetViews>
    <sheetView tabSelected="1" workbookViewId="0">
      <selection activeCell="B9" sqref="B9"/>
    </sheetView>
  </sheetViews>
  <sheetFormatPr baseColWidth="10" defaultRowHeight="20"/>
  <cols>
    <col min="1" max="1" width="29.33203125" style="1" bestFit="1" customWidth="1"/>
    <col min="2" max="2" width="27.6640625" style="1" customWidth="1"/>
    <col min="3" max="3" width="13.6640625" style="1" customWidth="1"/>
    <col min="4" max="9" width="15" style="1" customWidth="1"/>
    <col min="10" max="16" width="10.83203125" style="1"/>
    <col min="17" max="17" width="13.33203125" style="1" customWidth="1"/>
    <col min="18" max="16384" width="10.83203125" style="1"/>
  </cols>
  <sheetData>
    <row r="1" spans="1:34">
      <c r="A1" s="1" t="s">
        <v>37</v>
      </c>
      <c r="B1" s="1" t="s">
        <v>40</v>
      </c>
    </row>
    <row r="2" spans="1:34">
      <c r="A2" s="1" t="s">
        <v>0</v>
      </c>
      <c r="B2" s="1" t="s">
        <v>75</v>
      </c>
      <c r="C2" s="1" t="s">
        <v>76</v>
      </c>
    </row>
    <row r="3" spans="1:34">
      <c r="A3" s="1" t="s">
        <v>1</v>
      </c>
      <c r="B3" s="1">
        <v>2024</v>
      </c>
    </row>
    <row r="4" spans="1:34">
      <c r="A4" s="1" t="s">
        <v>2</v>
      </c>
      <c r="B4" s="5">
        <v>45845</v>
      </c>
    </row>
    <row r="5" spans="1:34">
      <c r="A5" s="1" t="s">
        <v>3</v>
      </c>
      <c r="B5" s="1" t="s">
        <v>41</v>
      </c>
    </row>
    <row r="6" spans="1:34" s="9" customFormat="1" ht="44" customHeight="1">
      <c r="A6" s="9" t="s">
        <v>38</v>
      </c>
      <c r="B6" s="9" t="s">
        <v>84</v>
      </c>
      <c r="C6" s="9" t="s">
        <v>85</v>
      </c>
      <c r="D6" s="9" t="s">
        <v>86</v>
      </c>
      <c r="E6" s="9" t="s">
        <v>87</v>
      </c>
      <c r="F6" s="9" t="s">
        <v>88</v>
      </c>
      <c r="G6" s="9" t="s">
        <v>89</v>
      </c>
      <c r="H6" s="9" t="s">
        <v>90</v>
      </c>
      <c r="I6" s="9" t="s">
        <v>91</v>
      </c>
      <c r="J6" s="9" t="s">
        <v>92</v>
      </c>
      <c r="K6" s="9" t="s">
        <v>93</v>
      </c>
      <c r="L6" s="9" t="s">
        <v>94</v>
      </c>
      <c r="M6" s="9" t="s">
        <v>95</v>
      </c>
      <c r="N6" s="9" t="s">
        <v>96</v>
      </c>
      <c r="O6" s="9" t="s">
        <v>97</v>
      </c>
      <c r="P6" s="9" t="s">
        <v>98</v>
      </c>
      <c r="Q6" s="9" t="s">
        <v>99</v>
      </c>
      <c r="R6" s="9" t="s">
        <v>100</v>
      </c>
      <c r="S6" s="9" t="s">
        <v>101</v>
      </c>
      <c r="T6" s="9" t="s">
        <v>102</v>
      </c>
      <c r="U6" s="9" t="s">
        <v>103</v>
      </c>
      <c r="V6" s="9" t="s">
        <v>104</v>
      </c>
      <c r="W6" s="9" t="s">
        <v>105</v>
      </c>
      <c r="X6" s="9" t="s">
        <v>106</v>
      </c>
      <c r="Y6" s="9" t="s">
        <v>107</v>
      </c>
      <c r="Z6" s="9" t="s">
        <v>108</v>
      </c>
      <c r="AA6" s="9" t="s">
        <v>109</v>
      </c>
      <c r="AB6" s="10" t="s">
        <v>110</v>
      </c>
      <c r="AC6" s="9" t="s">
        <v>111</v>
      </c>
      <c r="AD6" s="9" t="s">
        <v>112</v>
      </c>
      <c r="AE6" s="9" t="s">
        <v>113</v>
      </c>
      <c r="AF6" s="9" t="s">
        <v>114</v>
      </c>
      <c r="AG6" s="9" t="s">
        <v>115</v>
      </c>
      <c r="AH6" s="11" t="s">
        <v>116</v>
      </c>
    </row>
    <row r="7" spans="1:34">
      <c r="A7" s="1" t="s">
        <v>42</v>
      </c>
      <c r="B7" s="1" t="s">
        <v>39</v>
      </c>
      <c r="D7" s="1">
        <v>45</v>
      </c>
      <c r="E7" s="1">
        <v>47</v>
      </c>
      <c r="Q7" s="1" t="s">
        <v>39</v>
      </c>
      <c r="T7" s="1" t="s">
        <v>118</v>
      </c>
      <c r="AF7" s="1">
        <v>3400</v>
      </c>
      <c r="AG7" s="1" t="s">
        <v>119</v>
      </c>
    </row>
    <row r="9" spans="1:34">
      <c r="A9" s="1" t="s">
        <v>74</v>
      </c>
      <c r="B9" s="1" t="s">
        <v>120</v>
      </c>
    </row>
    <row r="10" spans="1:34">
      <c r="A10" s="1" t="s">
        <v>4</v>
      </c>
      <c r="B10" s="6" t="s">
        <v>73</v>
      </c>
      <c r="C10" s="1">
        <f t="shared" ref="C10:H24" si="0">K10</f>
        <v>48</v>
      </c>
      <c r="D10" s="1">
        <f t="shared" si="0"/>
        <v>51</v>
      </c>
      <c r="E10" s="1">
        <f t="shared" si="0"/>
        <v>54</v>
      </c>
      <c r="F10" s="1">
        <f t="shared" si="0"/>
        <v>56</v>
      </c>
      <c r="G10" s="1">
        <f t="shared" si="0"/>
        <v>58</v>
      </c>
      <c r="H10" s="1">
        <f t="shared" si="0"/>
        <v>61</v>
      </c>
      <c r="K10" s="1">
        <v>48</v>
      </c>
      <c r="L10" s="1">
        <v>51</v>
      </c>
      <c r="M10" s="1">
        <v>54</v>
      </c>
      <c r="N10" s="1">
        <v>56</v>
      </c>
      <c r="O10" s="1">
        <v>58</v>
      </c>
      <c r="P10" s="1">
        <v>61</v>
      </c>
      <c r="S10" s="2" t="s">
        <v>28</v>
      </c>
      <c r="T10" s="2" t="s">
        <v>29</v>
      </c>
      <c r="U10" s="2" t="s">
        <v>30</v>
      </c>
      <c r="V10" s="2" t="s">
        <v>31</v>
      </c>
      <c r="W10" s="2" t="s">
        <v>32</v>
      </c>
      <c r="X10" s="2" t="s">
        <v>33</v>
      </c>
      <c r="Y10" s="2" t="s">
        <v>34</v>
      </c>
      <c r="Z10" s="2" t="s">
        <v>35</v>
      </c>
      <c r="AA10" s="2" t="s">
        <v>36</v>
      </c>
    </row>
    <row r="11" spans="1:34">
      <c r="A11" s="1" t="s">
        <v>7</v>
      </c>
      <c r="B11" s="6" t="str">
        <f t="shared" ref="B11:B24" si="1">J11</f>
        <v>Reach | mm</v>
      </c>
      <c r="C11" s="1">
        <f t="shared" si="0"/>
        <v>370</v>
      </c>
      <c r="D11" s="1">
        <f t="shared" si="0"/>
        <v>379</v>
      </c>
      <c r="E11" s="1">
        <f t="shared" si="0"/>
        <v>388</v>
      </c>
      <c r="F11" s="1">
        <f t="shared" si="0"/>
        <v>397</v>
      </c>
      <c r="G11" s="1">
        <f t="shared" si="0"/>
        <v>406</v>
      </c>
      <c r="H11" s="1">
        <f t="shared" si="0"/>
        <v>415</v>
      </c>
      <c r="J11" s="7" t="s">
        <v>43</v>
      </c>
      <c r="K11" s="1">
        <v>370</v>
      </c>
      <c r="L11" s="1">
        <v>379</v>
      </c>
      <c r="M11" s="1">
        <v>388</v>
      </c>
      <c r="N11" s="1">
        <v>397</v>
      </c>
      <c r="O11" s="1">
        <v>406</v>
      </c>
      <c r="P11" s="1">
        <v>415</v>
      </c>
      <c r="S11" s="4"/>
      <c r="T11" s="4"/>
      <c r="U11" s="4"/>
      <c r="V11" s="4"/>
      <c r="W11" s="4"/>
      <c r="X11" s="4"/>
      <c r="Y11" s="4"/>
      <c r="Z11" s="4"/>
      <c r="AA11" s="4"/>
    </row>
    <row r="12" spans="1:34">
      <c r="A12" s="1" t="s">
        <v>8</v>
      </c>
      <c r="B12" s="6" t="str">
        <f t="shared" si="1"/>
        <v>Stack | mm</v>
      </c>
      <c r="C12" s="1">
        <f t="shared" si="0"/>
        <v>505</v>
      </c>
      <c r="D12" s="1">
        <f t="shared" si="0"/>
        <v>530</v>
      </c>
      <c r="E12" s="1">
        <f t="shared" si="0"/>
        <v>555</v>
      </c>
      <c r="F12" s="1">
        <f t="shared" si="0"/>
        <v>580</v>
      </c>
      <c r="G12" s="1">
        <f t="shared" si="0"/>
        <v>605</v>
      </c>
      <c r="H12" s="1">
        <f t="shared" si="0"/>
        <v>630</v>
      </c>
      <c r="J12" s="1" t="s">
        <v>44</v>
      </c>
      <c r="K12" s="1">
        <v>505</v>
      </c>
      <c r="L12" s="1">
        <v>530</v>
      </c>
      <c r="M12" s="1">
        <v>555</v>
      </c>
      <c r="N12" s="1">
        <v>580</v>
      </c>
      <c r="O12" s="1">
        <v>605</v>
      </c>
      <c r="P12" s="1">
        <v>630</v>
      </c>
      <c r="S12" s="3"/>
      <c r="T12" s="3"/>
      <c r="U12" s="3"/>
      <c r="V12" s="3"/>
      <c r="W12" s="3"/>
      <c r="X12" s="3"/>
      <c r="Y12" s="3"/>
      <c r="Z12" s="3"/>
      <c r="AA12" s="3"/>
    </row>
    <row r="13" spans="1:34">
      <c r="A13" s="1" t="s">
        <v>10</v>
      </c>
      <c r="B13" s="6" t="str">
        <f t="shared" si="1"/>
        <v>Head Tube Angle</v>
      </c>
      <c r="C13" s="1">
        <f t="shared" si="0"/>
        <v>71</v>
      </c>
      <c r="D13" s="1">
        <f t="shared" ref="D13" si="2">L13</f>
        <v>71.5</v>
      </c>
      <c r="E13" s="1">
        <f t="shared" ref="E13" si="3">M13</f>
        <v>72</v>
      </c>
      <c r="F13" s="1">
        <f t="shared" ref="F13" si="4">N13</f>
        <v>72</v>
      </c>
      <c r="G13" s="1">
        <f t="shared" ref="G13" si="5">O13</f>
        <v>72</v>
      </c>
      <c r="H13" s="1">
        <f t="shared" ref="H13" si="6">P13</f>
        <v>72</v>
      </c>
      <c r="J13" s="1" t="s">
        <v>45</v>
      </c>
      <c r="K13" s="1">
        <v>71</v>
      </c>
      <c r="L13" s="1">
        <v>71.5</v>
      </c>
      <c r="M13" s="1">
        <v>72</v>
      </c>
      <c r="N13" s="1">
        <v>72</v>
      </c>
      <c r="O13" s="1">
        <v>72</v>
      </c>
      <c r="P13" s="1">
        <v>72</v>
      </c>
      <c r="S13" s="3"/>
      <c r="T13" s="3"/>
      <c r="U13" s="3"/>
      <c r="V13" s="3"/>
      <c r="W13" s="3"/>
      <c r="X13" s="3"/>
      <c r="Y13" s="3"/>
      <c r="Z13" s="3"/>
      <c r="AA13" s="3"/>
    </row>
    <row r="14" spans="1:34">
      <c r="A14" s="1" t="s">
        <v>12</v>
      </c>
      <c r="B14" s="6" t="str">
        <f t="shared" si="1"/>
        <v>Front Center | mm</v>
      </c>
      <c r="C14" s="1">
        <f>VALUE(LEFT(K14,3))</f>
        <v>577</v>
      </c>
      <c r="D14" s="1">
        <f t="shared" ref="D14:H14" si="7">VALUE(LEFT(L14,3))</f>
        <v>587</v>
      </c>
      <c r="E14" s="1">
        <f t="shared" si="7"/>
        <v>597</v>
      </c>
      <c r="F14" s="1">
        <f t="shared" si="7"/>
        <v>614</v>
      </c>
      <c r="G14" s="1">
        <f t="shared" si="7"/>
        <v>631</v>
      </c>
      <c r="H14" s="1">
        <f t="shared" si="7"/>
        <v>648</v>
      </c>
      <c r="J14" s="1" t="s">
        <v>46</v>
      </c>
      <c r="K14" s="1" t="s">
        <v>47</v>
      </c>
      <c r="L14" s="1" t="s">
        <v>48</v>
      </c>
      <c r="M14" s="1" t="s">
        <v>49</v>
      </c>
      <c r="N14" s="1" t="s">
        <v>50</v>
      </c>
      <c r="O14" s="1" t="s">
        <v>51</v>
      </c>
      <c r="P14" s="1" t="s">
        <v>52</v>
      </c>
      <c r="S14" s="3"/>
      <c r="T14" s="3"/>
      <c r="U14" s="3"/>
      <c r="V14" s="3"/>
      <c r="W14" s="3"/>
      <c r="X14" s="3"/>
      <c r="Y14" s="3"/>
      <c r="Z14" s="3"/>
      <c r="AA14" s="3"/>
    </row>
    <row r="15" spans="1:34">
      <c r="A15" s="1" t="s">
        <v>15</v>
      </c>
      <c r="B15" s="6" t="str">
        <f t="shared" si="1"/>
        <v>Bottom Bracket Drop | mm</v>
      </c>
      <c r="C15" s="1">
        <f t="shared" si="0"/>
        <v>78.5</v>
      </c>
      <c r="D15" s="1">
        <f t="shared" si="0"/>
        <v>78.5</v>
      </c>
      <c r="E15" s="1">
        <f t="shared" si="0"/>
        <v>76</v>
      </c>
      <c r="F15" s="1">
        <f t="shared" si="0"/>
        <v>76</v>
      </c>
      <c r="G15" s="1">
        <f t="shared" si="0"/>
        <v>73.5</v>
      </c>
      <c r="H15" s="1">
        <f t="shared" si="0"/>
        <v>73.5</v>
      </c>
      <c r="J15" s="1" t="s">
        <v>53</v>
      </c>
      <c r="K15" s="1">
        <v>78.5</v>
      </c>
      <c r="L15" s="1">
        <v>78.5</v>
      </c>
      <c r="M15" s="1">
        <v>76</v>
      </c>
      <c r="N15" s="1">
        <v>76</v>
      </c>
      <c r="O15" s="1">
        <v>73.5</v>
      </c>
      <c r="P15" s="1">
        <v>73.5</v>
      </c>
      <c r="S15" s="3"/>
      <c r="T15" s="3"/>
      <c r="U15" s="3"/>
      <c r="V15" s="3"/>
      <c r="W15" s="3"/>
      <c r="X15" s="3"/>
      <c r="Y15" s="3"/>
      <c r="Z15" s="3"/>
      <c r="AA15" s="3"/>
    </row>
    <row r="16" spans="1:34">
      <c r="A16" s="1" t="s">
        <v>9</v>
      </c>
      <c r="B16" s="6" t="str">
        <f t="shared" si="1"/>
        <v>Head Tube Length | mm</v>
      </c>
      <c r="C16" s="1">
        <f t="shared" si="0"/>
        <v>83</v>
      </c>
      <c r="D16" s="1">
        <f t="shared" si="0"/>
        <v>107</v>
      </c>
      <c r="E16" s="1">
        <f t="shared" si="0"/>
        <v>133</v>
      </c>
      <c r="F16" s="1">
        <f t="shared" si="0"/>
        <v>159</v>
      </c>
      <c r="G16" s="1">
        <f t="shared" si="0"/>
        <v>188</v>
      </c>
      <c r="H16" s="1">
        <f t="shared" si="0"/>
        <v>214</v>
      </c>
      <c r="J16" s="1" t="s">
        <v>54</v>
      </c>
      <c r="K16" s="1">
        <v>83</v>
      </c>
      <c r="L16" s="1">
        <v>107</v>
      </c>
      <c r="M16" s="1">
        <v>133</v>
      </c>
      <c r="N16" s="1">
        <v>159</v>
      </c>
      <c r="O16" s="1">
        <v>188</v>
      </c>
      <c r="P16" s="1">
        <v>214</v>
      </c>
      <c r="S16"/>
      <c r="T16"/>
      <c r="U16"/>
      <c r="V16"/>
      <c r="W16"/>
      <c r="X16"/>
      <c r="Y16"/>
      <c r="Z16"/>
      <c r="AA16"/>
    </row>
    <row r="17" spans="1:19">
      <c r="A17" s="1" t="s">
        <v>6</v>
      </c>
      <c r="B17" s="6" t="str">
        <f t="shared" si="1"/>
        <v>Top Tube Length | mm</v>
      </c>
      <c r="C17" s="1">
        <f t="shared" si="0"/>
        <v>512</v>
      </c>
      <c r="D17" s="1">
        <f t="shared" si="0"/>
        <v>532</v>
      </c>
      <c r="E17" s="1">
        <f t="shared" si="0"/>
        <v>553</v>
      </c>
      <c r="F17" s="1">
        <f t="shared" si="0"/>
        <v>575</v>
      </c>
      <c r="G17" s="1">
        <f t="shared" si="0"/>
        <v>591</v>
      </c>
      <c r="H17" s="1">
        <f t="shared" si="0"/>
        <v>608</v>
      </c>
      <c r="J17" s="1" t="s">
        <v>55</v>
      </c>
      <c r="K17" s="1">
        <v>512</v>
      </c>
      <c r="L17" s="1">
        <v>532</v>
      </c>
      <c r="M17" s="1">
        <v>553</v>
      </c>
      <c r="N17" s="1">
        <v>575</v>
      </c>
      <c r="O17" s="1">
        <v>591</v>
      </c>
      <c r="P17" s="1">
        <v>608</v>
      </c>
    </row>
    <row r="18" spans="1:19">
      <c r="A18" s="1" t="s">
        <v>11</v>
      </c>
      <c r="B18" s="6" t="str">
        <f t="shared" si="1"/>
        <v>Seat Tube Angle</v>
      </c>
      <c r="C18" s="1">
        <f>K18</f>
        <v>74.5</v>
      </c>
      <c r="D18" s="1">
        <f t="shared" si="0"/>
        <v>74</v>
      </c>
      <c r="E18" s="1">
        <f t="shared" si="0"/>
        <v>73.5</v>
      </c>
      <c r="F18" s="1">
        <f t="shared" si="0"/>
        <v>73</v>
      </c>
      <c r="G18" s="1">
        <f t="shared" si="0"/>
        <v>73</v>
      </c>
      <c r="H18" s="1">
        <f t="shared" si="0"/>
        <v>73</v>
      </c>
      <c r="J18" s="1" t="s">
        <v>56</v>
      </c>
      <c r="K18" s="1">
        <v>74.5</v>
      </c>
      <c r="L18" s="1">
        <v>74</v>
      </c>
      <c r="M18" s="1">
        <v>73.5</v>
      </c>
      <c r="N18" s="1">
        <v>73</v>
      </c>
      <c r="O18" s="1">
        <v>73</v>
      </c>
      <c r="P18" s="1">
        <v>73</v>
      </c>
    </row>
    <row r="19" spans="1:19">
      <c r="A19" s="1" t="s">
        <v>22</v>
      </c>
      <c r="B19" s="6" t="str">
        <f t="shared" si="1"/>
        <v>Standover Height | mm</v>
      </c>
      <c r="C19" s="1">
        <f t="shared" si="0"/>
        <v>681</v>
      </c>
      <c r="D19" s="1">
        <f t="shared" si="0"/>
        <v>704</v>
      </c>
      <c r="E19" s="1">
        <f t="shared" si="0"/>
        <v>733</v>
      </c>
      <c r="F19" s="1">
        <f t="shared" si="0"/>
        <v>757</v>
      </c>
      <c r="G19" s="1">
        <f t="shared" si="0"/>
        <v>784</v>
      </c>
      <c r="H19" s="1">
        <f t="shared" si="0"/>
        <v>808</v>
      </c>
      <c r="J19" s="1" t="s">
        <v>57</v>
      </c>
      <c r="K19" s="1">
        <v>681</v>
      </c>
      <c r="L19" s="1">
        <v>704</v>
      </c>
      <c r="M19" s="1">
        <v>733</v>
      </c>
      <c r="N19" s="1">
        <v>757</v>
      </c>
      <c r="O19" s="1">
        <v>784</v>
      </c>
      <c r="P19" s="1">
        <v>808</v>
      </c>
      <c r="S19"/>
    </row>
    <row r="20" spans="1:19">
      <c r="A20" s="1" t="s">
        <v>18</v>
      </c>
      <c r="B20" s="6" t="str">
        <f t="shared" si="1"/>
        <v>Trail | mm</v>
      </c>
      <c r="C20" s="1">
        <f t="shared" si="0"/>
        <v>62</v>
      </c>
      <c r="D20" s="1">
        <f t="shared" si="0"/>
        <v>62</v>
      </c>
      <c r="E20" s="1">
        <f t="shared" si="0"/>
        <v>62</v>
      </c>
      <c r="F20" s="1">
        <f t="shared" si="0"/>
        <v>62</v>
      </c>
      <c r="G20" s="1">
        <f t="shared" si="0"/>
        <v>62</v>
      </c>
      <c r="H20" s="1">
        <f t="shared" si="0"/>
        <v>62</v>
      </c>
      <c r="J20" s="1" t="s">
        <v>58</v>
      </c>
      <c r="K20" s="1">
        <v>62</v>
      </c>
      <c r="L20" s="1">
        <v>62</v>
      </c>
      <c r="M20" s="1">
        <v>62</v>
      </c>
      <c r="N20" s="1">
        <v>62</v>
      </c>
      <c r="O20" s="1">
        <v>62</v>
      </c>
      <c r="P20" s="1">
        <v>62</v>
      </c>
      <c r="S20"/>
    </row>
    <row r="21" spans="1:19">
      <c r="A21" s="1" t="s">
        <v>23</v>
      </c>
      <c r="B21" s="6" t="str">
        <f t="shared" si="1"/>
        <v>Wheel Size</v>
      </c>
      <c r="C21" s="1">
        <v>700</v>
      </c>
      <c r="D21" s="1">
        <v>700</v>
      </c>
      <c r="E21" s="1">
        <v>700</v>
      </c>
      <c r="F21" s="1">
        <v>700</v>
      </c>
      <c r="G21" s="1">
        <v>700</v>
      </c>
      <c r="H21" s="1">
        <v>700</v>
      </c>
      <c r="J21" s="1" t="s">
        <v>59</v>
      </c>
      <c r="K21" s="1" t="s">
        <v>60</v>
      </c>
      <c r="L21" s="1" t="s">
        <v>60</v>
      </c>
      <c r="M21" s="1" t="s">
        <v>60</v>
      </c>
      <c r="N21" s="1" t="s">
        <v>60</v>
      </c>
      <c r="O21" s="1" t="s">
        <v>60</v>
      </c>
      <c r="P21" s="1" t="s">
        <v>60</v>
      </c>
      <c r="S21"/>
    </row>
    <row r="22" spans="1:19">
      <c r="A22" s="1" t="s">
        <v>17</v>
      </c>
      <c r="B22" s="6" t="str">
        <f t="shared" si="1"/>
        <v>Fork Offset | mm</v>
      </c>
      <c r="C22" s="1">
        <f>VALUE(LEFT(K22,2))</f>
        <v>52</v>
      </c>
      <c r="D22" s="1">
        <f t="shared" ref="D22:H22" si="8">VALUE(LEFT(L22,2))</f>
        <v>49</v>
      </c>
      <c r="E22" s="1">
        <f t="shared" si="8"/>
        <v>46</v>
      </c>
      <c r="F22" s="1">
        <f t="shared" si="8"/>
        <v>46</v>
      </c>
      <c r="G22" s="1">
        <f t="shared" si="8"/>
        <v>46</v>
      </c>
      <c r="H22" s="1">
        <f t="shared" si="8"/>
        <v>46</v>
      </c>
      <c r="J22" s="1" t="s">
        <v>61</v>
      </c>
      <c r="K22" s="1" t="s">
        <v>62</v>
      </c>
      <c r="L22" s="1" t="s">
        <v>63</v>
      </c>
      <c r="M22" s="1" t="s">
        <v>64</v>
      </c>
      <c r="N22" s="1" t="s">
        <v>64</v>
      </c>
      <c r="O22" s="1" t="s">
        <v>64</v>
      </c>
      <c r="P22" s="1" t="s">
        <v>64</v>
      </c>
      <c r="S22"/>
    </row>
    <row r="23" spans="1:19">
      <c r="A23" s="1" t="s">
        <v>14</v>
      </c>
      <c r="B23" s="6" t="str">
        <f t="shared" si="1"/>
        <v>Wheelbase | mm</v>
      </c>
      <c r="C23" s="1">
        <f>VALUE(LEFT(K23,3))</f>
        <v>990</v>
      </c>
      <c r="D23" s="1">
        <f t="shared" ref="D23" si="9">VALUE(LEFT(L23,3))</f>
        <v>999</v>
      </c>
      <c r="E23" s="1">
        <f>VALUE(LEFT(M23,4))</f>
        <v>1010</v>
      </c>
      <c r="F23" s="1">
        <f t="shared" ref="F23:H23" si="10">VALUE(LEFT(N23,4))</f>
        <v>1028</v>
      </c>
      <c r="G23" s="1">
        <f t="shared" si="10"/>
        <v>1046</v>
      </c>
      <c r="H23" s="1">
        <f t="shared" si="10"/>
        <v>1063</v>
      </c>
      <c r="J23" s="1" t="s">
        <v>65</v>
      </c>
      <c r="K23" s="1" t="s">
        <v>66</v>
      </c>
      <c r="L23" s="1" t="s">
        <v>67</v>
      </c>
      <c r="M23" s="1" t="s">
        <v>68</v>
      </c>
      <c r="N23" s="1" t="s">
        <v>69</v>
      </c>
      <c r="O23" s="1" t="s">
        <v>70</v>
      </c>
      <c r="P23" s="1" t="s">
        <v>71</v>
      </c>
      <c r="S23"/>
    </row>
    <row r="24" spans="1:19">
      <c r="A24" s="1" t="s">
        <v>13</v>
      </c>
      <c r="B24" s="6" t="str">
        <f t="shared" si="1"/>
        <v>Chainstay Length | mm</v>
      </c>
      <c r="C24" s="1">
        <f t="shared" si="0"/>
        <v>425</v>
      </c>
      <c r="D24" s="1">
        <f t="shared" si="0"/>
        <v>425</v>
      </c>
      <c r="E24" s="1">
        <f t="shared" si="0"/>
        <v>425</v>
      </c>
      <c r="F24" s="1">
        <f t="shared" si="0"/>
        <v>425</v>
      </c>
      <c r="G24" s="1">
        <f t="shared" si="0"/>
        <v>425</v>
      </c>
      <c r="H24" s="1">
        <f t="shared" si="0"/>
        <v>425</v>
      </c>
      <c r="J24" s="1" t="s">
        <v>72</v>
      </c>
      <c r="K24" s="1">
        <v>425</v>
      </c>
      <c r="L24" s="1">
        <v>425</v>
      </c>
      <c r="M24" s="1">
        <v>425</v>
      </c>
      <c r="N24" s="1">
        <v>425</v>
      </c>
      <c r="O24" s="1">
        <v>425</v>
      </c>
      <c r="P24" s="1">
        <v>425</v>
      </c>
      <c r="S24"/>
    </row>
    <row r="25" spans="1:19">
      <c r="A25" s="1" t="s">
        <v>5</v>
      </c>
      <c r="S25"/>
    </row>
    <row r="26" spans="1:19">
      <c r="A26" s="1" t="s">
        <v>16</v>
      </c>
      <c r="S26"/>
    </row>
    <row r="27" spans="1:19">
      <c r="A27" s="1" t="s">
        <v>19</v>
      </c>
      <c r="S27"/>
    </row>
    <row r="28" spans="1:19">
      <c r="A28" s="1" t="s">
        <v>20</v>
      </c>
      <c r="C28" s="1">
        <v>80</v>
      </c>
      <c r="D28" s="1">
        <v>80</v>
      </c>
      <c r="E28" s="1">
        <v>90</v>
      </c>
      <c r="F28" s="1">
        <v>90</v>
      </c>
      <c r="G28" s="1">
        <v>100</v>
      </c>
      <c r="H28" s="1">
        <v>100</v>
      </c>
      <c r="K28" s="1" t="s">
        <v>83</v>
      </c>
      <c r="S28"/>
    </row>
    <row r="29" spans="1:19" ht="22">
      <c r="A29" s="1" t="s">
        <v>21</v>
      </c>
      <c r="K29" s="8" t="s">
        <v>77</v>
      </c>
      <c r="S29"/>
    </row>
    <row r="30" spans="1:19" ht="22">
      <c r="A30" s="1" t="s">
        <v>117</v>
      </c>
      <c r="K30" s="8"/>
      <c r="S30"/>
    </row>
    <row r="31" spans="1:19" ht="22">
      <c r="A31" s="1" t="s">
        <v>24</v>
      </c>
      <c r="C31" s="1">
        <v>45</v>
      </c>
      <c r="D31" s="1">
        <v>45</v>
      </c>
      <c r="E31" s="1">
        <v>45</v>
      </c>
      <c r="F31" s="1">
        <v>45</v>
      </c>
      <c r="G31" s="1">
        <v>45</v>
      </c>
      <c r="H31" s="1">
        <v>45</v>
      </c>
      <c r="K31" s="8" t="s">
        <v>78</v>
      </c>
      <c r="S31"/>
    </row>
    <row r="32" spans="1:19" ht="22">
      <c r="A32" s="1" t="s">
        <v>25</v>
      </c>
      <c r="C32" s="1">
        <v>45</v>
      </c>
      <c r="D32" s="1">
        <v>45</v>
      </c>
      <c r="E32" s="1">
        <v>45</v>
      </c>
      <c r="F32" s="1">
        <v>45</v>
      </c>
      <c r="G32" s="1">
        <v>45</v>
      </c>
      <c r="H32" s="1">
        <v>45</v>
      </c>
      <c r="K32" s="8" t="s">
        <v>79</v>
      </c>
      <c r="S32"/>
    </row>
    <row r="33" spans="1:11" ht="22">
      <c r="A33" s="1" t="s">
        <v>26</v>
      </c>
      <c r="C33" s="1">
        <v>150</v>
      </c>
      <c r="D33" s="1">
        <v>160</v>
      </c>
      <c r="E33" s="1">
        <v>168</v>
      </c>
      <c r="F33" s="1">
        <v>176</v>
      </c>
      <c r="G33" s="1">
        <v>184</v>
      </c>
      <c r="H33" s="1">
        <v>192</v>
      </c>
      <c r="K33" s="8" t="s">
        <v>80</v>
      </c>
    </row>
    <row r="34" spans="1:11" ht="22">
      <c r="A34" s="1" t="s">
        <v>27</v>
      </c>
      <c r="C34" s="1">
        <v>160</v>
      </c>
      <c r="D34" s="1">
        <v>168</v>
      </c>
      <c r="E34" s="1">
        <v>176</v>
      </c>
      <c r="F34" s="1">
        <v>184</v>
      </c>
      <c r="G34" s="1">
        <v>192</v>
      </c>
      <c r="H34" s="1">
        <v>200</v>
      </c>
      <c r="K34" s="8" t="s">
        <v>81</v>
      </c>
    </row>
    <row r="35" spans="1:11" ht="22">
      <c r="K35" s="8" t="s">
        <v>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Cervelo Aspero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2025-07-06T21:01:48Z</dcterms:created>
  <dcterms:modified xsi:type="dcterms:W3CDTF">2025-07-23T01:04:23Z</dcterms:modified>
</cp:coreProperties>
</file>