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98C5AF4-91EC-614D-8D0E-72D60347B707}" xr6:coauthVersionLast="47" xr6:coauthVersionMax="47" xr10:uidLastSave="{00000000-0000-0000-0000-000000000000}"/>
  <bookViews>
    <workbookView xWindow="0" yWindow="1320" windowWidth="28800" windowHeight="13300" xr2:uid="{ABFFBBBD-2C2A-DA41-8959-3BF392F3D8AC}"/>
  </bookViews>
  <sheets>
    <sheet name="Sage Storm King GP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H21" i="1"/>
  <c r="I21" i="1"/>
  <c r="J21" i="1"/>
  <c r="C21" i="1"/>
  <c r="D26" i="1"/>
  <c r="E26" i="1"/>
  <c r="F26" i="1"/>
  <c r="G26" i="1"/>
  <c r="H26" i="1"/>
  <c r="I26" i="1"/>
  <c r="J26" i="1"/>
  <c r="C26" i="1"/>
  <c r="D22" i="1"/>
  <c r="E22" i="1"/>
  <c r="F22" i="1"/>
  <c r="G22" i="1"/>
  <c r="H22" i="1"/>
  <c r="I22" i="1"/>
  <c r="J22" i="1"/>
  <c r="B26" i="1"/>
  <c r="C22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C15" i="1"/>
  <c r="C14" i="1"/>
  <c r="C13" i="1"/>
  <c r="C12" i="1"/>
  <c r="D12" i="1"/>
  <c r="E12" i="1"/>
  <c r="F12" i="1"/>
  <c r="G12" i="1"/>
  <c r="H12" i="1"/>
  <c r="I12" i="1"/>
  <c r="J12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C18" i="1"/>
  <c r="D18" i="1"/>
  <c r="E18" i="1"/>
  <c r="F18" i="1"/>
  <c r="G18" i="1"/>
  <c r="H18" i="1"/>
  <c r="I18" i="1"/>
  <c r="J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C23" i="1"/>
  <c r="D23" i="1"/>
  <c r="E23" i="1"/>
  <c r="F23" i="1"/>
  <c r="G23" i="1"/>
  <c r="H23" i="1"/>
  <c r="I23" i="1"/>
  <c r="J23" i="1"/>
  <c r="J11" i="1"/>
  <c r="D11" i="1"/>
  <c r="E11" i="1"/>
  <c r="F11" i="1"/>
  <c r="G11" i="1"/>
  <c r="H11" i="1"/>
  <c r="I11" i="1"/>
  <c r="C11" i="1"/>
  <c r="B12" i="1"/>
  <c r="B13" i="1"/>
  <c r="B14" i="1"/>
  <c r="B15" i="1"/>
  <c r="B16" i="1"/>
  <c r="B17" i="1"/>
  <c r="B18" i="1"/>
  <c r="B19" i="1"/>
  <c r="B20" i="1"/>
  <c r="B21" i="1"/>
  <c r="B22" i="1"/>
  <c r="B23" i="1"/>
  <c r="B11" i="1"/>
  <c r="D10" i="1"/>
  <c r="E10" i="1"/>
  <c r="F10" i="1"/>
  <c r="G10" i="1"/>
  <c r="H10" i="1"/>
  <c r="I10" i="1"/>
  <c r="J10" i="1"/>
  <c r="C10" i="1"/>
</calcChain>
</file>

<file path=xl/sharedStrings.xml><?xml version="1.0" encoding="utf-8"?>
<sst xmlns="http://schemas.openxmlformats.org/spreadsheetml/2006/main" count="259" uniqueCount="204">
  <si>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</si>
  <si>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</si>
  <si>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</si>
  <si>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</si>
  <si>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</si>
  <si>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</si>
  <si>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</si>
  <si>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</si>
  <si>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</si>
  <si>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</si>
  <si>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</si>
  <si>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</si>
  <si>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</si>
  <si>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</si>
  <si>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</si>
  <si>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</si>
  <si>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</si>
  <si>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</si>
  <si>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</si>
  <si>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</si>
  <si>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</si>
  <si>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</si>
  <si>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</si>
  <si>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</si>
  <si>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</si>
  <si>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</si>
  <si>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</si>
  <si>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</si>
  <si>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brand</t>
  </si>
  <si>
    <t>material</t>
  </si>
  <si>
    <t>yes</t>
  </si>
  <si>
    <t>titanium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</si>
  <si>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</si>
  <si>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</si>
  <si>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</si>
  <si>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</si>
  <si>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</si>
  <si>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</si>
  <si>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</si>
  <si>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</si>
  <si>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70°</t>
  </si>
  <si>
    <t>73.5°</t>
  </si>
  <si>
    <t>measure range</t>
  </si>
  <si>
    <t>[A] Seat Tube - Center to Top</t>
  </si>
  <si>
    <t>45cm</t>
  </si>
  <si>
    <t>47cm</t>
  </si>
  <si>
    <t>49cm</t>
  </si>
  <si>
    <t>51cm</t>
  </si>
  <si>
    <t>52cm</t>
  </si>
  <si>
    <t>54cm</t>
  </si>
  <si>
    <t>56cm</t>
  </si>
  <si>
    <t>[B] Top Tube Effective</t>
  </si>
  <si>
    <t>53.35cm</t>
  </si>
  <si>
    <t>54.2cm</t>
  </si>
  <si>
    <t>55.51cm</t>
  </si>
  <si>
    <t>56.95cm</t>
  </si>
  <si>
    <t>58.2cm</t>
  </si>
  <si>
    <t>59.66cm</t>
  </si>
  <si>
    <t>61.54cm</t>
  </si>
  <si>
    <t>[C] Head Tube Angle</t>
  </si>
  <si>
    <t>69.75°</t>
  </si>
  <si>
    <t>70.5°</t>
  </si>
  <si>
    <t>71°</t>
  </si>
  <si>
    <t>[D] Seat Tube Angle</t>
  </si>
  <si>
    <t>73°</t>
  </si>
  <si>
    <t>72.5°</t>
  </si>
  <si>
    <t>72.25°</t>
  </si>
  <si>
    <t>72°</t>
  </si>
  <si>
    <t>71.5°</t>
  </si>
  <si>
    <t>[D1] Effective Seat Tube Angle</t>
  </si>
  <si>
    <t>76.87°</t>
  </si>
  <si>
    <t>76.25°</t>
  </si>
  <si>
    <t>75.78°</t>
  </si>
  <si>
    <t>75.54°</t>
  </si>
  <si>
    <t>75.19°</t>
  </si>
  <si>
    <t>74.59°</t>
  </si>
  <si>
    <t>[E] Stand Over</t>
  </si>
  <si>
    <t>75.7cm</t>
  </si>
  <si>
    <t>77.82cm</t>
  </si>
  <si>
    <t>79.56cm</t>
  </si>
  <si>
    <t>81.33cm</t>
  </si>
  <si>
    <t>82.3cm</t>
  </si>
  <si>
    <t>84.18cm</t>
  </si>
  <si>
    <t>85.94cm</t>
  </si>
  <si>
    <t>[F] Head Tube Length</t>
  </si>
  <si>
    <t>9cm</t>
  </si>
  <si>
    <t>10cm</t>
  </si>
  <si>
    <t>11.5cm</t>
  </si>
  <si>
    <t>13cm</t>
  </si>
  <si>
    <t>14.5cm</t>
  </si>
  <si>
    <t>16cm</t>
  </si>
  <si>
    <t>17.5cm</t>
  </si>
  <si>
    <t>[G] Wheelbase</t>
  </si>
  <si>
    <t>103.74cm</t>
  </si>
  <si>
    <t>104.64cm</t>
  </si>
  <si>
    <t>105.35cm</t>
  </si>
  <si>
    <t>106.16cm</t>
  </si>
  <si>
    <t>107.14cm</t>
  </si>
  <si>
    <t>108.43cm</t>
  </si>
  <si>
    <t>109.49cm</t>
  </si>
  <si>
    <t>[H] Front Center</t>
  </si>
  <si>
    <t>62.44cm</t>
  </si>
  <si>
    <t>63.34cm</t>
  </si>
  <si>
    <t>64.02cm</t>
  </si>
  <si>
    <t>64.55cm</t>
  </si>
  <si>
    <t>65.57cm</t>
  </si>
  <si>
    <t>66.82cm</t>
  </si>
  <si>
    <t>67.65cm</t>
  </si>
  <si>
    <t>[I] Chainstay Length</t>
  </si>
  <si>
    <t>42.3cm</t>
  </si>
  <si>
    <t>42.5cm</t>
  </si>
  <si>
    <t>42.7cm</t>
  </si>
  <si>
    <t>[J] Bottom Bracket Drop</t>
  </si>
  <si>
    <t>71mm</t>
  </si>
  <si>
    <t>70mm</t>
  </si>
  <si>
    <t>69mm</t>
  </si>
  <si>
    <t>68mm</t>
  </si>
  <si>
    <t>67mm</t>
  </si>
  <si>
    <t>[K] Trail</t>
  </si>
  <si>
    <t>77.71mm</t>
  </si>
  <si>
    <t>80.3mm</t>
  </si>
  <si>
    <t>78.58mm</t>
  </si>
  <si>
    <t>75.15mm</t>
  </si>
  <si>
    <t>71.74mm</t>
  </si>
  <si>
    <t>[M] Stack</t>
  </si>
  <si>
    <t>54.68cm</t>
  </si>
  <si>
    <t>55.62cm</t>
  </si>
  <si>
    <t>57.03cm</t>
  </si>
  <si>
    <t>58.55cm</t>
  </si>
  <si>
    <t>59.97cm</t>
  </si>
  <si>
    <t>61.3cm</t>
  </si>
  <si>
    <t>62.81cm</t>
  </si>
  <si>
    <t>[N] Reach</t>
  </si>
  <si>
    <t>39.04cm</t>
  </si>
  <si>
    <t>39.6cm</t>
  </si>
  <si>
    <t>39.99cm</t>
  </si>
  <si>
    <t>40.48cm</t>
  </si>
  <si>
    <t>41.0cm</t>
  </si>
  <si>
    <t>41.77cm</t>
  </si>
  <si>
    <t>42.6cm</t>
  </si>
  <si>
    <t>48 CM</t>
  </si>
  <si>
    <t>50 CM</t>
  </si>
  <si>
    <t>52 CM</t>
  </si>
  <si>
    <t>54 CM</t>
  </si>
  <si>
    <t>56 CM</t>
  </si>
  <si>
    <t>58 CM</t>
  </si>
  <si>
    <t>60 CM</t>
  </si>
  <si>
    <t>[O] Axle to Crown- Fork</t>
  </si>
  <si>
    <t>[P] Offset- Fork</t>
  </si>
  <si>
    <t>57.5cm</t>
  </si>
  <si>
    <t>63.07cm</t>
  </si>
  <si>
    <t>87.6cm</t>
  </si>
  <si>
    <t>19.5cm</t>
  </si>
  <si>
    <t>111.04cm</t>
  </si>
  <si>
    <t>69.19cm</t>
  </si>
  <si>
    <t>64.7cm</t>
  </si>
  <si>
    <t>43.5cm</t>
  </si>
  <si>
    <t>51mm</t>
  </si>
  <si>
    <t>62 CM</t>
  </si>
  <si>
    <t>Sage</t>
  </si>
  <si>
    <t>Storm King GP</t>
  </si>
  <si>
    <t>https://sagetitanium.com/product/storm-king-gp/</t>
  </si>
  <si>
    <t>seat_tube_angle_actual</t>
  </si>
  <si>
    <t>2 cm shorter than 90 mm stem spec for earlier models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</si>
  <si>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</si>
  <si>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</si>
  <si>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</si>
  <si>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</si>
  <si>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</si>
  <si>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</si>
  <si>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</si>
  <si>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</si>
  <si>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</si>
  <si>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</si>
  <si>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</si>
  <si>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</si>
  <si>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</si>
  <si>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</si>
  <si>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</si>
  <si>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</si>
  <si>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</si>
  <si>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</si>
  <si>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</si>
  <si>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</si>
  <si>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</si>
  <si>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</si>
  <si>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</si>
  <si>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</si>
  <si>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</si>
  <si>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</si>
  <si>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</si>
  <si>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a10:j35</t>
  </si>
  <si>
    <t>49/31</t>
  </si>
  <si>
    <t>internal</t>
  </si>
  <si>
    <t>us</t>
  </si>
  <si>
    <t>frame_weight</t>
  </si>
  <si>
    <t>fork suspension</t>
  </si>
  <si>
    <t>stem suspension</t>
  </si>
  <si>
    <t>rear suspension</t>
  </si>
  <si>
    <t>no</t>
  </si>
  <si>
    <t>internal storage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</si>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</sst>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4"/>
      <color theme="1"/>
      <name val="Futura Medium"/>
    </font>
    <font>
      <sz val="8"/>
      <name val="Aptos Narrow"/>
      <family val="2"/>
      <scheme val="minor"/>
    </font>
    <font>
      <b/>
      <sz val="14"/>
      <color rgb="FFFFFFFF"/>
      <name val="Futura Medium"/>
    </font>
    <font>
      <sz val="14"/>
      <color rgb="FF000000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32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88900</xdr:colOff>
      <xdr:row>31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32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12700</xdr:colOff>
      <xdr:row>30</xdr:row>
      <xdr:rowOff>165100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10248900" y="70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32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2865921F-66BE-7845-A9F2-215DBDD79B9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658584C-381D-5044-AE4E-1929155FB38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04F244B-2581-F744-BCAC-C2896FA4C8EC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D8B0BB83-3AFD-B540-AE65-841DEB2F4246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FCB5D10-4672-7243-9D0A-07705234BED1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F123A8D-0A31-1140-91D2-2AFEB31D57E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41C746C-0C84-BF4C-841E-C5CD8D40278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BE0AAB82-FC40-7549-B727-60B837FFB35E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</xdr:row>
      <xdr:rowOff>0</xdr:rowOff>
    </xdr:from>
    <xdr:ext cx="304800" cy="2921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C73386B7-C1B0-4F47-A067-2CC70A23403B}"/>
            </a:ext>
          </a:extLst>
        </xdr:cNvPr>
        <xdr:cNvSpPr>
          <a:spLocks noChangeAspect="1" noChangeArrowheads="1"/>
        </xdr:cNvSpPr>
      </xdr:nvSpPr>
      <xdr:spPr bwMode="auto">
        <a:xfrm>
          <a:off x="5384800" y="482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526B8CB6-8182-C942-8F13-2168D4AD14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428ABC1-EA92-0047-80A4-D0DB21CD37E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BD420393-5B97-0A49-9C26-3C7E1FDB78D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2B5220EA-8961-244B-BBC8-5F2062C9519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F93F93A5-9432-7648-807B-F03B242BD2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B302F67-6FDD-9E4B-822D-8A2F6D09684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7603DDF9-1138-104A-91AC-9660EEE1F9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9488326C-35BD-A745-93D3-00C6036382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304800" cy="2921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B25CB19-C374-9844-A405-B636584F2412}"/>
            </a:ext>
          </a:extLst>
        </xdr:cNvPr>
        <xdr:cNvSpPr>
          <a:spLocks noChangeAspect="1" noChangeArrowheads="1"/>
        </xdr:cNvSpPr>
      </xdr:nvSpPr>
      <xdr:spPr bwMode="auto">
        <a:xfrm>
          <a:off x="129921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626D7208-D11B-2448-BF67-0271C39E6E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DE75EF1E-A811-3948-B5AC-9F9642C76E3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BC0379B-4AEC-A44C-8DA7-2BF3455298F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CC5E2654-5AF5-A34E-BF95-832DFCEAC92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5265C73A-50F1-4843-BB05-5FB55D2AB12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A317D7AC-EBD8-E240-92B2-B8AB1740104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D6CE69FE-CC9B-1646-9B98-15963179976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3DEFBBED-4730-2B42-AFB9-3F7EBBC463B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C33B40FD-B57A-5249-950F-6AAFC03F2DB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H38"/>
  <sheetViews>
    <sheetView tabSelected="1" topLeftCell="P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27.6640625" style="1" customWidth="1"/>
    <col min="3" max="10" width="13.5" style="1" customWidth="1"/>
    <col min="11" max="13" width="10.83203125" style="1"/>
    <col min="14" max="14" width="13.5" style="1" customWidth="1"/>
    <col min="15" max="16384" width="10.83203125" style="1"/>
  </cols>
  <sheetData>
    <row r="1" spans="1:34" x14ac:dyDescent="0.3">
      <c r="A1" s="1" t="s">
        <v>28</v>
      </c>
      <c r="B1" s="1" t="s">
        <v>159</v>
      </c>
    </row>
    <row r="2" spans="1:34" x14ac:dyDescent="0.3">
      <c r="A2" s="1" t="s">
        <v>0</v>
      </c>
      <c r="B2" s="1" t="s">
        <v>160</v>
      </c>
    </row>
    <row r="3" spans="1:34" x14ac:dyDescent="0.3">
      <c r="A3" s="1" t="s">
        <v>1</v>
      </c>
      <c r="B3" s="1">
        <v>2025</v>
      </c>
    </row>
    <row r="4" spans="1:34" x14ac:dyDescent="0.3">
      <c r="A4" s="1" t="s">
        <v>2</v>
      </c>
      <c r="B4" s="2">
        <v>45849</v>
      </c>
    </row>
    <row r="5" spans="1:34" x14ac:dyDescent="0.3">
      <c r="A5" s="1" t="s">
        <v>3</v>
      </c>
      <c r="B5" s="1" t="s">
        <v>161</v>
      </c>
    </row>
    <row r="6" spans="1:34" customFormat="1" ht="55" customHeight="1" x14ac:dyDescent="0.3">
      <c r="A6" s="6" t="s">
        <v>29</v>
      </c>
      <c r="B6" s="6" t="s">
        <v>164</v>
      </c>
      <c r="C6" s="6" t="s">
        <v>165</v>
      </c>
      <c r="D6" s="6" t="s">
        <v>201</v>
      </c>
      <c r="E6" s="6" t="s">
        <v>166</v>
      </c>
      <c r="F6" s="6" t="s">
        <v>167</v>
      </c>
      <c r="G6" s="6" t="s">
        <v>196</v>
      </c>
      <c r="H6" s="6" t="s">
        <v>197</v>
      </c>
      <c r="I6" s="6" t="s">
        <v>198</v>
      </c>
      <c r="J6" s="6" t="s">
        <v>168</v>
      </c>
      <c r="K6" s="6" t="s">
        <v>169</v>
      </c>
      <c r="L6" s="6" t="s">
        <v>170</v>
      </c>
      <c r="M6" s="6" t="s">
        <v>171</v>
      </c>
      <c r="N6" s="6" t="s">
        <v>172</v>
      </c>
      <c r="O6" s="6" t="s">
        <v>173</v>
      </c>
      <c r="P6" s="6" t="s">
        <v>174</v>
      </c>
      <c r="Q6" s="6" t="s">
        <v>175</v>
      </c>
      <c r="R6" s="6" t="s">
        <v>176</v>
      </c>
      <c r="S6" s="6" t="s">
        <v>177</v>
      </c>
      <c r="T6" s="6" t="s">
        <v>178</v>
      </c>
      <c r="U6" s="6" t="s">
        <v>179</v>
      </c>
      <c r="V6" s="6" t="s">
        <v>180</v>
      </c>
      <c r="W6" s="6" t="s">
        <v>181</v>
      </c>
      <c r="X6" s="6" t="s">
        <v>182</v>
      </c>
      <c r="Y6" s="6" t="s">
        <v>183</v>
      </c>
      <c r="Z6" s="6" t="s">
        <v>184</v>
      </c>
      <c r="AA6" s="6" t="s">
        <v>185</v>
      </c>
      <c r="AB6" s="7" t="s">
        <v>202</v>
      </c>
      <c r="AC6" s="6" t="s">
        <v>186</v>
      </c>
      <c r="AD6" s="6" t="s">
        <v>187</v>
      </c>
      <c r="AE6" s="6" t="s">
        <v>188</v>
      </c>
      <c r="AF6" s="6" t="s">
        <v>189</v>
      </c>
      <c r="AG6" s="6" t="s">
        <v>190</v>
      </c>
      <c r="AH6" s="6" t="s">
        <v>200</v>
      </c>
    </row>
    <row r="7" spans="1:34" x14ac:dyDescent="0.3">
      <c r="A7" s="1" t="s">
        <v>31</v>
      </c>
      <c r="B7" s="1" t="s">
        <v>30</v>
      </c>
      <c r="C7" s="1">
        <v>0</v>
      </c>
      <c r="D7" s="1">
        <v>57</v>
      </c>
      <c r="F7" s="1">
        <v>40</v>
      </c>
      <c r="G7" s="1" t="s">
        <v>30</v>
      </c>
      <c r="H7" s="1" t="s">
        <v>199</v>
      </c>
      <c r="I7" s="1" t="s">
        <v>199</v>
      </c>
      <c r="J7" s="1">
        <v>142</v>
      </c>
      <c r="K7" s="1">
        <v>100</v>
      </c>
      <c r="M7" s="1">
        <v>31.6</v>
      </c>
      <c r="N7" s="1" t="s">
        <v>193</v>
      </c>
      <c r="O7" s="1" t="s">
        <v>193</v>
      </c>
      <c r="Q7" s="1" t="s">
        <v>30</v>
      </c>
      <c r="R7" s="1">
        <v>44</v>
      </c>
      <c r="S7" s="1" t="s">
        <v>192</v>
      </c>
      <c r="T7" s="1" t="s">
        <v>203</v>
      </c>
      <c r="U7" s="1">
        <v>2</v>
      </c>
      <c r="V7" s="1">
        <v>1</v>
      </c>
      <c r="W7" s="1">
        <v>1</v>
      </c>
      <c r="AE7" s="1">
        <v>5700</v>
      </c>
      <c r="AF7" s="1">
        <v>8628.33</v>
      </c>
      <c r="AG7" s="1" t="s">
        <v>194</v>
      </c>
      <c r="AH7" s="1" t="s">
        <v>199</v>
      </c>
    </row>
    <row r="9" spans="1:34" x14ac:dyDescent="0.3">
      <c r="A9" s="1" t="s">
        <v>42</v>
      </c>
      <c r="B9" s="1" t="s">
        <v>191</v>
      </c>
    </row>
    <row r="10" spans="1:34" x14ac:dyDescent="0.3">
      <c r="A10" s="1" t="s">
        <v>4</v>
      </c>
      <c r="B10" s="3" t="s">
        <v>32</v>
      </c>
      <c r="C10" s="1" t="str">
        <f>M10</f>
        <v>48 CM</v>
      </c>
      <c r="D10" s="1" t="str">
        <f t="shared" ref="D10:J10" si="0">N10</f>
        <v>50 CM</v>
      </c>
      <c r="E10" s="1" t="str">
        <f t="shared" si="0"/>
        <v>52 CM</v>
      </c>
      <c r="F10" s="1" t="str">
        <f t="shared" si="0"/>
        <v>54 CM</v>
      </c>
      <c r="G10" s="1" t="str">
        <f t="shared" si="0"/>
        <v>56 CM</v>
      </c>
      <c r="H10" s="1" t="str">
        <f t="shared" si="0"/>
        <v>58 CM</v>
      </c>
      <c r="I10" s="1" t="str">
        <f t="shared" si="0"/>
        <v>60 CM</v>
      </c>
      <c r="J10" s="1" t="str">
        <f t="shared" si="0"/>
        <v>62 CM</v>
      </c>
      <c r="M10" s="1" t="s">
        <v>140</v>
      </c>
      <c r="N10" s="1" t="s">
        <v>141</v>
      </c>
      <c r="O10" s="1" t="s">
        <v>142</v>
      </c>
      <c r="P10" s="1" t="s">
        <v>143</v>
      </c>
      <c r="Q10" s="1" t="s">
        <v>144</v>
      </c>
      <c r="R10" s="1" t="s">
        <v>145</v>
      </c>
      <c r="S10" s="1" t="s">
        <v>146</v>
      </c>
      <c r="T10" s="1" t="s">
        <v>158</v>
      </c>
    </row>
    <row r="11" spans="1:34" x14ac:dyDescent="0.3">
      <c r="A11" s="1" t="s">
        <v>5</v>
      </c>
      <c r="B11" s="3" t="str">
        <f>L11</f>
        <v>[A] Seat Tube - Center to Top</v>
      </c>
      <c r="C11" s="1">
        <f>M11*10</f>
        <v>450</v>
      </c>
      <c r="D11" s="1">
        <f t="shared" ref="D11:I11" si="1">N11*10</f>
        <v>470</v>
      </c>
      <c r="E11" s="1">
        <f t="shared" si="1"/>
        <v>490</v>
      </c>
      <c r="F11" s="1">
        <f t="shared" si="1"/>
        <v>510</v>
      </c>
      <c r="G11" s="1">
        <f t="shared" si="1"/>
        <v>520</v>
      </c>
      <c r="H11" s="1">
        <f t="shared" si="1"/>
        <v>540</v>
      </c>
      <c r="I11" s="1">
        <f t="shared" si="1"/>
        <v>560</v>
      </c>
      <c r="J11" s="1">
        <f>T11*10</f>
        <v>575</v>
      </c>
      <c r="L11" s="1" t="s">
        <v>43</v>
      </c>
      <c r="M11" s="1">
        <v>45</v>
      </c>
      <c r="N11" s="1">
        <v>47</v>
      </c>
      <c r="O11" s="1">
        <v>49</v>
      </c>
      <c r="P11" s="1">
        <v>51</v>
      </c>
      <c r="Q11" s="1">
        <v>52</v>
      </c>
      <c r="R11" s="1">
        <v>54</v>
      </c>
      <c r="S11" s="1">
        <v>56</v>
      </c>
      <c r="T11" s="1">
        <v>57.5</v>
      </c>
      <c r="V11" s="1" t="s">
        <v>43</v>
      </c>
      <c r="W11" s="1" t="s">
        <v>44</v>
      </c>
      <c r="X11" s="1" t="s">
        <v>45</v>
      </c>
      <c r="Y11" s="1" t="s">
        <v>46</v>
      </c>
      <c r="Z11" s="1" t="s">
        <v>47</v>
      </c>
      <c r="AA11" s="1" t="s">
        <v>48</v>
      </c>
      <c r="AB11" s="1" t="s">
        <v>49</v>
      </c>
      <c r="AC11" s="1" t="s">
        <v>50</v>
      </c>
      <c r="AD11" s="4" t="s">
        <v>149</v>
      </c>
    </row>
    <row r="12" spans="1:34" x14ac:dyDescent="0.3">
      <c r="A12" s="1" t="s">
        <v>6</v>
      </c>
      <c r="B12" s="3" t="str">
        <f t="shared" ref="B12:B23" si="2">L12</f>
        <v>[B] Top Tube Effective</v>
      </c>
      <c r="C12" s="1">
        <f t="shared" ref="C12:C23" si="3">M12*10</f>
        <v>533.5</v>
      </c>
      <c r="D12" s="1">
        <f t="shared" ref="D12:D23" si="4">N12*10</f>
        <v>542</v>
      </c>
      <c r="E12" s="1">
        <f t="shared" ref="E12:E23" si="5">O12*10</f>
        <v>555.1</v>
      </c>
      <c r="F12" s="1">
        <f t="shared" ref="F12:F23" si="6">P12*10</f>
        <v>569.5</v>
      </c>
      <c r="G12" s="1">
        <f t="shared" ref="G12:G23" si="7">Q12*10</f>
        <v>582</v>
      </c>
      <c r="H12" s="1">
        <f t="shared" ref="H12:H23" si="8">R12*10</f>
        <v>596.59999999999991</v>
      </c>
      <c r="I12" s="1">
        <f t="shared" ref="I12:I23" si="9">S12*10</f>
        <v>615.4</v>
      </c>
      <c r="J12" s="1">
        <f t="shared" ref="J12:J23" si="10">T12*10</f>
        <v>630.70000000000005</v>
      </c>
      <c r="L12" s="1" t="s">
        <v>51</v>
      </c>
      <c r="M12" s="1">
        <v>53.35</v>
      </c>
      <c r="N12" s="1">
        <v>54.2</v>
      </c>
      <c r="O12" s="1">
        <v>55.51</v>
      </c>
      <c r="P12" s="1">
        <v>56.95</v>
      </c>
      <c r="Q12" s="1">
        <v>58.2</v>
      </c>
      <c r="R12" s="1">
        <v>59.66</v>
      </c>
      <c r="S12" s="1">
        <v>61.54</v>
      </c>
      <c r="T12" s="1">
        <v>63.07</v>
      </c>
      <c r="V12" s="1" t="s">
        <v>51</v>
      </c>
      <c r="W12" s="1" t="s">
        <v>52</v>
      </c>
      <c r="X12" s="1" t="s">
        <v>53</v>
      </c>
      <c r="Y12" s="1" t="s">
        <v>54</v>
      </c>
      <c r="Z12" s="1" t="s">
        <v>55</v>
      </c>
      <c r="AA12" s="1" t="s">
        <v>56</v>
      </c>
      <c r="AB12" s="1" t="s">
        <v>57</v>
      </c>
      <c r="AC12" s="1" t="s">
        <v>58</v>
      </c>
      <c r="AD12" s="3" t="s">
        <v>150</v>
      </c>
    </row>
    <row r="13" spans="1:34" x14ac:dyDescent="0.3">
      <c r="A13" s="1" t="s">
        <v>10</v>
      </c>
      <c r="B13" s="3" t="str">
        <f t="shared" si="2"/>
        <v>[C] Head Tube Angle</v>
      </c>
      <c r="C13" s="1">
        <f>M13</f>
        <v>69.75</v>
      </c>
      <c r="D13" s="1">
        <f t="shared" ref="D13:J15" si="11">N13</f>
        <v>69.75</v>
      </c>
      <c r="E13" s="1">
        <f t="shared" si="11"/>
        <v>70</v>
      </c>
      <c r="F13" s="1">
        <f t="shared" si="11"/>
        <v>70.5</v>
      </c>
      <c r="G13" s="1">
        <f t="shared" si="11"/>
        <v>70.5</v>
      </c>
      <c r="H13" s="1">
        <f t="shared" si="11"/>
        <v>70.5</v>
      </c>
      <c r="I13" s="1">
        <f t="shared" si="11"/>
        <v>71</v>
      </c>
      <c r="J13" s="1">
        <f t="shared" si="11"/>
        <v>71</v>
      </c>
      <c r="L13" s="1" t="s">
        <v>59</v>
      </c>
      <c r="M13" s="1">
        <v>69.75</v>
      </c>
      <c r="N13" s="1">
        <v>69.75</v>
      </c>
      <c r="O13" s="1">
        <v>70</v>
      </c>
      <c r="P13" s="1">
        <v>70.5</v>
      </c>
      <c r="Q13" s="1">
        <v>70.5</v>
      </c>
      <c r="R13" s="1">
        <v>70.5</v>
      </c>
      <c r="S13" s="1">
        <v>71</v>
      </c>
      <c r="T13" s="1">
        <v>71</v>
      </c>
      <c r="V13" s="1" t="s">
        <v>59</v>
      </c>
      <c r="W13" s="1" t="s">
        <v>60</v>
      </c>
      <c r="X13" s="1" t="s">
        <v>60</v>
      </c>
      <c r="Y13" s="1" t="s">
        <v>40</v>
      </c>
      <c r="Z13" s="1" t="s">
        <v>61</v>
      </c>
      <c r="AA13" s="1" t="s">
        <v>61</v>
      </c>
      <c r="AB13" s="1" t="s">
        <v>61</v>
      </c>
      <c r="AC13" s="1" t="s">
        <v>62</v>
      </c>
      <c r="AD13" s="5" t="s">
        <v>62</v>
      </c>
    </row>
    <row r="14" spans="1:34" x14ac:dyDescent="0.3">
      <c r="A14" s="1" t="s">
        <v>162</v>
      </c>
      <c r="B14" s="3" t="str">
        <f t="shared" si="2"/>
        <v>[D] Seat Tube Angle</v>
      </c>
      <c r="C14" s="1">
        <f>M14</f>
        <v>73.5</v>
      </c>
      <c r="D14" s="1">
        <f t="shared" si="11"/>
        <v>73.5</v>
      </c>
      <c r="E14" s="1">
        <f t="shared" si="11"/>
        <v>73</v>
      </c>
      <c r="F14" s="1">
        <f t="shared" si="11"/>
        <v>72.5</v>
      </c>
      <c r="G14" s="1">
        <f t="shared" si="11"/>
        <v>72.25</v>
      </c>
      <c r="H14" s="1">
        <f t="shared" si="11"/>
        <v>72</v>
      </c>
      <c r="I14" s="1">
        <f t="shared" si="11"/>
        <v>71.5</v>
      </c>
      <c r="J14" s="1">
        <f t="shared" si="11"/>
        <v>71.5</v>
      </c>
      <c r="L14" s="1" t="s">
        <v>63</v>
      </c>
      <c r="M14" s="1">
        <v>73.5</v>
      </c>
      <c r="N14" s="1">
        <v>73.5</v>
      </c>
      <c r="O14" s="1">
        <v>73</v>
      </c>
      <c r="P14" s="1">
        <v>72.5</v>
      </c>
      <c r="Q14" s="1">
        <v>72.25</v>
      </c>
      <c r="R14" s="1">
        <v>72</v>
      </c>
      <c r="S14" s="1">
        <v>71.5</v>
      </c>
      <c r="T14" s="1">
        <v>71.5</v>
      </c>
      <c r="V14" s="1" t="s">
        <v>63</v>
      </c>
      <c r="W14" s="1" t="s">
        <v>41</v>
      </c>
      <c r="X14" s="1" t="s">
        <v>41</v>
      </c>
      <c r="Y14" s="1" t="s">
        <v>64</v>
      </c>
      <c r="Z14" s="1" t="s">
        <v>65</v>
      </c>
      <c r="AA14" s="1" t="s">
        <v>66</v>
      </c>
      <c r="AB14" s="1" t="s">
        <v>67</v>
      </c>
      <c r="AC14" s="1" t="s">
        <v>68</v>
      </c>
      <c r="AD14" s="5" t="s">
        <v>68</v>
      </c>
    </row>
    <row r="15" spans="1:34" x14ac:dyDescent="0.3">
      <c r="A15" s="1" t="s">
        <v>11</v>
      </c>
      <c r="B15" s="3" t="str">
        <f t="shared" si="2"/>
        <v>[D1] Effective Seat Tube Angle</v>
      </c>
      <c r="C15" s="1">
        <f>M15</f>
        <v>76.87</v>
      </c>
      <c r="D15" s="1">
        <f t="shared" si="11"/>
        <v>76.87</v>
      </c>
      <c r="E15" s="1">
        <f t="shared" si="11"/>
        <v>76.25</v>
      </c>
      <c r="F15" s="1">
        <f t="shared" si="11"/>
        <v>75.78</v>
      </c>
      <c r="G15" s="1">
        <f t="shared" si="11"/>
        <v>75.540000000000006</v>
      </c>
      <c r="H15" s="1">
        <f t="shared" si="11"/>
        <v>75.19</v>
      </c>
      <c r="I15" s="1">
        <f t="shared" si="11"/>
        <v>74.59</v>
      </c>
      <c r="J15" s="1">
        <f t="shared" si="11"/>
        <v>74.59</v>
      </c>
      <c r="L15" s="1" t="s">
        <v>69</v>
      </c>
      <c r="M15" s="1">
        <v>76.87</v>
      </c>
      <c r="N15" s="1">
        <v>76.87</v>
      </c>
      <c r="O15" s="1">
        <v>76.25</v>
      </c>
      <c r="P15" s="1">
        <v>75.78</v>
      </c>
      <c r="Q15" s="1">
        <v>75.540000000000006</v>
      </c>
      <c r="R15" s="1">
        <v>75.19</v>
      </c>
      <c r="S15" s="1">
        <v>74.59</v>
      </c>
      <c r="T15" s="1">
        <v>74.59</v>
      </c>
      <c r="V15" s="1" t="s">
        <v>69</v>
      </c>
      <c r="W15" s="1" t="s">
        <v>70</v>
      </c>
      <c r="X15" s="1" t="s">
        <v>70</v>
      </c>
      <c r="Y15" s="1" t="s">
        <v>71</v>
      </c>
      <c r="Z15" s="1" t="s">
        <v>72</v>
      </c>
      <c r="AA15" s="1" t="s">
        <v>73</v>
      </c>
      <c r="AB15" s="1" t="s">
        <v>74</v>
      </c>
      <c r="AC15" s="1" t="s">
        <v>75</v>
      </c>
      <c r="AD15" s="5" t="s">
        <v>75</v>
      </c>
    </row>
    <row r="16" spans="1:34" x14ac:dyDescent="0.3">
      <c r="A16" s="1" t="s">
        <v>22</v>
      </c>
      <c r="B16" s="3" t="str">
        <f t="shared" si="2"/>
        <v>[E] Stand Over</v>
      </c>
      <c r="C16" s="1">
        <f t="shared" si="3"/>
        <v>757</v>
      </c>
      <c r="D16" s="1">
        <f t="shared" si="4"/>
        <v>778.19999999999993</v>
      </c>
      <c r="E16" s="1">
        <f t="shared" si="5"/>
        <v>795.6</v>
      </c>
      <c r="F16" s="1">
        <f t="shared" si="6"/>
        <v>813.3</v>
      </c>
      <c r="G16" s="1">
        <f t="shared" si="7"/>
        <v>823</v>
      </c>
      <c r="H16" s="1">
        <f t="shared" si="8"/>
        <v>841.80000000000007</v>
      </c>
      <c r="I16" s="1">
        <f t="shared" si="9"/>
        <v>859.4</v>
      </c>
      <c r="J16" s="1">
        <f t="shared" si="10"/>
        <v>876</v>
      </c>
      <c r="L16" s="1" t="s">
        <v>76</v>
      </c>
      <c r="M16" s="1">
        <v>75.7</v>
      </c>
      <c r="N16" s="1">
        <v>77.819999999999993</v>
      </c>
      <c r="O16" s="1">
        <v>79.56</v>
      </c>
      <c r="P16" s="1">
        <v>81.33</v>
      </c>
      <c r="Q16" s="1">
        <v>82.3</v>
      </c>
      <c r="R16" s="1">
        <v>84.18</v>
      </c>
      <c r="S16" s="1">
        <v>85.94</v>
      </c>
      <c r="T16" s="1">
        <v>87.6</v>
      </c>
      <c r="V16" s="1" t="s">
        <v>76</v>
      </c>
      <c r="W16" s="1" t="s">
        <v>77</v>
      </c>
      <c r="X16" s="1" t="s">
        <v>78</v>
      </c>
      <c r="Y16" s="1" t="s">
        <v>79</v>
      </c>
      <c r="Z16" s="1" t="s">
        <v>80</v>
      </c>
      <c r="AA16" s="1" t="s">
        <v>81</v>
      </c>
      <c r="AB16" s="1" t="s">
        <v>82</v>
      </c>
      <c r="AC16" s="1" t="s">
        <v>83</v>
      </c>
      <c r="AD16" s="5" t="s">
        <v>151</v>
      </c>
    </row>
    <row r="17" spans="1:30" x14ac:dyDescent="0.3">
      <c r="A17" s="1" t="s">
        <v>9</v>
      </c>
      <c r="B17" s="3" t="str">
        <f t="shared" si="2"/>
        <v>[F] Head Tube Length</v>
      </c>
      <c r="C17" s="1">
        <f t="shared" si="3"/>
        <v>90</v>
      </c>
      <c r="D17" s="1">
        <f t="shared" si="4"/>
        <v>100</v>
      </c>
      <c r="E17" s="1">
        <f t="shared" si="5"/>
        <v>115</v>
      </c>
      <c r="F17" s="1">
        <f t="shared" si="6"/>
        <v>130</v>
      </c>
      <c r="G17" s="1">
        <f t="shared" si="7"/>
        <v>145</v>
      </c>
      <c r="H17" s="1">
        <f t="shared" si="8"/>
        <v>160</v>
      </c>
      <c r="I17" s="1">
        <f t="shared" si="9"/>
        <v>175</v>
      </c>
      <c r="J17" s="1">
        <f t="shared" si="10"/>
        <v>195</v>
      </c>
      <c r="L17" s="1" t="s">
        <v>84</v>
      </c>
      <c r="M17" s="1">
        <v>9</v>
      </c>
      <c r="N17" s="1">
        <v>10</v>
      </c>
      <c r="O17" s="1">
        <v>11.5</v>
      </c>
      <c r="P17" s="1">
        <v>13</v>
      </c>
      <c r="Q17" s="1">
        <v>14.5</v>
      </c>
      <c r="R17" s="1">
        <v>16</v>
      </c>
      <c r="S17" s="1">
        <v>17.5</v>
      </c>
      <c r="T17" s="1">
        <v>19.5</v>
      </c>
      <c r="V17" s="1" t="s">
        <v>84</v>
      </c>
      <c r="W17" s="1" t="s">
        <v>85</v>
      </c>
      <c r="X17" s="1" t="s">
        <v>86</v>
      </c>
      <c r="Y17" s="1" t="s">
        <v>87</v>
      </c>
      <c r="Z17" s="1" t="s">
        <v>88</v>
      </c>
      <c r="AA17" s="1" t="s">
        <v>89</v>
      </c>
      <c r="AB17" s="1" t="s">
        <v>90</v>
      </c>
      <c r="AC17" s="1" t="s">
        <v>91</v>
      </c>
      <c r="AD17" s="1" t="s">
        <v>152</v>
      </c>
    </row>
    <row r="18" spans="1:30" x14ac:dyDescent="0.3">
      <c r="A18" s="1" t="s">
        <v>14</v>
      </c>
      <c r="B18" s="3" t="str">
        <f t="shared" si="2"/>
        <v>[G] Wheelbase</v>
      </c>
      <c r="C18" s="1">
        <f t="shared" si="3"/>
        <v>1037.3999999999999</v>
      </c>
      <c r="D18" s="1">
        <f t="shared" si="4"/>
        <v>1046.4000000000001</v>
      </c>
      <c r="E18" s="1">
        <f t="shared" si="5"/>
        <v>1053.5</v>
      </c>
      <c r="F18" s="1">
        <f t="shared" si="6"/>
        <v>1061.5999999999999</v>
      </c>
      <c r="G18" s="1">
        <f t="shared" si="7"/>
        <v>1071.4000000000001</v>
      </c>
      <c r="H18" s="1">
        <f t="shared" si="8"/>
        <v>1084.3000000000002</v>
      </c>
      <c r="I18" s="1">
        <f t="shared" si="9"/>
        <v>1094.8999999999999</v>
      </c>
      <c r="J18" s="1">
        <f t="shared" si="10"/>
        <v>1110.4000000000001</v>
      </c>
      <c r="L18" s="1" t="s">
        <v>92</v>
      </c>
      <c r="M18" s="1">
        <v>103.74</v>
      </c>
      <c r="N18" s="1">
        <v>104.64</v>
      </c>
      <c r="O18" s="1">
        <v>105.35</v>
      </c>
      <c r="P18" s="1">
        <v>106.16</v>
      </c>
      <c r="Q18" s="1">
        <v>107.14</v>
      </c>
      <c r="R18" s="1">
        <v>108.43</v>
      </c>
      <c r="S18" s="1">
        <v>109.49</v>
      </c>
      <c r="T18" s="1">
        <v>111.04</v>
      </c>
      <c r="V18" s="1" t="s">
        <v>92</v>
      </c>
      <c r="W18" s="1" t="s">
        <v>93</v>
      </c>
      <c r="X18" s="1" t="s">
        <v>94</v>
      </c>
      <c r="Y18" s="1" t="s">
        <v>95</v>
      </c>
      <c r="Z18" s="1" t="s">
        <v>96</v>
      </c>
      <c r="AA18" s="1" t="s">
        <v>97</v>
      </c>
      <c r="AB18" s="1" t="s">
        <v>98</v>
      </c>
      <c r="AC18" s="1" t="s">
        <v>99</v>
      </c>
      <c r="AD18" s="1" t="s">
        <v>153</v>
      </c>
    </row>
    <row r="19" spans="1:30" x14ac:dyDescent="0.3">
      <c r="A19" s="1" t="s">
        <v>12</v>
      </c>
      <c r="B19" s="3" t="str">
        <f t="shared" si="2"/>
        <v>[H] Front Center</v>
      </c>
      <c r="C19" s="1">
        <f t="shared" si="3"/>
        <v>624.4</v>
      </c>
      <c r="D19" s="1">
        <f t="shared" si="4"/>
        <v>633.40000000000009</v>
      </c>
      <c r="E19" s="1">
        <f t="shared" si="5"/>
        <v>640.19999999999993</v>
      </c>
      <c r="F19" s="1">
        <f t="shared" si="6"/>
        <v>645.5</v>
      </c>
      <c r="G19" s="1">
        <f t="shared" si="7"/>
        <v>655.69999999999993</v>
      </c>
      <c r="H19" s="1">
        <f t="shared" si="8"/>
        <v>668.19999999999993</v>
      </c>
      <c r="I19" s="1">
        <f t="shared" si="9"/>
        <v>676.5</v>
      </c>
      <c r="J19" s="1">
        <f t="shared" si="10"/>
        <v>691.9</v>
      </c>
      <c r="L19" s="1" t="s">
        <v>100</v>
      </c>
      <c r="M19" s="1">
        <v>62.44</v>
      </c>
      <c r="N19" s="1">
        <v>63.34</v>
      </c>
      <c r="O19" s="1">
        <v>64.02</v>
      </c>
      <c r="P19" s="1">
        <v>64.55</v>
      </c>
      <c r="Q19" s="1">
        <v>65.569999999999993</v>
      </c>
      <c r="R19" s="1">
        <v>66.819999999999993</v>
      </c>
      <c r="S19" s="1">
        <v>67.650000000000006</v>
      </c>
      <c r="T19" s="1">
        <v>69.19</v>
      </c>
      <c r="V19" s="1" t="s">
        <v>100</v>
      </c>
      <c r="W19" s="1" t="s">
        <v>101</v>
      </c>
      <c r="X19" s="1" t="s">
        <v>102</v>
      </c>
      <c r="Y19" s="1" t="s">
        <v>103</v>
      </c>
      <c r="Z19" s="1" t="s">
        <v>104</v>
      </c>
      <c r="AA19" s="1" t="s">
        <v>105</v>
      </c>
      <c r="AB19" s="1" t="s">
        <v>106</v>
      </c>
      <c r="AC19" s="1" t="s">
        <v>107</v>
      </c>
      <c r="AD19" s="1" t="s">
        <v>154</v>
      </c>
    </row>
    <row r="20" spans="1:30" x14ac:dyDescent="0.3">
      <c r="A20" s="1" t="s">
        <v>13</v>
      </c>
      <c r="B20" s="3" t="str">
        <f t="shared" si="2"/>
        <v>[I] Chainstay Length</v>
      </c>
      <c r="C20" s="1">
        <f t="shared" si="3"/>
        <v>423</v>
      </c>
      <c r="D20" s="1">
        <f t="shared" si="4"/>
        <v>423</v>
      </c>
      <c r="E20" s="1">
        <f t="shared" si="5"/>
        <v>423</v>
      </c>
      <c r="F20" s="1">
        <f t="shared" si="6"/>
        <v>425</v>
      </c>
      <c r="G20" s="1">
        <f t="shared" si="7"/>
        <v>425</v>
      </c>
      <c r="H20" s="1">
        <f t="shared" si="8"/>
        <v>425</v>
      </c>
      <c r="I20" s="1">
        <f t="shared" si="9"/>
        <v>427</v>
      </c>
      <c r="J20" s="1">
        <f t="shared" si="10"/>
        <v>427</v>
      </c>
      <c r="L20" s="1" t="s">
        <v>108</v>
      </c>
      <c r="M20" s="1">
        <v>42.3</v>
      </c>
      <c r="N20" s="1">
        <v>42.3</v>
      </c>
      <c r="O20" s="1">
        <v>42.3</v>
      </c>
      <c r="P20" s="1">
        <v>42.5</v>
      </c>
      <c r="Q20" s="1">
        <v>42.5</v>
      </c>
      <c r="R20" s="1">
        <v>42.5</v>
      </c>
      <c r="S20" s="1">
        <v>42.7</v>
      </c>
      <c r="T20" s="1">
        <v>42.7</v>
      </c>
      <c r="V20" s="1" t="s">
        <v>108</v>
      </c>
      <c r="W20" s="1" t="s">
        <v>109</v>
      </c>
      <c r="X20" s="1" t="s">
        <v>109</v>
      </c>
      <c r="Y20" s="1" t="s">
        <v>109</v>
      </c>
      <c r="Z20" s="1" t="s">
        <v>110</v>
      </c>
      <c r="AA20" s="1" t="s">
        <v>110</v>
      </c>
      <c r="AB20" s="1" t="s">
        <v>110</v>
      </c>
      <c r="AC20" s="1" t="s">
        <v>111</v>
      </c>
      <c r="AD20" s="1" t="s">
        <v>111</v>
      </c>
    </row>
    <row r="21" spans="1:30" x14ac:dyDescent="0.3">
      <c r="A21" s="1" t="s">
        <v>15</v>
      </c>
      <c r="B21" s="3" t="str">
        <f t="shared" si="2"/>
        <v>[J] Bottom Bracket Drop</v>
      </c>
      <c r="C21" s="1">
        <f>M21</f>
        <v>71</v>
      </c>
      <c r="D21" s="1">
        <f t="shared" ref="D21:J21" si="12">N21</f>
        <v>71</v>
      </c>
      <c r="E21" s="1">
        <f t="shared" si="12"/>
        <v>70</v>
      </c>
      <c r="F21" s="1">
        <f t="shared" si="12"/>
        <v>69</v>
      </c>
      <c r="G21" s="1">
        <f t="shared" si="12"/>
        <v>69</v>
      </c>
      <c r="H21" s="1">
        <f t="shared" si="12"/>
        <v>68</v>
      </c>
      <c r="I21" s="1">
        <f t="shared" si="12"/>
        <v>67</v>
      </c>
      <c r="J21" s="1">
        <f t="shared" si="12"/>
        <v>67</v>
      </c>
      <c r="L21" s="1" t="s">
        <v>112</v>
      </c>
      <c r="M21" s="1">
        <v>71</v>
      </c>
      <c r="N21" s="1">
        <v>71</v>
      </c>
      <c r="O21" s="1">
        <v>70</v>
      </c>
      <c r="P21" s="1">
        <v>69</v>
      </c>
      <c r="Q21" s="1">
        <v>69</v>
      </c>
      <c r="R21" s="1">
        <v>68</v>
      </c>
      <c r="S21" s="1">
        <v>67</v>
      </c>
      <c r="T21" s="1">
        <v>67</v>
      </c>
      <c r="V21" s="1" t="s">
        <v>112</v>
      </c>
      <c r="W21" s="1" t="s">
        <v>113</v>
      </c>
      <c r="X21" s="1" t="s">
        <v>113</v>
      </c>
      <c r="Y21" s="1" t="s">
        <v>114</v>
      </c>
      <c r="Z21" s="1" t="s">
        <v>115</v>
      </c>
      <c r="AA21" s="1" t="s">
        <v>115</v>
      </c>
      <c r="AB21" s="1" t="s">
        <v>116</v>
      </c>
      <c r="AC21" s="1" t="s">
        <v>117</v>
      </c>
      <c r="AD21" s="1" t="s">
        <v>117</v>
      </c>
    </row>
    <row r="22" spans="1:30" x14ac:dyDescent="0.3">
      <c r="A22" s="1" t="s">
        <v>18</v>
      </c>
      <c r="B22" s="3" t="str">
        <f t="shared" si="2"/>
        <v>[K] Trail</v>
      </c>
      <c r="C22" s="1">
        <f>M22</f>
        <v>77.709999999999994</v>
      </c>
      <c r="D22" s="1">
        <f t="shared" ref="D22:J22" si="13">N22</f>
        <v>80.3</v>
      </c>
      <c r="E22" s="1">
        <f t="shared" si="13"/>
        <v>78.58</v>
      </c>
      <c r="F22" s="1">
        <f t="shared" si="13"/>
        <v>75.150000000000006</v>
      </c>
      <c r="G22" s="1">
        <f t="shared" si="13"/>
        <v>75.150000000000006</v>
      </c>
      <c r="H22" s="1">
        <f t="shared" si="13"/>
        <v>75.150000000000006</v>
      </c>
      <c r="I22" s="1">
        <f t="shared" si="13"/>
        <v>71.739999999999995</v>
      </c>
      <c r="J22" s="1">
        <f t="shared" si="13"/>
        <v>71.739999999999995</v>
      </c>
      <c r="L22" s="1" t="s">
        <v>118</v>
      </c>
      <c r="M22" s="1">
        <v>77.709999999999994</v>
      </c>
      <c r="N22" s="1">
        <v>80.3</v>
      </c>
      <c r="O22" s="1">
        <v>78.58</v>
      </c>
      <c r="P22" s="1">
        <v>75.150000000000006</v>
      </c>
      <c r="Q22" s="1">
        <v>75.150000000000006</v>
      </c>
      <c r="R22" s="1">
        <v>75.150000000000006</v>
      </c>
      <c r="S22" s="1">
        <v>71.739999999999995</v>
      </c>
      <c r="T22" s="1">
        <v>71.739999999999995</v>
      </c>
      <c r="V22" s="1" t="s">
        <v>118</v>
      </c>
      <c r="W22" s="1" t="s">
        <v>119</v>
      </c>
      <c r="X22" s="1" t="s">
        <v>120</v>
      </c>
      <c r="Y22" s="1" t="s">
        <v>121</v>
      </c>
      <c r="Z22" s="1" t="s">
        <v>122</v>
      </c>
      <c r="AA22" s="1" t="s">
        <v>122</v>
      </c>
      <c r="AB22" s="1" t="s">
        <v>122</v>
      </c>
      <c r="AC22" s="1" t="s">
        <v>123</v>
      </c>
      <c r="AD22" s="1" t="s">
        <v>123</v>
      </c>
    </row>
    <row r="23" spans="1:30" x14ac:dyDescent="0.3">
      <c r="A23" s="1" t="s">
        <v>8</v>
      </c>
      <c r="B23" s="3" t="str">
        <f t="shared" si="2"/>
        <v>[M] Stack</v>
      </c>
      <c r="C23" s="1">
        <f t="shared" si="3"/>
        <v>546.79999999999995</v>
      </c>
      <c r="D23" s="1">
        <f t="shared" si="4"/>
        <v>556.19999999999993</v>
      </c>
      <c r="E23" s="1">
        <f t="shared" si="5"/>
        <v>570.29999999999995</v>
      </c>
      <c r="F23" s="1">
        <f t="shared" si="6"/>
        <v>585.5</v>
      </c>
      <c r="G23" s="1">
        <f t="shared" si="7"/>
        <v>599.70000000000005</v>
      </c>
      <c r="H23" s="1">
        <f t="shared" si="8"/>
        <v>613</v>
      </c>
      <c r="I23" s="1">
        <f t="shared" si="9"/>
        <v>628.1</v>
      </c>
      <c r="J23" s="1">
        <f t="shared" si="10"/>
        <v>647</v>
      </c>
      <c r="L23" s="1" t="s">
        <v>124</v>
      </c>
      <c r="M23" s="1">
        <v>54.68</v>
      </c>
      <c r="N23" s="1">
        <v>55.62</v>
      </c>
      <c r="O23" s="1">
        <v>57.03</v>
      </c>
      <c r="P23" s="1">
        <v>58.55</v>
      </c>
      <c r="Q23" s="1">
        <v>59.97</v>
      </c>
      <c r="R23" s="1">
        <v>61.3</v>
      </c>
      <c r="S23" s="1">
        <v>62.81</v>
      </c>
      <c r="T23" s="1">
        <v>64.7</v>
      </c>
      <c r="V23" s="1" t="s">
        <v>124</v>
      </c>
      <c r="W23" s="1" t="s">
        <v>125</v>
      </c>
      <c r="X23" s="1" t="s">
        <v>126</v>
      </c>
      <c r="Y23" s="1" t="s">
        <v>127</v>
      </c>
      <c r="Z23" s="1" t="s">
        <v>128</v>
      </c>
      <c r="AA23" s="1" t="s">
        <v>129</v>
      </c>
      <c r="AB23" s="1" t="s">
        <v>130</v>
      </c>
      <c r="AC23" s="1" t="s">
        <v>131</v>
      </c>
      <c r="AD23" s="1" t="s">
        <v>155</v>
      </c>
    </row>
    <row r="24" spans="1:30" x14ac:dyDescent="0.3">
      <c r="A24" s="1" t="s">
        <v>7</v>
      </c>
      <c r="B24" s="3" t="str">
        <f t="shared" ref="B24:B25" si="14">L24</f>
        <v>[N] Reach</v>
      </c>
      <c r="C24" s="1">
        <f t="shared" ref="C24:C25" si="15">M24*10</f>
        <v>390.4</v>
      </c>
      <c r="D24" s="1">
        <f t="shared" ref="D24:D25" si="16">N24*10</f>
        <v>396</v>
      </c>
      <c r="E24" s="1">
        <f t="shared" ref="E24:E25" si="17">O24*10</f>
        <v>399.90000000000003</v>
      </c>
      <c r="F24" s="1">
        <f t="shared" ref="F24:F25" si="18">P24*10</f>
        <v>404.79999999999995</v>
      </c>
      <c r="G24" s="1">
        <f t="shared" ref="G24:G25" si="19">Q24*10</f>
        <v>410</v>
      </c>
      <c r="H24" s="1">
        <f t="shared" ref="H24:H25" si="20">R24*10</f>
        <v>417.70000000000005</v>
      </c>
      <c r="I24" s="1">
        <f t="shared" ref="I24:I25" si="21">S24*10</f>
        <v>426</v>
      </c>
      <c r="J24" s="1">
        <f t="shared" ref="J24:J25" si="22">T24*10</f>
        <v>435</v>
      </c>
      <c r="L24" s="1" t="s">
        <v>132</v>
      </c>
      <c r="M24" s="1">
        <v>39.04</v>
      </c>
      <c r="N24" s="1">
        <v>39.6</v>
      </c>
      <c r="O24" s="1">
        <v>39.99</v>
      </c>
      <c r="P24" s="1">
        <v>40.479999999999997</v>
      </c>
      <c r="Q24" s="1">
        <v>41</v>
      </c>
      <c r="R24" s="1">
        <v>41.77</v>
      </c>
      <c r="S24" s="1">
        <v>42.6</v>
      </c>
      <c r="T24" s="1">
        <v>43.5</v>
      </c>
      <c r="V24" s="1" t="s">
        <v>132</v>
      </c>
      <c r="W24" s="1" t="s">
        <v>133</v>
      </c>
      <c r="X24" s="1" t="s">
        <v>134</v>
      </c>
      <c r="Y24" s="1" t="s">
        <v>135</v>
      </c>
      <c r="Z24" s="1" t="s">
        <v>136</v>
      </c>
      <c r="AA24" s="1" t="s">
        <v>137</v>
      </c>
      <c r="AB24" s="1" t="s">
        <v>138</v>
      </c>
      <c r="AC24" s="1" t="s">
        <v>139</v>
      </c>
      <c r="AD24" s="1" t="s">
        <v>156</v>
      </c>
    </row>
    <row r="25" spans="1:30" x14ac:dyDescent="0.3">
      <c r="A25" s="1" t="s">
        <v>16</v>
      </c>
      <c r="B25" s="3" t="str">
        <f t="shared" si="14"/>
        <v>[O] Axle to Crown- Fork</v>
      </c>
      <c r="C25" s="1">
        <f t="shared" si="15"/>
        <v>435</v>
      </c>
      <c r="D25" s="1">
        <f t="shared" si="16"/>
        <v>435</v>
      </c>
      <c r="E25" s="1">
        <f t="shared" si="17"/>
        <v>435</v>
      </c>
      <c r="F25" s="1">
        <f t="shared" si="18"/>
        <v>435</v>
      </c>
      <c r="G25" s="1">
        <f t="shared" si="19"/>
        <v>435</v>
      </c>
      <c r="H25" s="1">
        <f t="shared" si="20"/>
        <v>435</v>
      </c>
      <c r="I25" s="1">
        <f t="shared" si="21"/>
        <v>435</v>
      </c>
      <c r="J25" s="1">
        <f t="shared" si="22"/>
        <v>435</v>
      </c>
      <c r="L25" s="1" t="s">
        <v>147</v>
      </c>
      <c r="M25" s="1">
        <v>43.5</v>
      </c>
      <c r="N25" s="1">
        <v>43.5</v>
      </c>
      <c r="O25" s="1">
        <v>43.5</v>
      </c>
      <c r="P25" s="1">
        <v>43.5</v>
      </c>
      <c r="Q25" s="1">
        <v>43.5</v>
      </c>
      <c r="R25" s="1">
        <v>43.5</v>
      </c>
      <c r="S25" s="1">
        <v>43.5</v>
      </c>
      <c r="T25" s="1">
        <v>43.5</v>
      </c>
      <c r="V25" s="1" t="s">
        <v>147</v>
      </c>
      <c r="W25" s="1" t="s">
        <v>156</v>
      </c>
      <c r="X25" s="1" t="s">
        <v>156</v>
      </c>
      <c r="Y25" s="1" t="s">
        <v>156</v>
      </c>
      <c r="Z25" s="1" t="s">
        <v>156</v>
      </c>
      <c r="AA25" s="1" t="s">
        <v>156</v>
      </c>
      <c r="AB25" s="1" t="s">
        <v>156</v>
      </c>
      <c r="AC25" s="1" t="s">
        <v>156</v>
      </c>
      <c r="AD25" s="1" t="s">
        <v>156</v>
      </c>
    </row>
    <row r="26" spans="1:30" x14ac:dyDescent="0.3">
      <c r="A26" s="1" t="s">
        <v>17</v>
      </c>
      <c r="B26" s="3" t="str">
        <f t="shared" ref="B26" si="23">L26</f>
        <v>[P] Offset- Fork</v>
      </c>
      <c r="C26" s="1">
        <f>M26</f>
        <v>51</v>
      </c>
      <c r="D26" s="1">
        <f t="shared" ref="D26:J26" si="24">N26</f>
        <v>51</v>
      </c>
      <c r="E26" s="1">
        <f t="shared" si="24"/>
        <v>51</v>
      </c>
      <c r="F26" s="1">
        <f t="shared" si="24"/>
        <v>51</v>
      </c>
      <c r="G26" s="1">
        <f t="shared" si="24"/>
        <v>51</v>
      </c>
      <c r="H26" s="1">
        <f t="shared" si="24"/>
        <v>51</v>
      </c>
      <c r="I26" s="1">
        <f t="shared" si="24"/>
        <v>51</v>
      </c>
      <c r="J26" s="1">
        <f t="shared" si="24"/>
        <v>51</v>
      </c>
      <c r="L26" s="1" t="s">
        <v>148</v>
      </c>
      <c r="M26" s="1">
        <v>51</v>
      </c>
      <c r="N26" s="1">
        <v>51</v>
      </c>
      <c r="O26" s="1">
        <v>51</v>
      </c>
      <c r="P26" s="1">
        <v>51</v>
      </c>
      <c r="Q26" s="1">
        <v>51</v>
      </c>
      <c r="R26" s="1">
        <v>51</v>
      </c>
      <c r="S26" s="1">
        <v>51</v>
      </c>
      <c r="T26" s="1">
        <v>51</v>
      </c>
      <c r="V26" s="1" t="s">
        <v>148</v>
      </c>
      <c r="W26" s="1" t="s">
        <v>157</v>
      </c>
      <c r="X26" s="1" t="s">
        <v>157</v>
      </c>
      <c r="Y26" s="1" t="s">
        <v>157</v>
      </c>
      <c r="Z26" s="1" t="s">
        <v>157</v>
      </c>
      <c r="AA26" s="1" t="s">
        <v>157</v>
      </c>
      <c r="AB26" s="1" t="s">
        <v>157</v>
      </c>
      <c r="AC26" s="1" t="s">
        <v>157</v>
      </c>
      <c r="AD26" s="1" t="s">
        <v>157</v>
      </c>
    </row>
    <row r="27" spans="1:30" x14ac:dyDescent="0.3">
      <c r="A27" s="1" t="s">
        <v>195</v>
      </c>
      <c r="B27" s="3"/>
    </row>
    <row r="28" spans="1:30" x14ac:dyDescent="0.3">
      <c r="A28" s="1" t="s">
        <v>19</v>
      </c>
      <c r="B28" s="3"/>
    </row>
    <row r="29" spans="1:30" x14ac:dyDescent="0.3">
      <c r="A29" s="1" t="s">
        <v>20</v>
      </c>
      <c r="C29" s="1">
        <v>50</v>
      </c>
      <c r="D29" s="1">
        <v>60</v>
      </c>
      <c r="E29" s="1">
        <v>60</v>
      </c>
      <c r="F29" s="1">
        <v>70</v>
      </c>
      <c r="G29" s="1">
        <v>70</v>
      </c>
      <c r="H29" s="1">
        <v>80</v>
      </c>
      <c r="I29" s="1">
        <v>90</v>
      </c>
      <c r="J29" s="1">
        <v>100</v>
      </c>
      <c r="K29" s="1" t="s">
        <v>163</v>
      </c>
    </row>
    <row r="30" spans="1:30" x14ac:dyDescent="0.3">
      <c r="A30" s="1" t="s">
        <v>21</v>
      </c>
    </row>
    <row r="31" spans="1:30" x14ac:dyDescent="0.3">
      <c r="A31" s="1" t="s">
        <v>23</v>
      </c>
      <c r="C31" s="1">
        <v>700</v>
      </c>
      <c r="D31" s="1">
        <v>700</v>
      </c>
      <c r="E31" s="1">
        <v>700</v>
      </c>
      <c r="F31" s="1">
        <v>700</v>
      </c>
      <c r="G31" s="1">
        <v>700</v>
      </c>
      <c r="H31" s="1">
        <v>700</v>
      </c>
    </row>
    <row r="32" spans="1:30" x14ac:dyDescent="0.3">
      <c r="A32" s="1" t="s">
        <v>24</v>
      </c>
      <c r="C32" s="1">
        <v>40</v>
      </c>
      <c r="D32" s="1">
        <v>40</v>
      </c>
      <c r="E32" s="1">
        <v>40</v>
      </c>
      <c r="F32" s="1">
        <v>40</v>
      </c>
      <c r="G32" s="1">
        <v>40</v>
      </c>
      <c r="H32" s="1">
        <v>40</v>
      </c>
    </row>
    <row r="33" spans="1:8" x14ac:dyDescent="0.3">
      <c r="A33" s="1" t="s">
        <v>25</v>
      </c>
      <c r="C33" s="1">
        <v>57</v>
      </c>
      <c r="D33" s="1">
        <v>57</v>
      </c>
      <c r="E33" s="1">
        <v>57</v>
      </c>
      <c r="F33" s="1">
        <v>57</v>
      </c>
      <c r="G33" s="1">
        <v>57</v>
      </c>
      <c r="H33" s="1">
        <v>57</v>
      </c>
    </row>
    <row r="34" spans="1:8" x14ac:dyDescent="0.3">
      <c r="A34" s="1" t="s">
        <v>26</v>
      </c>
      <c r="C34" s="1">
        <v>150</v>
      </c>
      <c r="D34" s="1">
        <v>160</v>
      </c>
      <c r="E34" s="1">
        <v>168</v>
      </c>
      <c r="F34" s="1">
        <v>176</v>
      </c>
      <c r="G34" s="1">
        <v>184</v>
      </c>
      <c r="H34" s="1">
        <v>192</v>
      </c>
    </row>
    <row r="35" spans="1:8" x14ac:dyDescent="0.3">
      <c r="A35" s="1" t="s">
        <v>27</v>
      </c>
      <c r="C35" s="1">
        <v>160</v>
      </c>
      <c r="D35" s="1">
        <v>168</v>
      </c>
      <c r="E35" s="1">
        <v>176</v>
      </c>
      <c r="F35" s="1">
        <v>184</v>
      </c>
      <c r="G35" s="1">
        <v>192</v>
      </c>
      <c r="H35" s="1">
        <v>200</v>
      </c>
    </row>
    <row r="36" spans="1:8" x14ac:dyDescent="0.3">
      <c r="C36" s="1">
        <v>60</v>
      </c>
      <c r="D36" s="1">
        <v>63.5</v>
      </c>
      <c r="E36" s="1">
        <v>67.5</v>
      </c>
      <c r="F36" s="1">
        <v>70</v>
      </c>
      <c r="G36" s="1">
        <v>72</v>
      </c>
      <c r="H36" s="1">
        <v>73.5</v>
      </c>
    </row>
    <row r="37" spans="1:8" x14ac:dyDescent="0.3">
      <c r="C37" s="1">
        <v>63.5</v>
      </c>
      <c r="D37" s="1">
        <v>67.5</v>
      </c>
      <c r="E37" s="1">
        <v>70</v>
      </c>
      <c r="F37" s="1">
        <v>72</v>
      </c>
      <c r="G37" s="1">
        <v>73.5</v>
      </c>
      <c r="H37" s="1">
        <v>75</v>
      </c>
    </row>
    <row r="38" spans="1:8" x14ac:dyDescent="0.3">
      <c r="B38" s="3" t="s">
        <v>33</v>
      </c>
      <c r="C38" s="1" t="s">
        <v>34</v>
      </c>
      <c r="D38" s="1" t="s">
        <v>35</v>
      </c>
      <c r="E38" s="1" t="s">
        <v>36</v>
      </c>
      <c r="F38" s="1" t="s">
        <v>37</v>
      </c>
      <c r="G38" s="1" t="s">
        <v>38</v>
      </c>
      <c r="H38" s="1" t="s">
        <v>39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 Storm King GP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2025-07-23T00:48:30Z</dcterms:modified>
</cp:coreProperties>
</file>