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7F92326-4B8D-3F4B-A73A-82B494F0C1FE}" xr6:coauthVersionLast="47" xr6:coauthVersionMax="47" xr10:uidLastSave="{00000000-0000-0000-0000-000000000000}"/>
  <bookViews>
    <workbookView xWindow="240" yWindow="1220" windowWidth="27460" windowHeight="10620" xr2:uid="{7BC12CDB-7FFF-C34B-880D-BB577D883741}"/>
  </bookViews>
  <sheets>
    <sheet name="Propain Terrel CF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D34" i="1" s="1"/>
  <c r="F33" i="1"/>
  <c r="E34" i="1" s="1"/>
  <c r="G33" i="1"/>
  <c r="F34" i="1" s="1"/>
  <c r="D33" i="1"/>
  <c r="C34" i="1" s="1"/>
</calcChain>
</file>

<file path=xl/sharedStrings.xml><?xml version="1.0" encoding="utf-8"?>
<sst xmlns="http://schemas.openxmlformats.org/spreadsheetml/2006/main" count="198" uniqueCount="147">
  <si>
    <t>brand</t>
  </si>
  <si>
    <t>Propain</t>
  </si>
  <si>
    <t>model</t>
  </si>
  <si>
    <t>Terrel CF</t>
  </si>
  <si>
    <t>model year</t>
  </si>
  <si>
    <t>input date</t>
  </si>
  <si>
    <t>URL</t>
  </si>
  <si>
    <t>https://www.propain-bikes.com/us/product/bikes/gravel/terrel-cf/</t>
  </si>
  <si>
    <t>material</t>
  </si>
  <si>
    <t>carbon</t>
  </si>
  <si>
    <t>frame weight</t>
  </si>
  <si>
    <t>yes</t>
  </si>
  <si>
    <t>measure range</t>
  </si>
  <si>
    <t>frame_size</t>
  </si>
  <si>
    <t>Frame Size</t>
  </si>
  <si>
    <t>SIZE XS</t>
  </si>
  <si>
    <t>SIZE S</t>
  </si>
  <si>
    <t>SIZE M</t>
  </si>
  <si>
    <t>SIZE L</t>
  </si>
  <si>
    <t>SIZE XL</t>
  </si>
  <si>
    <t>seat_tube_length</t>
  </si>
  <si>
    <t>Frame height (A)</t>
  </si>
  <si>
    <t>470 mm</t>
  </si>
  <si>
    <t>510 mm</t>
  </si>
  <si>
    <t>525 mm</t>
  </si>
  <si>
    <t>545 mm</t>
  </si>
  <si>
    <t>570 mm</t>
  </si>
  <si>
    <t>fork_offset_rake</t>
  </si>
  <si>
    <t>Fork offset (B)</t>
  </si>
  <si>
    <t>45 mm</t>
  </si>
  <si>
    <t>axle_crown</t>
  </si>
  <si>
    <t>Fork length (C)</t>
  </si>
  <si>
    <t>425 mm</t>
  </si>
  <si>
    <t>head_tube_length</t>
  </si>
  <si>
    <t>Head tube length (D)</t>
  </si>
  <si>
    <t>98 mm</t>
  </si>
  <si>
    <t>116 mm</t>
  </si>
  <si>
    <t>130 mm</t>
  </si>
  <si>
    <t>154 mm</t>
  </si>
  <si>
    <t>177 mm</t>
  </si>
  <si>
    <t>reach</t>
  </si>
  <si>
    <t>Reach (E)</t>
  </si>
  <si>
    <t>382 mm</t>
  </si>
  <si>
    <t>396 mm</t>
  </si>
  <si>
    <t>405 mm</t>
  </si>
  <si>
    <t>412 mm</t>
  </si>
  <si>
    <t>430 mm</t>
  </si>
  <si>
    <t>stack</t>
  </si>
  <si>
    <t>Stack (F)</t>
  </si>
  <si>
    <t>554 mm</t>
  </si>
  <si>
    <t>568 mm</t>
  </si>
  <si>
    <t>583 mm</t>
  </si>
  <si>
    <t>608 mm</t>
  </si>
  <si>
    <t>632 mm</t>
  </si>
  <si>
    <t>head_tube_angle</t>
  </si>
  <si>
    <t>Head angle (G)</t>
  </si>
  <si>
    <t>69.5°</t>
  </si>
  <si>
    <t>70°</t>
  </si>
  <si>
    <t>70.5°</t>
  </si>
  <si>
    <t>71°</t>
  </si>
  <si>
    <t>71.5°</t>
  </si>
  <si>
    <t>seat_tube_angle</t>
  </si>
  <si>
    <t>Seat angle (H)</t>
  </si>
  <si>
    <t>74.3°</t>
  </si>
  <si>
    <t>73.5°</t>
  </si>
  <si>
    <t>top_tube_effective_length</t>
  </si>
  <si>
    <t>Top tube length (I)</t>
  </si>
  <si>
    <t>538 mm</t>
  </si>
  <si>
    <t>564 mm</t>
  </si>
  <si>
    <t>578 mm</t>
  </si>
  <si>
    <t>592 mm</t>
  </si>
  <si>
    <t>617 mm</t>
  </si>
  <si>
    <t>bottom_bracket_drop</t>
  </si>
  <si>
    <t>BB offset (J)</t>
  </si>
  <si>
    <t>77 mm</t>
  </si>
  <si>
    <t>72 mm</t>
  </si>
  <si>
    <t>bb_height</t>
  </si>
  <si>
    <t>BB height (K)</t>
  </si>
  <si>
    <t>287 mm</t>
  </si>
  <si>
    <t>292 mm</t>
  </si>
  <si>
    <t>chainstay_length</t>
  </si>
  <si>
    <t>Chainstay length (L)</t>
  </si>
  <si>
    <t>435 mm</t>
  </si>
  <si>
    <t>wheelbase</t>
  </si>
  <si>
    <t>Wheelbase (M)</t>
  </si>
  <si>
    <t>1,037 mm</t>
  </si>
  <si>
    <t>1,053 mm</t>
  </si>
  <si>
    <t>1,062 mm</t>
  </si>
  <si>
    <t>1,073 mm</t>
  </si>
  <si>
    <t>1,094 mm</t>
  </si>
  <si>
    <t>standover</t>
  </si>
  <si>
    <t>Standover height (N)*</t>
  </si>
  <si>
    <t>787 mm</t>
  </si>
  <si>
    <t>803 mm</t>
  </si>
  <si>
    <t>820 mm</t>
  </si>
  <si>
    <t>843 mm</t>
  </si>
  <si>
    <t>862 mm</t>
  </si>
  <si>
    <t>chainstay_length_2</t>
  </si>
  <si>
    <t>cs^2 = rc^2 + bb^2</t>
  </si>
  <si>
    <t>handlebar_width</t>
  </si>
  <si>
    <t>stem_length</t>
  </si>
  <si>
    <t>have to "buy" each of these to get these data</t>
  </si>
  <si>
    <t>crank_length</t>
  </si>
  <si>
    <t>wheel_size</t>
  </si>
  <si>
    <t>tire_width_spec</t>
  </si>
  <si>
    <t>tire_width_max</t>
  </si>
  <si>
    <t>rider_min</t>
  </si>
  <si>
    <t>rider_max</t>
  </si>
  <si>
    <t>XS: 160-170 cm / S: 168-178 cm / M: 175-185 cm / L: 183-193 cm / XL: 190-200 cm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</si>
  <si>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</si>
  <si>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</si>
  <si>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</si>
  <si>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</si>
  <si>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</si>
  <si>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</si>
  <si>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</si>
  <si>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</si>
  <si>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</si>
  <si>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</si>
  <si>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</si>
  <si>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</si>
  <si>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</si>
  <si>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</si>
  <si>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</si>
  <si>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</si>
  <si>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</si>
  <si>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</si>
  <si>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</si>
  <si>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</si>
  <si>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</si>
  <si>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</si>
  <si>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</si>
  <si>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currency</t>
  </si>
  <si>
    <t>routing dynamo</t>
  </si>
  <si>
    <t>base build</t>
  </si>
  <si>
    <t>us</t>
  </si>
  <si>
    <t>internal</t>
  </si>
  <si>
    <t>front derailleur</t>
  </si>
  <si>
    <t>fork suspension</t>
  </si>
  <si>
    <t>stem suspension</t>
  </si>
  <si>
    <t>rear suspension</t>
  </si>
  <si>
    <t>no</t>
  </si>
  <si>
    <t>internal storage</t>
  </si>
  <si>
    <t>a10:g34</t>
  </si>
  <si>
    <t>700c width max</t>
  </si>
  <si>
    <t>ISO ASTM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</si>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</sst>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000000"/>
      <name val="Futura Medium"/>
      <charset val="1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9A2D-4337-6D49-BF11-5DE928D47A13}">
  <dimension ref="A1:AH37"/>
  <sheetViews>
    <sheetView tabSelected="1" topLeftCell="Q1" workbookViewId="0">
      <selection activeCell="T7" sqref="T7"/>
    </sheetView>
  </sheetViews>
  <sheetFormatPr baseColWidth="10" defaultColWidth="27" defaultRowHeight="20" x14ac:dyDescent="0.3"/>
  <cols>
    <col min="1" max="2" width="27" style="1"/>
    <col min="3" max="7" width="13.83203125" style="1" customWidth="1"/>
    <col min="8" max="30" width="14.6640625" style="1" customWidth="1"/>
    <col min="31" max="16384" width="27" style="1"/>
  </cols>
  <sheetData>
    <row r="1" spans="1:34" x14ac:dyDescent="0.3">
      <c r="A1" s="1" t="s">
        <v>0</v>
      </c>
      <c r="B1" s="1" t="s">
        <v>1</v>
      </c>
    </row>
    <row r="2" spans="1:34" x14ac:dyDescent="0.3">
      <c r="A2" s="1" t="s">
        <v>2</v>
      </c>
      <c r="B2" s="1" t="s">
        <v>3</v>
      </c>
    </row>
    <row r="3" spans="1:34" x14ac:dyDescent="0.3">
      <c r="A3" s="1" t="s">
        <v>4</v>
      </c>
      <c r="B3" s="1">
        <v>2024</v>
      </c>
    </row>
    <row r="4" spans="1:34" x14ac:dyDescent="0.3">
      <c r="A4" s="1" t="s">
        <v>5</v>
      </c>
      <c r="B4" s="2">
        <v>45851</v>
      </c>
    </row>
    <row r="5" spans="1:34" x14ac:dyDescent="0.3">
      <c r="A5" s="1" t="s">
        <v>6</v>
      </c>
      <c r="B5" s="1" t="s">
        <v>7</v>
      </c>
    </row>
    <row r="6" spans="1:34" s="3" customFormat="1" ht="44" customHeight="1" x14ac:dyDescent="0.3">
      <c r="A6" s="3" t="s">
        <v>8</v>
      </c>
      <c r="B6" s="3" t="s">
        <v>109</v>
      </c>
      <c r="C6" s="3" t="s">
        <v>110</v>
      </c>
      <c r="D6" s="3" t="s">
        <v>144</v>
      </c>
      <c r="E6" s="3" t="s">
        <v>111</v>
      </c>
      <c r="F6" s="3" t="s">
        <v>112</v>
      </c>
      <c r="G6" s="3" t="s">
        <v>138</v>
      </c>
      <c r="H6" s="3" t="s">
        <v>139</v>
      </c>
      <c r="I6" s="3" t="s">
        <v>140</v>
      </c>
      <c r="J6" s="3" t="s">
        <v>113</v>
      </c>
      <c r="K6" s="3" t="s">
        <v>114</v>
      </c>
      <c r="L6" s="3" t="s">
        <v>115</v>
      </c>
      <c r="M6" s="3" t="s">
        <v>116</v>
      </c>
      <c r="N6" s="3" t="s">
        <v>117</v>
      </c>
      <c r="O6" s="3" t="s">
        <v>118</v>
      </c>
      <c r="P6" s="4" t="s">
        <v>133</v>
      </c>
      <c r="Q6" s="3" t="s">
        <v>137</v>
      </c>
      <c r="R6" s="3" t="s">
        <v>119</v>
      </c>
      <c r="S6" s="3" t="s">
        <v>120</v>
      </c>
      <c r="T6" s="3" t="s">
        <v>121</v>
      </c>
      <c r="U6" s="3" t="s">
        <v>122</v>
      </c>
      <c r="V6" s="3" t="s">
        <v>123</v>
      </c>
      <c r="W6" s="3" t="s">
        <v>124</v>
      </c>
      <c r="X6" s="3" t="s">
        <v>125</v>
      </c>
      <c r="Y6" s="3" t="s">
        <v>126</v>
      </c>
      <c r="Z6" s="3" t="s">
        <v>127</v>
      </c>
      <c r="AA6" s="3" t="s">
        <v>128</v>
      </c>
      <c r="AB6" s="6" t="s">
        <v>145</v>
      </c>
      <c r="AC6" s="3" t="s">
        <v>129</v>
      </c>
      <c r="AD6" s="3" t="s">
        <v>130</v>
      </c>
      <c r="AE6" s="3" t="s">
        <v>131</v>
      </c>
      <c r="AF6" s="3" t="s">
        <v>134</v>
      </c>
      <c r="AG6" s="3" t="s">
        <v>132</v>
      </c>
      <c r="AH6" s="4" t="s">
        <v>142</v>
      </c>
    </row>
    <row r="7" spans="1:34" x14ac:dyDescent="0.3">
      <c r="A7" s="1" t="s">
        <v>9</v>
      </c>
      <c r="B7" s="1" t="s">
        <v>11</v>
      </c>
      <c r="C7" s="1">
        <v>0</v>
      </c>
      <c r="D7" s="1">
        <v>50</v>
      </c>
      <c r="F7" s="1">
        <v>40</v>
      </c>
      <c r="G7" s="1" t="s">
        <v>11</v>
      </c>
      <c r="H7" s="1" t="s">
        <v>141</v>
      </c>
      <c r="I7" s="1" t="s">
        <v>141</v>
      </c>
      <c r="J7" s="1">
        <v>142</v>
      </c>
      <c r="K7" s="1">
        <v>100</v>
      </c>
      <c r="M7" s="1">
        <v>27.2</v>
      </c>
      <c r="N7" s="1" t="s">
        <v>136</v>
      </c>
      <c r="O7" s="1" t="s">
        <v>136</v>
      </c>
      <c r="P7" s="5"/>
      <c r="Q7" s="1" t="s">
        <v>11</v>
      </c>
      <c r="T7" s="1" t="s">
        <v>146</v>
      </c>
      <c r="U7" s="1">
        <v>2</v>
      </c>
      <c r="V7" s="1">
        <v>1</v>
      </c>
      <c r="W7" s="1">
        <v>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>
        <v>160</v>
      </c>
      <c r="AD7" s="1">
        <v>160</v>
      </c>
      <c r="AE7" s="1">
        <v>1999</v>
      </c>
      <c r="AF7" s="1">
        <v>2899</v>
      </c>
      <c r="AG7" s="1" t="s">
        <v>135</v>
      </c>
      <c r="AH7" s="1" t="s">
        <v>11</v>
      </c>
    </row>
    <row r="9" spans="1:34" x14ac:dyDescent="0.3">
      <c r="A9" s="1" t="s">
        <v>12</v>
      </c>
      <c r="B9" s="1" t="s">
        <v>143</v>
      </c>
    </row>
    <row r="10" spans="1:34" x14ac:dyDescent="0.3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L10" s="1" t="s">
        <v>14</v>
      </c>
      <c r="M10" s="1" t="s">
        <v>15</v>
      </c>
      <c r="N10" s="1" t="s">
        <v>16</v>
      </c>
      <c r="O10" s="1" t="s">
        <v>17</v>
      </c>
      <c r="P10" s="1" t="s">
        <v>18</v>
      </c>
      <c r="Q10" s="1" t="s">
        <v>19</v>
      </c>
    </row>
    <row r="11" spans="1:34" x14ac:dyDescent="0.3">
      <c r="A11" s="1" t="s">
        <v>20</v>
      </c>
      <c r="B11" s="1" t="s">
        <v>21</v>
      </c>
      <c r="C11" s="1">
        <v>470</v>
      </c>
      <c r="D11" s="1">
        <v>510</v>
      </c>
      <c r="E11" s="1">
        <v>525</v>
      </c>
      <c r="F11" s="1">
        <v>545</v>
      </c>
      <c r="G11" s="1">
        <v>570</v>
      </c>
      <c r="L11" s="1" t="s">
        <v>21</v>
      </c>
      <c r="M11" s="1" t="s">
        <v>22</v>
      </c>
      <c r="N11" s="1" t="s">
        <v>23</v>
      </c>
      <c r="O11" s="1" t="s">
        <v>24</v>
      </c>
      <c r="P11" s="1" t="s">
        <v>25</v>
      </c>
      <c r="Q11" s="1" t="s">
        <v>26</v>
      </c>
    </row>
    <row r="12" spans="1:34" x14ac:dyDescent="0.3">
      <c r="A12" s="1" t="s">
        <v>27</v>
      </c>
      <c r="B12" s="1" t="s">
        <v>28</v>
      </c>
      <c r="C12" s="1">
        <v>45</v>
      </c>
      <c r="D12" s="1">
        <v>45</v>
      </c>
      <c r="E12" s="1">
        <v>45</v>
      </c>
      <c r="F12" s="1">
        <v>45</v>
      </c>
      <c r="G12" s="1">
        <v>45</v>
      </c>
      <c r="L12" s="1" t="s">
        <v>28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29</v>
      </c>
    </row>
    <row r="13" spans="1:34" x14ac:dyDescent="0.3">
      <c r="A13" s="1" t="s">
        <v>30</v>
      </c>
      <c r="B13" s="1" t="s">
        <v>31</v>
      </c>
      <c r="C13" s="1">
        <v>425</v>
      </c>
      <c r="D13" s="1">
        <v>425</v>
      </c>
      <c r="E13" s="1">
        <v>425</v>
      </c>
      <c r="F13" s="1">
        <v>425</v>
      </c>
      <c r="G13" s="1">
        <v>425</v>
      </c>
      <c r="L13" s="1" t="s">
        <v>31</v>
      </c>
      <c r="M13" s="1" t="s">
        <v>32</v>
      </c>
      <c r="N13" s="1" t="s">
        <v>32</v>
      </c>
      <c r="O13" s="1" t="s">
        <v>32</v>
      </c>
      <c r="P13" s="1" t="s">
        <v>32</v>
      </c>
      <c r="Q13" s="1" t="s">
        <v>32</v>
      </c>
    </row>
    <row r="14" spans="1:34" x14ac:dyDescent="0.3">
      <c r="A14" s="1" t="s">
        <v>33</v>
      </c>
      <c r="B14" s="1" t="s">
        <v>34</v>
      </c>
      <c r="C14" s="1">
        <v>98</v>
      </c>
      <c r="D14" s="1">
        <v>116</v>
      </c>
      <c r="E14" s="1">
        <v>130</v>
      </c>
      <c r="F14" s="1">
        <v>154</v>
      </c>
      <c r="G14" s="1">
        <v>177</v>
      </c>
      <c r="L14" s="1" t="s">
        <v>34</v>
      </c>
      <c r="M14" s="1" t="s">
        <v>35</v>
      </c>
      <c r="N14" s="1" t="s">
        <v>36</v>
      </c>
      <c r="O14" s="1" t="s">
        <v>37</v>
      </c>
      <c r="P14" s="1" t="s">
        <v>38</v>
      </c>
      <c r="Q14" s="1" t="s">
        <v>39</v>
      </c>
    </row>
    <row r="15" spans="1:34" x14ac:dyDescent="0.3">
      <c r="A15" s="1" t="s">
        <v>40</v>
      </c>
      <c r="B15" s="1" t="s">
        <v>41</v>
      </c>
      <c r="C15" s="1">
        <v>382</v>
      </c>
      <c r="D15" s="1">
        <v>396</v>
      </c>
      <c r="E15" s="1">
        <v>405</v>
      </c>
      <c r="F15" s="1">
        <v>412</v>
      </c>
      <c r="G15" s="1">
        <v>430</v>
      </c>
      <c r="L15" s="1" t="s">
        <v>41</v>
      </c>
      <c r="M15" s="1" t="s">
        <v>42</v>
      </c>
      <c r="N15" s="1" t="s">
        <v>43</v>
      </c>
      <c r="O15" s="1" t="s">
        <v>44</v>
      </c>
      <c r="P15" s="1" t="s">
        <v>45</v>
      </c>
      <c r="Q15" s="1" t="s">
        <v>46</v>
      </c>
    </row>
    <row r="16" spans="1:34" x14ac:dyDescent="0.3">
      <c r="A16" s="1" t="s">
        <v>47</v>
      </c>
      <c r="B16" s="1" t="s">
        <v>48</v>
      </c>
      <c r="C16" s="1">
        <v>554</v>
      </c>
      <c r="D16" s="1">
        <v>568</v>
      </c>
      <c r="E16" s="1">
        <v>583</v>
      </c>
      <c r="F16" s="1">
        <v>608</v>
      </c>
      <c r="G16" s="1">
        <v>632</v>
      </c>
      <c r="L16" s="1" t="s">
        <v>48</v>
      </c>
      <c r="M16" s="1" t="s">
        <v>49</v>
      </c>
      <c r="N16" s="1" t="s">
        <v>50</v>
      </c>
      <c r="O16" s="1" t="s">
        <v>51</v>
      </c>
      <c r="P16" s="1" t="s">
        <v>52</v>
      </c>
      <c r="Q16" s="1" t="s">
        <v>53</v>
      </c>
    </row>
    <row r="17" spans="1:17" x14ac:dyDescent="0.3">
      <c r="A17" s="1" t="s">
        <v>54</v>
      </c>
      <c r="B17" s="1" t="s">
        <v>55</v>
      </c>
      <c r="C17" s="1">
        <v>69.5</v>
      </c>
      <c r="D17" s="1">
        <v>70</v>
      </c>
      <c r="E17" s="1">
        <v>70.5</v>
      </c>
      <c r="F17" s="1">
        <v>71</v>
      </c>
      <c r="G17" s="1">
        <v>71.5</v>
      </c>
      <c r="L17" s="1" t="s">
        <v>55</v>
      </c>
      <c r="M17" s="1" t="s">
        <v>56</v>
      </c>
      <c r="N17" s="1" t="s">
        <v>57</v>
      </c>
      <c r="O17" s="1" t="s">
        <v>58</v>
      </c>
      <c r="P17" s="1" t="s">
        <v>59</v>
      </c>
      <c r="Q17" s="1" t="s">
        <v>60</v>
      </c>
    </row>
    <row r="18" spans="1:17" x14ac:dyDescent="0.3">
      <c r="A18" s="1" t="s">
        <v>61</v>
      </c>
      <c r="B18" s="1" t="s">
        <v>62</v>
      </c>
      <c r="C18" s="1">
        <v>74.3</v>
      </c>
      <c r="D18" s="1">
        <v>73.5</v>
      </c>
      <c r="E18" s="1">
        <v>73.5</v>
      </c>
      <c r="F18" s="1">
        <v>73.5</v>
      </c>
      <c r="G18" s="1">
        <v>73.5</v>
      </c>
      <c r="L18" s="1" t="s">
        <v>62</v>
      </c>
      <c r="M18" s="1" t="s">
        <v>63</v>
      </c>
      <c r="N18" s="1" t="s">
        <v>64</v>
      </c>
      <c r="O18" s="1" t="s">
        <v>64</v>
      </c>
      <c r="P18" s="1" t="s">
        <v>64</v>
      </c>
      <c r="Q18" s="1" t="s">
        <v>64</v>
      </c>
    </row>
    <row r="19" spans="1:17" x14ac:dyDescent="0.3">
      <c r="A19" s="1" t="s">
        <v>65</v>
      </c>
      <c r="B19" s="1" t="s">
        <v>66</v>
      </c>
      <c r="C19" s="1">
        <v>538</v>
      </c>
      <c r="D19" s="1">
        <v>564</v>
      </c>
      <c r="E19" s="1">
        <v>578</v>
      </c>
      <c r="F19" s="1">
        <v>592</v>
      </c>
      <c r="G19" s="1">
        <v>617</v>
      </c>
      <c r="L19" s="1" t="s">
        <v>66</v>
      </c>
      <c r="M19" s="1" t="s">
        <v>67</v>
      </c>
      <c r="N19" s="1" t="s">
        <v>68</v>
      </c>
      <c r="O19" s="1" t="s">
        <v>69</v>
      </c>
      <c r="P19" s="1" t="s">
        <v>70</v>
      </c>
      <c r="Q19" s="1" t="s">
        <v>71</v>
      </c>
    </row>
    <row r="20" spans="1:17" x14ac:dyDescent="0.3">
      <c r="A20" s="1" t="s">
        <v>72</v>
      </c>
      <c r="B20" s="1" t="s">
        <v>73</v>
      </c>
      <c r="C20" s="1">
        <v>77</v>
      </c>
      <c r="D20" s="1">
        <v>72</v>
      </c>
      <c r="E20" s="1">
        <v>72</v>
      </c>
      <c r="F20" s="1">
        <v>72</v>
      </c>
      <c r="G20" s="1">
        <v>72</v>
      </c>
      <c r="L20" s="1" t="s">
        <v>73</v>
      </c>
      <c r="M20" s="1" t="s">
        <v>74</v>
      </c>
      <c r="N20" s="1" t="s">
        <v>75</v>
      </c>
      <c r="O20" s="1" t="s">
        <v>75</v>
      </c>
      <c r="P20" s="1" t="s">
        <v>75</v>
      </c>
      <c r="Q20" s="1" t="s">
        <v>75</v>
      </c>
    </row>
    <row r="21" spans="1:17" x14ac:dyDescent="0.3">
      <c r="A21" s="1" t="s">
        <v>76</v>
      </c>
      <c r="B21" s="1" t="s">
        <v>77</v>
      </c>
      <c r="C21" s="1">
        <v>287</v>
      </c>
      <c r="D21" s="1">
        <v>292</v>
      </c>
      <c r="E21" s="1">
        <v>292</v>
      </c>
      <c r="F21" s="1">
        <v>292</v>
      </c>
      <c r="G21" s="1">
        <v>292</v>
      </c>
      <c r="L21" s="1" t="s">
        <v>77</v>
      </c>
      <c r="M21" s="1" t="s">
        <v>78</v>
      </c>
      <c r="N21" s="1" t="s">
        <v>79</v>
      </c>
      <c r="O21" s="1" t="s">
        <v>79</v>
      </c>
      <c r="P21" s="1" t="s">
        <v>79</v>
      </c>
      <c r="Q21" s="1" t="s">
        <v>79</v>
      </c>
    </row>
    <row r="22" spans="1:17" x14ac:dyDescent="0.3">
      <c r="A22" s="1" t="s">
        <v>80</v>
      </c>
      <c r="B22" s="1" t="s">
        <v>81</v>
      </c>
      <c r="C22" s="1">
        <v>435</v>
      </c>
      <c r="D22" s="1">
        <v>435</v>
      </c>
      <c r="E22" s="1">
        <v>435</v>
      </c>
      <c r="F22" s="1">
        <v>435</v>
      </c>
      <c r="G22" s="1">
        <v>435</v>
      </c>
      <c r="L22" s="1" t="s">
        <v>81</v>
      </c>
      <c r="M22" s="1" t="s">
        <v>82</v>
      </c>
      <c r="N22" s="1" t="s">
        <v>82</v>
      </c>
      <c r="O22" s="1" t="s">
        <v>82</v>
      </c>
      <c r="P22" s="1" t="s">
        <v>82</v>
      </c>
      <c r="Q22" s="1" t="s">
        <v>82</v>
      </c>
    </row>
    <row r="23" spans="1:17" x14ac:dyDescent="0.3">
      <c r="A23" s="1" t="s">
        <v>83</v>
      </c>
      <c r="B23" s="1" t="s">
        <v>84</v>
      </c>
      <c r="C23" s="1">
        <v>1037</v>
      </c>
      <c r="D23" s="1">
        <v>1053</v>
      </c>
      <c r="E23" s="1">
        <v>1062</v>
      </c>
      <c r="F23" s="1">
        <v>1073</v>
      </c>
      <c r="G23" s="1">
        <v>1094</v>
      </c>
      <c r="L23" s="1" t="s">
        <v>84</v>
      </c>
      <c r="M23" s="1" t="s">
        <v>85</v>
      </c>
      <c r="N23" s="1" t="s">
        <v>86</v>
      </c>
      <c r="O23" s="1" t="s">
        <v>87</v>
      </c>
      <c r="P23" s="1" t="s">
        <v>88</v>
      </c>
      <c r="Q23" s="1" t="s">
        <v>89</v>
      </c>
    </row>
    <row r="24" spans="1:17" x14ac:dyDescent="0.3">
      <c r="A24" s="1" t="s">
        <v>90</v>
      </c>
      <c r="B24" s="1" t="s">
        <v>91</v>
      </c>
      <c r="C24" s="1">
        <v>787</v>
      </c>
      <c r="D24" s="1">
        <v>803</v>
      </c>
      <c r="E24" s="1">
        <v>820</v>
      </c>
      <c r="F24" s="1">
        <v>843</v>
      </c>
      <c r="G24" s="1">
        <v>862</v>
      </c>
      <c r="L24" s="1" t="s">
        <v>91</v>
      </c>
      <c r="M24" s="1" t="s">
        <v>92</v>
      </c>
      <c r="N24" s="1" t="s">
        <v>93</v>
      </c>
      <c r="O24" s="1" t="s">
        <v>94</v>
      </c>
      <c r="P24" s="1" t="s">
        <v>95</v>
      </c>
      <c r="Q24" s="1" t="s">
        <v>96</v>
      </c>
    </row>
    <row r="25" spans="1:17" x14ac:dyDescent="0.3">
      <c r="A25" s="1" t="s">
        <v>97</v>
      </c>
      <c r="B25" s="1" t="s">
        <v>98</v>
      </c>
      <c r="C25" s="1">
        <v>441.76237959999997</v>
      </c>
      <c r="D25" s="1">
        <v>440.91835980000002</v>
      </c>
      <c r="E25" s="1">
        <v>440.91835980000002</v>
      </c>
      <c r="F25" s="1">
        <v>440.91835980000002</v>
      </c>
      <c r="G25" s="1">
        <v>440.91835980000002</v>
      </c>
    </row>
    <row r="26" spans="1:17" x14ac:dyDescent="0.3">
      <c r="A26" s="1" t="s">
        <v>10</v>
      </c>
      <c r="E26" s="1">
        <v>1090</v>
      </c>
    </row>
    <row r="27" spans="1:17" x14ac:dyDescent="0.3">
      <c r="A27" s="1" t="s">
        <v>99</v>
      </c>
      <c r="C27" s="1">
        <v>420</v>
      </c>
      <c r="D27" s="1">
        <v>420</v>
      </c>
      <c r="E27" s="1">
        <v>440</v>
      </c>
      <c r="F27" s="1">
        <v>440</v>
      </c>
      <c r="G27" s="1">
        <v>460</v>
      </c>
    </row>
    <row r="28" spans="1:17" x14ac:dyDescent="0.3">
      <c r="A28" s="1" t="s">
        <v>100</v>
      </c>
      <c r="C28" s="1">
        <v>70</v>
      </c>
      <c r="D28" s="1">
        <v>80</v>
      </c>
      <c r="E28" s="1">
        <v>80</v>
      </c>
      <c r="F28" s="1">
        <v>90</v>
      </c>
      <c r="G28" s="1">
        <v>100</v>
      </c>
      <c r="H28" s="1" t="s">
        <v>101</v>
      </c>
    </row>
    <row r="29" spans="1:17" x14ac:dyDescent="0.3">
      <c r="A29" s="1" t="s">
        <v>102</v>
      </c>
    </row>
    <row r="30" spans="1:17" x14ac:dyDescent="0.3">
      <c r="A30" s="1" t="s">
        <v>103</v>
      </c>
      <c r="C30" s="1">
        <v>700</v>
      </c>
      <c r="D30" s="1">
        <v>700</v>
      </c>
      <c r="E30" s="1">
        <v>700</v>
      </c>
      <c r="F30" s="1">
        <v>700</v>
      </c>
      <c r="G30" s="1">
        <v>700</v>
      </c>
    </row>
    <row r="31" spans="1:17" x14ac:dyDescent="0.3">
      <c r="A31" s="1" t="s">
        <v>104</v>
      </c>
      <c r="C31" s="1">
        <v>50</v>
      </c>
      <c r="D31" s="1">
        <v>50</v>
      </c>
      <c r="E31" s="1">
        <v>50</v>
      </c>
      <c r="F31" s="1">
        <v>50</v>
      </c>
      <c r="G31" s="1">
        <v>50</v>
      </c>
    </row>
    <row r="32" spans="1:17" x14ac:dyDescent="0.3">
      <c r="A32" s="1" t="s">
        <v>105</v>
      </c>
      <c r="C32" s="1">
        <v>50</v>
      </c>
      <c r="D32" s="1">
        <v>50</v>
      </c>
      <c r="E32" s="1">
        <v>50</v>
      </c>
      <c r="F32" s="1">
        <v>50</v>
      </c>
      <c r="G32" s="1">
        <v>50</v>
      </c>
    </row>
    <row r="33" spans="1:7" x14ac:dyDescent="0.3">
      <c r="A33" s="1" t="s">
        <v>106</v>
      </c>
      <c r="C33" s="1">
        <v>160</v>
      </c>
      <c r="D33" s="1">
        <f>AVERAGE(D35,C36)</f>
        <v>169</v>
      </c>
      <c r="E33" s="1">
        <f t="shared" ref="E33:F33" si="0">AVERAGE(E35,D36)</f>
        <v>176.5</v>
      </c>
      <c r="F33" s="1">
        <f t="shared" si="0"/>
        <v>184</v>
      </c>
      <c r="G33" s="1">
        <f>AVERAGE(G35,F36)</f>
        <v>191.5</v>
      </c>
    </row>
    <row r="34" spans="1:7" x14ac:dyDescent="0.3">
      <c r="A34" s="1" t="s">
        <v>107</v>
      </c>
      <c r="C34" s="1">
        <f>D33</f>
        <v>169</v>
      </c>
      <c r="D34" s="1">
        <f t="shared" ref="D34:E34" si="1">E33</f>
        <v>176.5</v>
      </c>
      <c r="E34" s="1">
        <f t="shared" si="1"/>
        <v>184</v>
      </c>
      <c r="F34" s="1">
        <f>G33</f>
        <v>191.5</v>
      </c>
      <c r="G34" s="1">
        <v>200</v>
      </c>
    </row>
    <row r="35" spans="1:7" x14ac:dyDescent="0.3">
      <c r="C35" s="1">
        <v>160</v>
      </c>
      <c r="D35" s="1">
        <v>168</v>
      </c>
      <c r="E35" s="1">
        <v>175</v>
      </c>
      <c r="F35" s="1">
        <v>183</v>
      </c>
      <c r="G35" s="1">
        <v>190</v>
      </c>
    </row>
    <row r="36" spans="1:7" x14ac:dyDescent="0.3">
      <c r="C36" s="1">
        <v>170</v>
      </c>
      <c r="D36" s="1">
        <v>178</v>
      </c>
      <c r="E36" s="1">
        <v>185</v>
      </c>
      <c r="F36" s="1">
        <v>193</v>
      </c>
      <c r="G36" s="1">
        <v>200</v>
      </c>
    </row>
    <row r="37" spans="1:7" x14ac:dyDescent="0.3">
      <c r="A37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Propain Terrel CF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2025-07-17T02:22:28Z</dcterms:created>
  <dcterms:modified xsi:type="dcterms:W3CDTF">2025-07-23T00:48:47Z</dcterms:modified>
</cp:coreProperties>
</file>