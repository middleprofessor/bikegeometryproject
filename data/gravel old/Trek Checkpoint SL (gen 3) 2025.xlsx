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072EFAB-8994-EA4E-9C71-CCC162DA7F22}" xr6:coauthVersionLast="47" xr6:coauthVersionMax="47" xr10:uidLastSave="{00000000-0000-0000-0000-000000000000}"/>
  <bookViews>
    <workbookView xWindow="700" yWindow="780" windowWidth="27620" windowHeight="15160" xr2:uid="{ABFFBBBD-2C2A-DA41-8959-3BF392F3D8AC}"/>
  </bookViews>
  <sheets>
    <sheet name="Trek Checkpoint SL (gen 3)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C25" i="1"/>
  <c r="C24" i="1"/>
  <c r="C23" i="1"/>
  <c r="C22" i="1"/>
  <c r="C21" i="1"/>
  <c r="C20" i="1"/>
  <c r="C19" i="1"/>
  <c r="C18" i="1"/>
  <c r="C17" i="1"/>
  <c r="C15" i="1"/>
  <c r="C16" i="1"/>
  <c r="C14" i="1"/>
  <c r="C13" i="1"/>
  <c r="C12" i="1"/>
</calcChain>
</file>

<file path=xl/sharedStrings.xml><?xml version="1.0" encoding="utf-8"?>
<sst xmlns="http://schemas.openxmlformats.org/spreadsheetml/2006/main" count="169" uniqueCount="132">
  <si>
    <t>model</t>
  </si>
  <si>
    <t>model year</t>
  </si>
  <si>
    <t>input date</t>
  </si>
  <si>
    <t>URL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</si>
  <si>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</si>
  <si>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</si>
  <si>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</si>
  <si>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</si>
  <si>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</si>
  <si>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</si>
  <si>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</si>
  <si>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</si>
  <si>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chainstay_length</t>
  </si>
  <si>
    <t>wheelbase</t>
  </si>
  <si>
    <t>bottom_bracket_drop</t>
  </si>
  <si>
    <t>axle_crown</t>
  </si>
  <si>
    <t>fork_offset_rake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</si>
  <si>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</si>
  <si>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</si>
  <si>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</si>
  <si>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</si>
  <si>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</si>
  <si>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</si>
  <si>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</si>
  <si>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</si>
  <si>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</si>
  <si>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</si>
  <si>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XL</t>
  </si>
  <si>
    <t>brand</t>
  </si>
  <si>
    <t>material</t>
  </si>
  <si>
    <t>yes</t>
  </si>
  <si>
    <t>XS</t>
  </si>
  <si>
    <t>S</t>
  </si>
  <si>
    <t>M</t>
  </si>
  <si>
    <t>L</t>
  </si>
  <si>
    <t>carbon</t>
  </si>
  <si>
    <t>measure range</t>
  </si>
  <si>
    <t>Trek</t>
  </si>
  <si>
    <t>Checkpoint SL (gen 3)</t>
  </si>
  <si>
    <t>https://www.trekbikes.com/us/en_US/bikes/bikepacking-touring-bikes/checkpoint/checkpoint-sl/checkpoint-sl-7-axs-gen-3/p/55097/?colorCode=reddark</t>
  </si>
  <si>
    <t>Frame size letter</t>
  </si>
  <si>
    <t>Wheel size</t>
  </si>
  <si>
    <t>A — Seat tube</t>
  </si>
  <si>
    <t>B — Seat tube angle</t>
  </si>
  <si>
    <t>Effective seat tube angle</t>
  </si>
  <si>
    <t>C — Head tube length</t>
  </si>
  <si>
    <t>D — Head angle</t>
  </si>
  <si>
    <t>E — Effective top tube</t>
  </si>
  <si>
    <t>G — Bottom bracket drop</t>
  </si>
  <si>
    <t>H — Chainstay length</t>
  </si>
  <si>
    <t>I — Offset</t>
  </si>
  <si>
    <t>J — Trail</t>
  </si>
  <si>
    <t>K — Wheelbase</t>
  </si>
  <si>
    <t>L — Standover</t>
  </si>
  <si>
    <t>M — Frame reach</t>
  </si>
  <si>
    <t>N — Frame stack</t>
  </si>
  <si>
    <t>700c</t>
  </si>
  <si>
    <t>ML</t>
  </si>
  <si>
    <t>seat_angle_effective</t>
  </si>
  <si>
    <t>Sizing</t>
  </si>
  <si>
    <t>size-table</t>
  </si>
  <si>
    <t>Size</t>
  </si>
  <si>
    <t>Rider Height</t>
  </si>
  <si>
    <t>Inseam</t>
  </si>
  <si>
    <t>143 - 158 cm</t>
  </si>
  <si>
    <t>4'8" - 5'2"</t>
  </si>
  <si>
    <t>67 - 74 cm</t>
  </si>
  <si>
    <t>26" - 29"</t>
  </si>
  <si>
    <t>S (49cm)</t>
  </si>
  <si>
    <t>158 - 164 cm</t>
  </si>
  <si>
    <t>5'2" - 5'5"</t>
  </si>
  <si>
    <t>74 - 77 cm</t>
  </si>
  <si>
    <t>29" - 30"</t>
  </si>
  <si>
    <t>M (52-54cm)</t>
  </si>
  <si>
    <t>164 - 177 cm</t>
  </si>
  <si>
    <t>5'5" - 5'10"</t>
  </si>
  <si>
    <t>77 - 83 cm</t>
  </si>
  <si>
    <t>30" - 33"</t>
  </si>
  <si>
    <t>ML (56cm)</t>
  </si>
  <si>
    <t>177 - 188 cm</t>
  </si>
  <si>
    <t>5'10" - 6'2"</t>
  </si>
  <si>
    <t>83 - 88 cm</t>
  </si>
  <si>
    <t>33" - 35"</t>
  </si>
  <si>
    <t>L (58cm)</t>
  </si>
  <si>
    <t>188 - 194 cm</t>
  </si>
  <si>
    <t>6'2" - 6'4"</t>
  </si>
  <si>
    <t>88 - 91 cm</t>
  </si>
  <si>
    <t>35" - 36"</t>
  </si>
  <si>
    <t>XL (61cm)</t>
  </si>
  <si>
    <t>194 - 203 cm</t>
  </si>
  <si>
    <t>6'4" - 6'8"</t>
  </si>
  <si>
    <t>91 - 95 cm</t>
  </si>
  <si>
    <t>36" - 37"</t>
  </si>
  <si>
    <t>a10:h33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</si>
  <si>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</si>
  <si>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</si>
  <si>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</si>
  <si>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</si>
  <si>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</si>
  <si>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</si>
  <si>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</si>
  <si>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</si>
  <si>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</si>
  <si>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</si>
  <si>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</si>
  <si>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</si>
  <si>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</si>
  <si>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</si>
  <si>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</si>
  <si>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</si>
  <si>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</si>
  <si>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</si>
  <si>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</si>
  <si>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</si>
  <si>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</si>
  <si>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</si>
  <si>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</si>
  <si>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</si>
  <si>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</si>
  <si>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</si>
  <si>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</si>
  <si>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46/30</t>
  </si>
  <si>
    <t>us</t>
  </si>
  <si>
    <t>internal storage</t>
  </si>
  <si>
    <t>internal</t>
  </si>
  <si>
    <t>fork suspension</t>
  </si>
  <si>
    <t>stem suspension</t>
  </si>
  <si>
    <t>rear suspension</t>
  </si>
  <si>
    <t>no</t>
  </si>
  <si>
    <t>700c width max</t>
  </si>
  <si>
    <t>ISO ASTM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</si>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</sst>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000000"/>
      <name val="Futura Medium"/>
    </font>
    <font>
      <b/>
      <sz val="12"/>
      <color theme="1"/>
      <name val="Aptos Narrow"/>
      <family val="2"/>
      <scheme val="minor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b/>
      <sz val="18"/>
      <color theme="1"/>
      <name val="Arial"/>
      <family val="2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7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38DC2D-E858-8C44-BCBB-D793340C9A17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50800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7DF1B68-5743-5C42-AE7C-EAE776B227D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7818D9B2-83FF-3F41-9103-FB43F1544CEE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072652A-5DDE-A54B-90E9-CC26FB9B856F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545F601-5ED2-6D42-9AE6-16E19AFD0D78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69A7C9A5-277C-9A40-AA98-CB2D1AB86D72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35AC469-7452-7949-AFBB-80F69ADA9BDC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38100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8510CE20-87EA-3746-985B-13F6099CA3BB}"/>
            </a:ext>
          </a:extLst>
        </xdr:cNvPr>
        <xdr:cNvSpPr>
          <a:spLocks noChangeAspect="1" noChangeArrowheads="1"/>
        </xdr:cNvSpPr>
      </xdr:nvSpPr>
      <xdr:spPr bwMode="auto">
        <a:xfrm>
          <a:off x="12788900" y="6096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31</xdr:row>
      <xdr:rowOff>0</xdr:rowOff>
    </xdr:from>
    <xdr:ext cx="304800" cy="3175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8362FDA-0932-B14E-944A-B44AF65D7550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175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BE47742-2C1F-F54D-AC9E-3AADD3ABAD25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6ECD7A36-9E4D-0E4B-A2F4-809DD25A0111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175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80B8D02-F234-C145-B95D-9A7F4CEED16C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12A7929-3B56-FE42-8899-1474AA71AFA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792797B-DDFA-4F4A-B804-D52B907AFB56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3EB6EED-D2CE-684E-B486-D611D1FFE066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B901711F-16F5-0B47-AC09-EEB13ECFFE9F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57A44DE3-341D-3B4E-843E-590F4F76BEC2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BEBBE93-EDB2-844B-91C3-08F04644C9E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B59131C2-8AE3-1449-9CB9-AF6231F9173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63E928EA-951A-444E-BC57-31CC7288954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B7EEB53B-7F7E-8949-ADD6-F8AECAD90D6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27EB3E4A-D3CD-2F47-B4ED-4A1A074DC4F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39EAE5FE-85BC-AC45-80DC-2A9527835AA1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1C0843F2-1DE7-0041-B368-46A2646E2E5B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5CD31EA1-AD8F-5843-B1FC-7157BFD8456A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792C6856-1FC5-DF47-842F-B2E14A93E5F9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27B1B779-D1B5-B64C-8DB4-EA6B55D2C700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21186768-D6A1-984B-A6F4-9464F6CE8F31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AD0C693A-059F-7E48-8872-0D67A8482BA8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BCDDE3EA-2A8A-6945-8F4E-FA2EC17593CD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ABBC5E7A-C506-C146-8113-8956C2BEEFC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2A8DAD60-4C7A-7B43-879A-4E256EFBE9B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68C6D0B0-4CDE-4940-A863-EB7B0EDDB14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B3CB6B5F-03D9-E842-966E-C1F1789A341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6D952D9-6B6A-1B4F-9DFA-5AEA1C9A2A6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0921FF2A-1BE4-874F-9D76-E7249CBBDB9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9CF19E91-B997-AC42-AB20-CDBEB19C6FC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6EC9AA01-E38F-5744-8877-CA381A79290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B4421D79-4F0E-BB4B-8299-0602503710A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24</xdr:row>
      <xdr:rowOff>0</xdr:rowOff>
    </xdr:from>
    <xdr:to>
      <xdr:col>13</xdr:col>
      <xdr:colOff>304800</xdr:colOff>
      <xdr:row>25</xdr:row>
      <xdr:rowOff>50800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B66B2D6-FDBF-7B05-093A-E9EB387E8406}"/>
            </a:ext>
          </a:extLst>
        </xdr:cNvPr>
        <xdr:cNvSpPr>
          <a:spLocks noChangeAspect="1" noChangeArrowheads="1"/>
        </xdr:cNvSpPr>
      </xdr:nvSpPr>
      <xdr:spPr bwMode="auto">
        <a:xfrm>
          <a:off x="136017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304800</xdr:colOff>
      <xdr:row>26</xdr:row>
      <xdr:rowOff>50800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DAB3BC01-1701-0105-B29F-1A6EAD06512E}"/>
            </a:ext>
          </a:extLst>
        </xdr:cNvPr>
        <xdr:cNvSpPr>
          <a:spLocks noChangeAspect="1" noChangeArrowheads="1"/>
        </xdr:cNvSpPr>
      </xdr:nvSpPr>
      <xdr:spPr bwMode="auto">
        <a:xfrm>
          <a:off x="127762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25</xdr:row>
      <xdr:rowOff>0</xdr:rowOff>
    </xdr:from>
    <xdr:to>
      <xdr:col>19</xdr:col>
      <xdr:colOff>622300</xdr:colOff>
      <xdr:row>44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1144425-2C21-CCA5-56C6-97F7A70BD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6200" y="6350000"/>
          <a:ext cx="6502400" cy="4876800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20</xdr:row>
      <xdr:rowOff>0</xdr:rowOff>
    </xdr:from>
    <xdr:ext cx="304800" cy="2921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7E1809C0-E121-A546-9690-76B2C77B56C6}"/>
            </a:ext>
          </a:extLst>
        </xdr:cNvPr>
        <xdr:cNvSpPr>
          <a:spLocks noChangeAspect="1" noChangeArrowheads="1"/>
        </xdr:cNvSpPr>
      </xdr:nvSpPr>
      <xdr:spPr bwMode="auto">
        <a:xfrm>
          <a:off x="5168900" y="5080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2921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8B0C91D2-8B05-F14B-9C3F-7D5080C476CB}"/>
            </a:ext>
          </a:extLst>
        </xdr:cNvPr>
        <xdr:cNvSpPr>
          <a:spLocks noChangeAspect="1" noChangeArrowheads="1"/>
        </xdr:cNvSpPr>
      </xdr:nvSpPr>
      <xdr:spPr bwMode="auto">
        <a:xfrm>
          <a:off x="5168900" y="5080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</xdr:row>
      <xdr:rowOff>0</xdr:rowOff>
    </xdr:from>
    <xdr:ext cx="304800" cy="2921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BA41AFFC-5832-AE49-A69F-7436581E0346}"/>
            </a:ext>
          </a:extLst>
        </xdr:cNvPr>
        <xdr:cNvSpPr>
          <a:spLocks noChangeAspect="1" noChangeArrowheads="1"/>
        </xdr:cNvSpPr>
      </xdr:nvSpPr>
      <xdr:spPr bwMode="auto">
        <a:xfrm>
          <a:off x="5168900" y="5080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20</xdr:row>
      <xdr:rowOff>0</xdr:rowOff>
    </xdr:from>
    <xdr:ext cx="304800" cy="29210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A26E36DF-0DBC-5A4A-8703-0BF459174CBA}"/>
            </a:ext>
          </a:extLst>
        </xdr:cNvPr>
        <xdr:cNvSpPr>
          <a:spLocks noChangeAspect="1" noChangeArrowheads="1"/>
        </xdr:cNvSpPr>
      </xdr:nvSpPr>
      <xdr:spPr bwMode="auto">
        <a:xfrm>
          <a:off x="5168900" y="5080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</xdr:row>
      <xdr:rowOff>0</xdr:rowOff>
    </xdr:from>
    <xdr:ext cx="304800" cy="292100"/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CF9B8229-6B68-174B-A339-EC687BD28F01}"/>
            </a:ext>
          </a:extLst>
        </xdr:cNvPr>
        <xdr:cNvSpPr>
          <a:spLocks noChangeAspect="1" noChangeArrowheads="1"/>
        </xdr:cNvSpPr>
      </xdr:nvSpPr>
      <xdr:spPr bwMode="auto">
        <a:xfrm>
          <a:off x="5168900" y="5080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DE37-3828-6849-A98A-EC05E320BDEE}">
  <dimension ref="A1:AH51"/>
  <sheetViews>
    <sheetView tabSelected="1" topLeftCell="K1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27.6640625" style="1" customWidth="1"/>
    <col min="3" max="3" width="13.1640625" style="1" customWidth="1"/>
    <col min="4" max="4" width="13.33203125" style="1" customWidth="1"/>
    <col min="5" max="5" width="10.83203125" style="1"/>
    <col min="6" max="6" width="14.5" style="1" customWidth="1"/>
    <col min="7" max="9" width="14" style="1" customWidth="1"/>
    <col min="10" max="13" width="10.83203125" style="1"/>
    <col min="14" max="14" width="12.1640625" style="1" customWidth="1"/>
    <col min="15" max="16384" width="10.83203125" style="1"/>
  </cols>
  <sheetData>
    <row r="1" spans="1:34" x14ac:dyDescent="0.3">
      <c r="A1" s="1" t="s">
        <v>28</v>
      </c>
      <c r="B1" s="1" t="s">
        <v>37</v>
      </c>
    </row>
    <row r="2" spans="1:34" x14ac:dyDescent="0.3">
      <c r="A2" s="1" t="s">
        <v>0</v>
      </c>
      <c r="B2" s="1" t="s">
        <v>38</v>
      </c>
    </row>
    <row r="3" spans="1:34" x14ac:dyDescent="0.3">
      <c r="A3" s="1" t="s">
        <v>1</v>
      </c>
      <c r="B3" s="1">
        <v>2025</v>
      </c>
    </row>
    <row r="4" spans="1:34" x14ac:dyDescent="0.3">
      <c r="A4" s="1" t="s">
        <v>2</v>
      </c>
      <c r="B4" s="3">
        <v>45851</v>
      </c>
    </row>
    <row r="5" spans="1:34" x14ac:dyDescent="0.3">
      <c r="A5" s="1" t="s">
        <v>3</v>
      </c>
      <c r="B5" s="1" t="s">
        <v>39</v>
      </c>
    </row>
    <row r="6" spans="1:34" customFormat="1" ht="55" customHeight="1" x14ac:dyDescent="0.3">
      <c r="A6" s="10" t="s">
        <v>29</v>
      </c>
      <c r="B6" s="10" t="s">
        <v>94</v>
      </c>
      <c r="C6" s="10" t="s">
        <v>95</v>
      </c>
      <c r="D6" s="10" t="s">
        <v>129</v>
      </c>
      <c r="E6" s="10" t="s">
        <v>96</v>
      </c>
      <c r="F6" s="10" t="s">
        <v>97</v>
      </c>
      <c r="G6" s="10" t="s">
        <v>125</v>
      </c>
      <c r="H6" s="10" t="s">
        <v>126</v>
      </c>
      <c r="I6" s="10" t="s">
        <v>127</v>
      </c>
      <c r="J6" s="10" t="s">
        <v>98</v>
      </c>
      <c r="K6" s="10" t="s">
        <v>99</v>
      </c>
      <c r="L6" s="10" t="s">
        <v>100</v>
      </c>
      <c r="M6" s="10" t="s">
        <v>101</v>
      </c>
      <c r="N6" s="10" t="s">
        <v>102</v>
      </c>
      <c r="O6" s="10" t="s">
        <v>103</v>
      </c>
      <c r="P6" s="10" t="s">
        <v>104</v>
      </c>
      <c r="Q6" s="10" t="s">
        <v>105</v>
      </c>
      <c r="R6" s="10" t="s">
        <v>106</v>
      </c>
      <c r="S6" s="10" t="s">
        <v>107</v>
      </c>
      <c r="T6" s="10" t="s">
        <v>108</v>
      </c>
      <c r="U6" s="10" t="s">
        <v>109</v>
      </c>
      <c r="V6" s="10" t="s">
        <v>110</v>
      </c>
      <c r="W6" s="10" t="s">
        <v>111</v>
      </c>
      <c r="X6" s="10" t="s">
        <v>112</v>
      </c>
      <c r="Y6" s="10" t="s">
        <v>113</v>
      </c>
      <c r="Z6" s="10" t="s">
        <v>114</v>
      </c>
      <c r="AA6" s="10" t="s">
        <v>115</v>
      </c>
      <c r="AB6" s="11" t="s">
        <v>130</v>
      </c>
      <c r="AC6" s="10" t="s">
        <v>116</v>
      </c>
      <c r="AD6" s="10" t="s">
        <v>117</v>
      </c>
      <c r="AE6" s="10" t="s">
        <v>118</v>
      </c>
      <c r="AF6" s="10" t="s">
        <v>119</v>
      </c>
      <c r="AG6" s="10" t="s">
        <v>120</v>
      </c>
      <c r="AH6" s="10" t="s">
        <v>123</v>
      </c>
    </row>
    <row r="7" spans="1:34" x14ac:dyDescent="0.3">
      <c r="A7" s="1" t="s">
        <v>35</v>
      </c>
      <c r="B7" s="1" t="s">
        <v>30</v>
      </c>
      <c r="D7" s="1">
        <v>50</v>
      </c>
      <c r="F7" s="1">
        <v>40</v>
      </c>
      <c r="G7" s="1" t="s">
        <v>128</v>
      </c>
      <c r="H7" s="1" t="s">
        <v>128</v>
      </c>
      <c r="I7" s="1" t="s">
        <v>30</v>
      </c>
      <c r="J7" s="1">
        <v>142</v>
      </c>
      <c r="K7" s="1">
        <v>100</v>
      </c>
      <c r="M7" s="1">
        <v>27.2</v>
      </c>
      <c r="N7" s="1" t="s">
        <v>124</v>
      </c>
      <c r="O7" s="1" t="s">
        <v>30</v>
      </c>
      <c r="Q7" s="1" t="s">
        <v>30</v>
      </c>
      <c r="R7" s="1">
        <v>44</v>
      </c>
      <c r="S7" s="1" t="s">
        <v>121</v>
      </c>
      <c r="T7" s="1" t="s">
        <v>131</v>
      </c>
      <c r="U7" s="1">
        <v>2</v>
      </c>
      <c r="V7" s="1">
        <v>1</v>
      </c>
      <c r="W7" s="1">
        <v>1</v>
      </c>
      <c r="X7" s="1" t="s">
        <v>30</v>
      </c>
      <c r="Y7" s="1" t="s">
        <v>30</v>
      </c>
      <c r="Z7" s="1" t="s">
        <v>30</v>
      </c>
      <c r="AC7" s="1">
        <v>180</v>
      </c>
      <c r="AD7" s="1">
        <v>180</v>
      </c>
      <c r="AE7" s="1">
        <v>2599.9899999999998</v>
      </c>
      <c r="AF7" s="1">
        <v>3199.99</v>
      </c>
      <c r="AG7" s="1" t="s">
        <v>122</v>
      </c>
      <c r="AH7" s="1" t="s">
        <v>30</v>
      </c>
    </row>
    <row r="8" spans="1:34" x14ac:dyDescent="0.3"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34" x14ac:dyDescent="0.3">
      <c r="A9" s="4" t="s">
        <v>36</v>
      </c>
      <c r="B9" s="4" t="s">
        <v>93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34" x14ac:dyDescent="0.3">
      <c r="A10" s="1" t="s">
        <v>4</v>
      </c>
      <c r="B10" s="5" t="s">
        <v>40</v>
      </c>
      <c r="C10" s="6" t="s">
        <v>31</v>
      </c>
      <c r="D10" s="6" t="s">
        <v>32</v>
      </c>
      <c r="E10" s="6" t="s">
        <v>33</v>
      </c>
      <c r="F10" s="6" t="s">
        <v>57</v>
      </c>
      <c r="G10" s="6" t="s">
        <v>34</v>
      </c>
      <c r="H10" s="6" t="s">
        <v>27</v>
      </c>
      <c r="J10" s="4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34" x14ac:dyDescent="0.3">
      <c r="A11" s="1" t="s">
        <v>22</v>
      </c>
      <c r="B11" s="5" t="s">
        <v>41</v>
      </c>
      <c r="C11" s="6">
        <v>700</v>
      </c>
      <c r="D11" s="6">
        <v>701</v>
      </c>
      <c r="E11" s="6">
        <v>702</v>
      </c>
      <c r="F11" s="6">
        <v>703</v>
      </c>
      <c r="G11" s="6">
        <v>704</v>
      </c>
      <c r="H11" s="6">
        <v>705</v>
      </c>
      <c r="J11" s="4"/>
      <c r="K11" s="4" t="s">
        <v>41</v>
      </c>
      <c r="L11" s="4" t="s">
        <v>56</v>
      </c>
      <c r="M11" s="4" t="s">
        <v>56</v>
      </c>
      <c r="N11" s="6" t="s">
        <v>56</v>
      </c>
      <c r="O11" s="6" t="s">
        <v>56</v>
      </c>
      <c r="P11" s="6" t="s">
        <v>56</v>
      </c>
      <c r="Q11" s="6" t="s">
        <v>56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34" x14ac:dyDescent="0.3">
      <c r="A12" s="1" t="s">
        <v>5</v>
      </c>
      <c r="B12" s="5" t="s">
        <v>42</v>
      </c>
      <c r="C12" s="6">
        <f>L12*10</f>
        <v>445</v>
      </c>
      <c r="D12" s="6">
        <f t="shared" ref="D12:H12" si="0">M12*10</f>
        <v>480</v>
      </c>
      <c r="E12" s="6">
        <f t="shared" si="0"/>
        <v>505</v>
      </c>
      <c r="F12" s="6">
        <f t="shared" si="0"/>
        <v>530</v>
      </c>
      <c r="G12" s="6">
        <f t="shared" si="0"/>
        <v>550</v>
      </c>
      <c r="H12" s="6">
        <f t="shared" si="0"/>
        <v>575</v>
      </c>
      <c r="J12" s="4"/>
      <c r="K12" s="4" t="s">
        <v>42</v>
      </c>
      <c r="L12" s="4">
        <v>44.5</v>
      </c>
      <c r="M12" s="4">
        <v>48</v>
      </c>
      <c r="N12" s="6">
        <v>50.5</v>
      </c>
      <c r="O12" s="6">
        <v>53</v>
      </c>
      <c r="P12" s="6">
        <v>55</v>
      </c>
      <c r="Q12" s="6">
        <v>57.5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34" x14ac:dyDescent="0.3">
      <c r="A13" s="1" t="s">
        <v>58</v>
      </c>
      <c r="B13" s="5" t="s">
        <v>43</v>
      </c>
      <c r="C13" s="6">
        <f>L13</f>
        <v>74</v>
      </c>
      <c r="D13" s="6">
        <f t="shared" ref="D13:H14" si="1">M13</f>
        <v>74</v>
      </c>
      <c r="E13" s="6">
        <f t="shared" si="1"/>
        <v>73.3</v>
      </c>
      <c r="F13" s="6">
        <f t="shared" si="1"/>
        <v>73.3</v>
      </c>
      <c r="G13" s="6">
        <f t="shared" si="1"/>
        <v>73.3</v>
      </c>
      <c r="H13" s="6">
        <f t="shared" si="1"/>
        <v>73.3</v>
      </c>
      <c r="J13" s="4"/>
      <c r="K13" s="4" t="s">
        <v>43</v>
      </c>
      <c r="L13" s="4">
        <v>74</v>
      </c>
      <c r="M13" s="4">
        <v>74</v>
      </c>
      <c r="N13" s="6">
        <v>73.3</v>
      </c>
      <c r="O13" s="6">
        <v>73.3</v>
      </c>
      <c r="P13" s="6">
        <v>73.3</v>
      </c>
      <c r="Q13" s="6">
        <v>73.3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34" x14ac:dyDescent="0.3">
      <c r="A14" s="1" t="s">
        <v>11</v>
      </c>
      <c r="B14" s="5" t="s">
        <v>44</v>
      </c>
      <c r="C14" s="6">
        <f>L14</f>
        <v>72.7</v>
      </c>
      <c r="D14" s="6">
        <f t="shared" si="1"/>
        <v>73</v>
      </c>
      <c r="E14" s="6">
        <f t="shared" si="1"/>
        <v>72.8</v>
      </c>
      <c r="F14" s="6">
        <f t="shared" si="1"/>
        <v>72.8</v>
      </c>
      <c r="G14" s="6">
        <f t="shared" si="1"/>
        <v>72.8</v>
      </c>
      <c r="H14" s="6">
        <f t="shared" si="1"/>
        <v>72.8</v>
      </c>
      <c r="J14" s="4"/>
      <c r="K14" s="4" t="s">
        <v>44</v>
      </c>
      <c r="L14" s="4">
        <v>72.7</v>
      </c>
      <c r="M14" s="4">
        <v>73</v>
      </c>
      <c r="N14" s="6">
        <v>72.8</v>
      </c>
      <c r="O14" s="6">
        <v>72.8</v>
      </c>
      <c r="P14" s="6">
        <v>72.8</v>
      </c>
      <c r="Q14" s="6">
        <v>72.8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34" x14ac:dyDescent="0.3">
      <c r="A15" s="1" t="s">
        <v>9</v>
      </c>
      <c r="B15" s="5" t="s">
        <v>45</v>
      </c>
      <c r="C15" s="6">
        <f>L15*10</f>
        <v>86</v>
      </c>
      <c r="D15" s="6">
        <f t="shared" ref="D15:H15" si="2">M15*10</f>
        <v>106</v>
      </c>
      <c r="E15" s="6">
        <f t="shared" si="2"/>
        <v>130</v>
      </c>
      <c r="F15" s="6">
        <f t="shared" si="2"/>
        <v>151</v>
      </c>
      <c r="G15" s="6">
        <f t="shared" si="2"/>
        <v>171</v>
      </c>
      <c r="H15" s="6">
        <f t="shared" si="2"/>
        <v>191</v>
      </c>
      <c r="J15" s="4"/>
      <c r="K15" s="4" t="s">
        <v>45</v>
      </c>
      <c r="L15" s="4">
        <v>8.6</v>
      </c>
      <c r="M15" s="4">
        <v>10.6</v>
      </c>
      <c r="N15" s="6">
        <v>13</v>
      </c>
      <c r="O15" s="6">
        <v>15.1</v>
      </c>
      <c r="P15" s="6">
        <v>17.100000000000001</v>
      </c>
      <c r="Q15" s="6">
        <v>19.100000000000001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34" x14ac:dyDescent="0.3">
      <c r="A16" s="1" t="s">
        <v>10</v>
      </c>
      <c r="B16" s="5" t="s">
        <v>46</v>
      </c>
      <c r="C16" s="6">
        <f>L16</f>
        <v>71</v>
      </c>
      <c r="D16" s="6">
        <f t="shared" ref="D16:H16" si="3">M16</f>
        <v>71.400000000000006</v>
      </c>
      <c r="E16" s="6">
        <f t="shared" si="3"/>
        <v>71.599999999999994</v>
      </c>
      <c r="F16" s="6">
        <f t="shared" si="3"/>
        <v>72</v>
      </c>
      <c r="G16" s="6">
        <f t="shared" si="3"/>
        <v>72.099999999999994</v>
      </c>
      <c r="H16" s="6">
        <f t="shared" si="3"/>
        <v>72.400000000000006</v>
      </c>
      <c r="J16" s="4"/>
      <c r="K16" s="4" t="s">
        <v>46</v>
      </c>
      <c r="L16" s="4">
        <v>71</v>
      </c>
      <c r="M16" s="4">
        <v>71.400000000000006</v>
      </c>
      <c r="N16" s="6">
        <v>71.599999999999994</v>
      </c>
      <c r="O16" s="6">
        <v>72</v>
      </c>
      <c r="P16" s="6">
        <v>72.099999999999994</v>
      </c>
      <c r="Q16" s="6">
        <v>72.400000000000006</v>
      </c>
      <c r="R16"/>
      <c r="S16"/>
      <c r="T16"/>
      <c r="U16"/>
      <c r="V16"/>
      <c r="W16"/>
      <c r="X16"/>
      <c r="Y16"/>
    </row>
    <row r="17" spans="1:17" x14ac:dyDescent="0.3">
      <c r="A17" s="1" t="s">
        <v>6</v>
      </c>
      <c r="B17" s="5" t="s">
        <v>47</v>
      </c>
      <c r="C17" s="6">
        <f>L17*10</f>
        <v>536</v>
      </c>
      <c r="D17" s="6">
        <f t="shared" ref="D17:H25" si="4">M17*10</f>
        <v>547</v>
      </c>
      <c r="E17" s="6">
        <f t="shared" si="4"/>
        <v>566</v>
      </c>
      <c r="F17" s="6">
        <f t="shared" si="4"/>
        <v>578</v>
      </c>
      <c r="G17" s="6">
        <f t="shared" si="4"/>
        <v>589</v>
      </c>
      <c r="H17" s="6">
        <f t="shared" si="4"/>
        <v>601</v>
      </c>
      <c r="J17" s="4"/>
      <c r="K17" s="4" t="s">
        <v>47</v>
      </c>
      <c r="L17" s="4">
        <v>53.6</v>
      </c>
      <c r="M17" s="4">
        <v>54.7</v>
      </c>
      <c r="N17" s="4">
        <v>56.6</v>
      </c>
      <c r="O17" s="4">
        <v>57.8</v>
      </c>
      <c r="P17" s="1">
        <v>58.9</v>
      </c>
      <c r="Q17">
        <v>60.1</v>
      </c>
    </row>
    <row r="18" spans="1:17" x14ac:dyDescent="0.3">
      <c r="A18" s="1" t="s">
        <v>14</v>
      </c>
      <c r="B18" s="5" t="s">
        <v>48</v>
      </c>
      <c r="C18" s="6">
        <f>L18*10</f>
        <v>76</v>
      </c>
      <c r="D18" s="6">
        <f t="shared" si="4"/>
        <v>76</v>
      </c>
      <c r="E18" s="6">
        <f t="shared" si="4"/>
        <v>76</v>
      </c>
      <c r="F18" s="6">
        <f t="shared" si="4"/>
        <v>76</v>
      </c>
      <c r="G18" s="6">
        <f t="shared" si="4"/>
        <v>76</v>
      </c>
      <c r="H18" s="6">
        <f t="shared" si="4"/>
        <v>76</v>
      </c>
      <c r="J18" s="4"/>
      <c r="K18" s="4" t="s">
        <v>48</v>
      </c>
      <c r="L18" s="4">
        <v>7.6</v>
      </c>
      <c r="M18" s="4">
        <v>7.6</v>
      </c>
      <c r="N18" s="4">
        <v>7.6</v>
      </c>
      <c r="O18" s="4">
        <v>7.6</v>
      </c>
      <c r="P18" s="1">
        <v>7.6</v>
      </c>
      <c r="Q18" s="1">
        <v>7.6</v>
      </c>
    </row>
    <row r="19" spans="1:17" x14ac:dyDescent="0.3">
      <c r="A19" s="1" t="s">
        <v>12</v>
      </c>
      <c r="B19" s="5" t="s">
        <v>49</v>
      </c>
      <c r="C19" s="6">
        <f t="shared" ref="C19:C25" si="5">L19*10</f>
        <v>430</v>
      </c>
      <c r="D19" s="6">
        <f t="shared" si="4"/>
        <v>430</v>
      </c>
      <c r="E19" s="6">
        <f t="shared" si="4"/>
        <v>430</v>
      </c>
      <c r="F19" s="6">
        <f t="shared" si="4"/>
        <v>430</v>
      </c>
      <c r="G19" s="6">
        <f t="shared" si="4"/>
        <v>430</v>
      </c>
      <c r="H19" s="6">
        <f t="shared" si="4"/>
        <v>430</v>
      </c>
      <c r="J19" s="4"/>
      <c r="K19" s="4" t="s">
        <v>49</v>
      </c>
      <c r="L19" s="4">
        <v>43</v>
      </c>
      <c r="M19" s="4">
        <v>43</v>
      </c>
      <c r="N19" s="4">
        <v>43</v>
      </c>
      <c r="O19" s="4">
        <v>43</v>
      </c>
      <c r="P19" s="1">
        <v>43</v>
      </c>
      <c r="Q19" s="1">
        <v>43</v>
      </c>
    </row>
    <row r="20" spans="1:17" x14ac:dyDescent="0.3">
      <c r="A20" s="1" t="s">
        <v>16</v>
      </c>
      <c r="B20" s="5" t="s">
        <v>50</v>
      </c>
      <c r="C20" s="6">
        <f t="shared" si="5"/>
        <v>49</v>
      </c>
      <c r="D20" s="6">
        <f t="shared" si="4"/>
        <v>49</v>
      </c>
      <c r="E20" s="6">
        <f t="shared" si="4"/>
        <v>49</v>
      </c>
      <c r="F20" s="6">
        <f t="shared" si="4"/>
        <v>49</v>
      </c>
      <c r="G20" s="6">
        <f t="shared" si="4"/>
        <v>49</v>
      </c>
      <c r="H20" s="6">
        <f t="shared" si="4"/>
        <v>49</v>
      </c>
      <c r="J20" s="4"/>
      <c r="K20" s="4" t="s">
        <v>50</v>
      </c>
      <c r="L20" s="4">
        <v>4.9000000000000004</v>
      </c>
      <c r="M20" s="4">
        <v>4.9000000000000004</v>
      </c>
      <c r="N20" s="4">
        <v>4.9000000000000004</v>
      </c>
      <c r="O20" s="4">
        <v>4.9000000000000004</v>
      </c>
      <c r="P20" s="1">
        <v>4.9000000000000004</v>
      </c>
      <c r="Q20">
        <v>4.9000000000000004</v>
      </c>
    </row>
    <row r="21" spans="1:17" x14ac:dyDescent="0.3">
      <c r="A21" s="1" t="s">
        <v>17</v>
      </c>
      <c r="B21" s="5" t="s">
        <v>51</v>
      </c>
      <c r="C21" s="6">
        <f t="shared" si="5"/>
        <v>71</v>
      </c>
      <c r="D21" s="6">
        <f t="shared" si="4"/>
        <v>68</v>
      </c>
      <c r="E21" s="6">
        <f t="shared" si="4"/>
        <v>68</v>
      </c>
      <c r="F21" s="6">
        <f t="shared" si="4"/>
        <v>64</v>
      </c>
      <c r="G21" s="6">
        <f t="shared" si="4"/>
        <v>64</v>
      </c>
      <c r="H21" s="6">
        <f t="shared" si="4"/>
        <v>62</v>
      </c>
      <c r="K21" s="4" t="s">
        <v>51</v>
      </c>
      <c r="L21" s="4">
        <v>7.1</v>
      </c>
      <c r="M21" s="4">
        <v>6.8</v>
      </c>
      <c r="N21" s="4">
        <v>6.8</v>
      </c>
      <c r="O21" s="4">
        <v>6.4</v>
      </c>
      <c r="P21" s="1">
        <v>6.4</v>
      </c>
      <c r="Q21">
        <v>6.2</v>
      </c>
    </row>
    <row r="22" spans="1:17" x14ac:dyDescent="0.3">
      <c r="A22" s="1" t="s">
        <v>13</v>
      </c>
      <c r="B22" s="5" t="s">
        <v>52</v>
      </c>
      <c r="C22" s="6">
        <f t="shared" si="5"/>
        <v>1013</v>
      </c>
      <c r="D22" s="6">
        <f t="shared" si="4"/>
        <v>1022</v>
      </c>
      <c r="E22" s="6">
        <f t="shared" si="4"/>
        <v>1034</v>
      </c>
      <c r="F22" s="6">
        <f t="shared" si="4"/>
        <v>1042</v>
      </c>
      <c r="G22" s="6">
        <f t="shared" si="4"/>
        <v>1052</v>
      </c>
      <c r="H22" s="6">
        <f t="shared" si="4"/>
        <v>1062</v>
      </c>
      <c r="K22" s="1" t="s">
        <v>52</v>
      </c>
      <c r="L22" s="1">
        <v>101.3</v>
      </c>
      <c r="M22" s="1">
        <v>102.2</v>
      </c>
      <c r="N22" s="1">
        <v>103.4</v>
      </c>
      <c r="O22" s="1">
        <v>104.2</v>
      </c>
      <c r="P22" s="1">
        <v>105.2</v>
      </c>
      <c r="Q22">
        <v>106.2</v>
      </c>
    </row>
    <row r="23" spans="1:17" x14ac:dyDescent="0.3">
      <c r="A23" s="1" t="s">
        <v>21</v>
      </c>
      <c r="B23" s="5" t="s">
        <v>53</v>
      </c>
      <c r="C23" s="6">
        <f t="shared" si="5"/>
        <v>746</v>
      </c>
      <c r="D23" s="6">
        <f t="shared" si="4"/>
        <v>772</v>
      </c>
      <c r="E23" s="6">
        <f t="shared" si="4"/>
        <v>799</v>
      </c>
      <c r="F23" s="6">
        <f t="shared" si="4"/>
        <v>813</v>
      </c>
      <c r="G23" s="6">
        <f t="shared" si="4"/>
        <v>837</v>
      </c>
      <c r="H23" s="6">
        <f t="shared" si="4"/>
        <v>861</v>
      </c>
      <c r="K23" s="1" t="s">
        <v>53</v>
      </c>
      <c r="L23" s="1">
        <v>74.599999999999994</v>
      </c>
      <c r="M23" s="1">
        <v>77.2</v>
      </c>
      <c r="N23" s="1">
        <v>79.900000000000006</v>
      </c>
      <c r="O23" s="1">
        <v>81.3</v>
      </c>
      <c r="P23" s="1">
        <v>83.7</v>
      </c>
      <c r="Q23">
        <v>86.1</v>
      </c>
    </row>
    <row r="24" spans="1:17" x14ac:dyDescent="0.3">
      <c r="A24" s="1" t="s">
        <v>7</v>
      </c>
      <c r="B24" s="5" t="s">
        <v>54</v>
      </c>
      <c r="C24" s="6">
        <f t="shared" si="5"/>
        <v>380</v>
      </c>
      <c r="D24" s="6">
        <f t="shared" si="4"/>
        <v>386</v>
      </c>
      <c r="E24" s="6">
        <f t="shared" si="4"/>
        <v>391</v>
      </c>
      <c r="F24" s="6">
        <f t="shared" si="4"/>
        <v>397</v>
      </c>
      <c r="G24" s="6">
        <f t="shared" si="4"/>
        <v>402</v>
      </c>
      <c r="H24" s="6">
        <f t="shared" si="4"/>
        <v>408</v>
      </c>
      <c r="K24" s="1" t="s">
        <v>54</v>
      </c>
      <c r="L24" s="1">
        <v>38</v>
      </c>
      <c r="M24" s="1">
        <v>38.6</v>
      </c>
      <c r="N24" s="1">
        <v>39.1</v>
      </c>
      <c r="O24" s="1">
        <v>39.700000000000003</v>
      </c>
      <c r="P24" s="1">
        <v>40.200000000000003</v>
      </c>
      <c r="Q24">
        <v>40.799999999999997</v>
      </c>
    </row>
    <row r="25" spans="1:17" x14ac:dyDescent="0.3">
      <c r="A25" s="1" t="s">
        <v>8</v>
      </c>
      <c r="B25" s="5" t="s">
        <v>55</v>
      </c>
      <c r="C25" s="6">
        <f t="shared" si="5"/>
        <v>535</v>
      </c>
      <c r="D25" s="6">
        <f t="shared" si="4"/>
        <v>556</v>
      </c>
      <c r="E25" s="6">
        <f t="shared" si="4"/>
        <v>579</v>
      </c>
      <c r="F25" s="6">
        <f t="shared" si="4"/>
        <v>601</v>
      </c>
      <c r="G25" s="6">
        <f t="shared" si="4"/>
        <v>620</v>
      </c>
      <c r="H25" s="6">
        <f t="shared" si="4"/>
        <v>640</v>
      </c>
      <c r="K25" s="1" t="s">
        <v>55</v>
      </c>
      <c r="L25" s="1">
        <v>53.5</v>
      </c>
      <c r="M25" s="1">
        <v>55.6</v>
      </c>
      <c r="N25" s="1">
        <v>57.9</v>
      </c>
      <c r="O25" s="1">
        <v>60.1</v>
      </c>
      <c r="P25" s="1">
        <v>62</v>
      </c>
      <c r="Q25">
        <v>64</v>
      </c>
    </row>
    <row r="26" spans="1:17" x14ac:dyDescent="0.3">
      <c r="A26" s="1" t="s">
        <v>15</v>
      </c>
      <c r="B26" s="1" t="s">
        <v>15</v>
      </c>
      <c r="C26" s="1">
        <v>415</v>
      </c>
      <c r="D26" s="1">
        <v>415</v>
      </c>
      <c r="E26" s="1">
        <v>415</v>
      </c>
      <c r="F26" s="1">
        <v>415</v>
      </c>
      <c r="G26" s="1">
        <v>415</v>
      </c>
      <c r="H26" s="1">
        <v>415</v>
      </c>
      <c r="M26"/>
      <c r="Q26"/>
    </row>
    <row r="27" spans="1:17" x14ac:dyDescent="0.3">
      <c r="A27" s="1" t="s">
        <v>18</v>
      </c>
      <c r="B27" s="1" t="s">
        <v>18</v>
      </c>
      <c r="Q27"/>
    </row>
    <row r="28" spans="1:17" x14ac:dyDescent="0.3">
      <c r="A28" s="1" t="s">
        <v>19</v>
      </c>
      <c r="B28" s="1" t="s">
        <v>19</v>
      </c>
      <c r="C28" s="1">
        <v>70</v>
      </c>
      <c r="D28" s="1">
        <v>80</v>
      </c>
      <c r="E28" s="1">
        <v>80</v>
      </c>
      <c r="F28" s="1">
        <v>90</v>
      </c>
      <c r="G28" s="1">
        <v>90</v>
      </c>
      <c r="H28" s="1">
        <v>100</v>
      </c>
      <c r="Q28"/>
    </row>
    <row r="29" spans="1:17" x14ac:dyDescent="0.3">
      <c r="A29" s="1" t="s">
        <v>20</v>
      </c>
      <c r="B29" s="1" t="s">
        <v>20</v>
      </c>
      <c r="Q29"/>
    </row>
    <row r="30" spans="1:17" x14ac:dyDescent="0.3">
      <c r="A30" s="1" t="s">
        <v>23</v>
      </c>
      <c r="B30" s="1" t="s">
        <v>23</v>
      </c>
      <c r="C30" s="1">
        <v>42</v>
      </c>
      <c r="D30" s="1">
        <v>42</v>
      </c>
      <c r="E30" s="1">
        <v>42</v>
      </c>
      <c r="F30" s="1">
        <v>42</v>
      </c>
      <c r="G30" s="1">
        <v>42</v>
      </c>
      <c r="H30" s="1">
        <v>42</v>
      </c>
      <c r="Q30"/>
    </row>
    <row r="31" spans="1:17" x14ac:dyDescent="0.3">
      <c r="A31" s="1" t="s">
        <v>24</v>
      </c>
      <c r="B31" s="1" t="s">
        <v>24</v>
      </c>
      <c r="C31" s="1">
        <v>50</v>
      </c>
      <c r="D31" s="1">
        <v>50</v>
      </c>
      <c r="E31" s="1">
        <v>50</v>
      </c>
      <c r="F31" s="1">
        <v>50</v>
      </c>
      <c r="G31" s="1">
        <v>50</v>
      </c>
      <c r="H31" s="1">
        <v>50</v>
      </c>
      <c r="Q31"/>
    </row>
    <row r="32" spans="1:17" x14ac:dyDescent="0.3">
      <c r="A32" s="1" t="s">
        <v>25</v>
      </c>
      <c r="B32" s="1" t="s">
        <v>25</v>
      </c>
      <c r="C32" s="9">
        <v>143</v>
      </c>
      <c r="D32" s="9">
        <v>158</v>
      </c>
      <c r="E32" s="9">
        <v>164</v>
      </c>
      <c r="F32" s="9">
        <v>177</v>
      </c>
      <c r="G32" s="9">
        <v>188</v>
      </c>
      <c r="H32" s="9">
        <v>194</v>
      </c>
    </row>
    <row r="33" spans="1:8" x14ac:dyDescent="0.3">
      <c r="A33" s="1" t="s">
        <v>26</v>
      </c>
      <c r="B33" s="1" t="s">
        <v>26</v>
      </c>
      <c r="C33" s="9">
        <v>158</v>
      </c>
      <c r="D33" s="9">
        <v>164</v>
      </c>
      <c r="E33" s="9">
        <v>177</v>
      </c>
      <c r="F33" s="9">
        <v>188</v>
      </c>
      <c r="G33" s="9">
        <v>194</v>
      </c>
      <c r="H33" s="9">
        <v>203</v>
      </c>
    </row>
    <row r="34" spans="1:8" x14ac:dyDescent="0.3">
      <c r="C34" s="2"/>
      <c r="D34" s="2"/>
      <c r="E34" s="2"/>
      <c r="F34" s="2"/>
      <c r="G34" s="2"/>
      <c r="H34" s="2"/>
    </row>
    <row r="36" spans="1:8" ht="24" x14ac:dyDescent="0.3">
      <c r="B36" s="7" t="s">
        <v>59</v>
      </c>
      <c r="C36"/>
      <c r="D36"/>
    </row>
    <row r="37" spans="1:8" x14ac:dyDescent="0.3">
      <c r="B37"/>
      <c r="C37"/>
      <c r="D37"/>
    </row>
    <row r="38" spans="1:8" x14ac:dyDescent="0.3">
      <c r="B38" s="12" t="s">
        <v>60</v>
      </c>
      <c r="C38" s="12"/>
      <c r="D38" s="12"/>
    </row>
    <row r="39" spans="1:8" x14ac:dyDescent="0.3">
      <c r="B39" s="8" t="s">
        <v>61</v>
      </c>
      <c r="C39" s="8" t="s">
        <v>62</v>
      </c>
      <c r="D39" s="8" t="s">
        <v>63</v>
      </c>
    </row>
    <row r="40" spans="1:8" x14ac:dyDescent="0.3">
      <c r="B40" s="12" t="s">
        <v>31</v>
      </c>
      <c r="C40" t="s">
        <v>64</v>
      </c>
      <c r="D40" t="s">
        <v>66</v>
      </c>
    </row>
    <row r="41" spans="1:8" x14ac:dyDescent="0.3">
      <c r="B41" s="12"/>
      <c r="C41" t="s">
        <v>65</v>
      </c>
      <c r="D41" t="s">
        <v>67</v>
      </c>
    </row>
    <row r="42" spans="1:8" x14ac:dyDescent="0.3">
      <c r="B42" s="12" t="s">
        <v>68</v>
      </c>
      <c r="C42" t="s">
        <v>69</v>
      </c>
      <c r="D42" t="s">
        <v>71</v>
      </c>
    </row>
    <row r="43" spans="1:8" x14ac:dyDescent="0.3">
      <c r="B43" s="12"/>
      <c r="C43" t="s">
        <v>70</v>
      </c>
      <c r="D43" t="s">
        <v>72</v>
      </c>
    </row>
    <row r="44" spans="1:8" x14ac:dyDescent="0.3">
      <c r="B44" s="12" t="s">
        <v>73</v>
      </c>
      <c r="C44" t="s">
        <v>74</v>
      </c>
      <c r="D44" t="s">
        <v>76</v>
      </c>
    </row>
    <row r="45" spans="1:8" x14ac:dyDescent="0.3">
      <c r="B45" s="12"/>
      <c r="C45" t="s">
        <v>75</v>
      </c>
      <c r="D45" t="s">
        <v>77</v>
      </c>
    </row>
    <row r="46" spans="1:8" x14ac:dyDescent="0.3">
      <c r="B46" s="12" t="s">
        <v>78</v>
      </c>
      <c r="C46" t="s">
        <v>79</v>
      </c>
      <c r="D46" t="s">
        <v>81</v>
      </c>
    </row>
    <row r="47" spans="1:8" x14ac:dyDescent="0.3">
      <c r="B47" s="12"/>
      <c r="C47" t="s">
        <v>80</v>
      </c>
      <c r="D47" t="s">
        <v>82</v>
      </c>
    </row>
    <row r="48" spans="1:8" x14ac:dyDescent="0.3">
      <c r="B48" s="12" t="s">
        <v>83</v>
      </c>
      <c r="C48" t="s">
        <v>84</v>
      </c>
      <c r="D48" t="s">
        <v>86</v>
      </c>
    </row>
    <row r="49" spans="2:4" x14ac:dyDescent="0.3">
      <c r="B49" s="12"/>
      <c r="C49" t="s">
        <v>85</v>
      </c>
      <c r="D49" t="s">
        <v>87</v>
      </c>
    </row>
    <row r="50" spans="2:4" x14ac:dyDescent="0.3">
      <c r="B50" s="12" t="s">
        <v>88</v>
      </c>
      <c r="C50" t="s">
        <v>89</v>
      </c>
      <c r="D50" t="s">
        <v>91</v>
      </c>
    </row>
    <row r="51" spans="2:4" x14ac:dyDescent="0.3">
      <c r="B51" s="12"/>
      <c r="C51" t="s">
        <v>90</v>
      </c>
      <c r="D51" t="s">
        <v>92</v>
      </c>
    </row>
  </sheetData>
  <mergeCells count="8">
    <mergeCell ref="B46:B47"/>
    <mergeCell ref="B48:B49"/>
    <mergeCell ref="B50:B51"/>
    <mergeCell ref="N8:AC8"/>
    <mergeCell ref="B38:D38"/>
    <mergeCell ref="B40:B41"/>
    <mergeCell ref="B42:B43"/>
    <mergeCell ref="B44:B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Trek Checkpoint SL (gen 3)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2025-07-06T21:01:48Z</dcterms:created>
  <dcterms:modified xsi:type="dcterms:W3CDTF">2025-07-23T00:45:29Z</dcterms:modified>
</cp:coreProperties>
</file>