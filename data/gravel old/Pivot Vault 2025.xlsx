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B85F4D3-B459-6D48-83A2-DBF5D99E07A7}" xr6:coauthVersionLast="47" xr6:coauthVersionMax="47" xr10:uidLastSave="{00000000-0000-0000-0000-000000000000}"/>
  <bookViews>
    <workbookView xWindow="0" yWindow="500" windowWidth="28800" windowHeight="17500" xr2:uid="{AE0F04AA-80E5-8247-9791-D6B95FAD9AB5}"/>
  </bookViews>
  <sheets>
    <sheet name="Pivot Vault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5" i="1" s="1"/>
  <c r="F34" i="1"/>
  <c r="E35" i="1" s="1"/>
  <c r="G34" i="1"/>
  <c r="F35" i="1" s="1"/>
  <c r="H34" i="1"/>
  <c r="G35" i="1" s="1"/>
  <c r="D34" i="1"/>
  <c r="C35" i="1" s="1"/>
  <c r="H35" i="1"/>
  <c r="C34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C15" i="1"/>
  <c r="C14" i="1"/>
  <c r="C12" i="1"/>
  <c r="C13" i="1"/>
  <c r="C16" i="1"/>
  <c r="C17" i="1"/>
  <c r="C18" i="1"/>
  <c r="C19" i="1"/>
  <c r="C20" i="1"/>
  <c r="C21" i="1"/>
  <c r="C22" i="1"/>
  <c r="C23" i="1"/>
  <c r="C24" i="1"/>
  <c r="C25" i="1"/>
  <c r="C11" i="1"/>
</calcChain>
</file>

<file path=xl/sharedStrings.xml><?xml version="1.0" encoding="utf-8"?>
<sst xmlns="http://schemas.openxmlformats.org/spreadsheetml/2006/main" count="118" uniqueCount="101">
  <si>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</si>
  <si>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</si>
  <si>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</si>
  <si>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</si>
  <si>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</si>
  <si>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</si>
  <si>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</si>
  <si>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</si>
  <si>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</si>
  <si>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</si>
  <si>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</si>
  <si>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</si>
  <si>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</si>
  <si>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</si>
  <si>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</si>
  <si>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</si>
  <si>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</si>
  <si>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</si>
  <si>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</si>
  <si>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</si>
  <si>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</si>
  <si>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</si>
  <si>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</si>
  <si>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</si>
  <si>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</si>
  <si>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</si>
  <si>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</si>
  <si>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</si>
  <si>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</si>
  <si>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</si>
  <si>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</si>
  <si>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</si>
  <si>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XS</t>
  </si>
  <si>
    <t>XL</t>
  </si>
  <si>
    <t>Reach</t>
  </si>
  <si>
    <t>Stack</t>
  </si>
  <si>
    <t>Head Tube Angle</t>
  </si>
  <si>
    <t>Standover Height</t>
  </si>
  <si>
    <t>Trail</t>
  </si>
  <si>
    <t>Wheelbase</t>
  </si>
  <si>
    <t>stem_angle</t>
  </si>
  <si>
    <t>XXS</t>
  </si>
  <si>
    <t>SM</t>
  </si>
  <si>
    <t>MD</t>
  </si>
  <si>
    <t>LG</t>
  </si>
  <si>
    <t>Seat Tube Length (C-T)</t>
  </si>
  <si>
    <t>Top Tube Length (Eff.)</t>
  </si>
  <si>
    <t>Head Tube Length</t>
  </si>
  <si>
    <t>Seat Tube Angle (Eff.)</t>
  </si>
  <si>
    <t>Chain Stay Length</t>
  </si>
  <si>
    <t>Bottom Bracket Drop</t>
  </si>
  <si>
    <t>Bottom Bracket Height</t>
  </si>
  <si>
    <t>ATC</t>
  </si>
  <si>
    <t>FO</t>
  </si>
  <si>
    <t>https://global.pivotcycles.com/bikes/vault</t>
  </si>
  <si>
    <t>Pivot</t>
  </si>
  <si>
    <t>Vault</t>
  </si>
  <si>
    <t>bb_height</t>
  </si>
  <si>
    <t>XXS: 4'10" – 5'2" | 1,47 - 1,57 m</t>
  </si>
  <si>
    <t>X-Small: 5'0" – 5'4" | 1,52- 1,63 m</t>
  </si>
  <si>
    <t>Small: 5'4" – 5'8" | 1,63 - 1,73 m</t>
  </si>
  <si>
    <t>Medium: 5'8" – 6' | 1,73 - 1,83 m</t>
  </si>
  <si>
    <t>Large: 6' – 6'2" | 1,83 - 1,88 m</t>
  </si>
  <si>
    <t>X-Large: 6'2" – 6'6" | 1,88 - 1,98 m</t>
  </si>
  <si>
    <t>udh</t>
  </si>
  <si>
    <t>dropout</t>
  </si>
  <si>
    <t>700c width max</t>
  </si>
  <si>
    <t>650B tire max</t>
  </si>
  <si>
    <t>suspension corrected</t>
  </si>
  <si>
    <t>fork suspension</t>
  </si>
  <si>
    <t>stem suspension</t>
  </si>
  <si>
    <t>rear suspension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</si>
  <si>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</si>
  <si>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</si>
  <si>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</si>
  <si>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</si>
  <si>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</si>
  <si>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</si>
  <si>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</si>
  <si>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</si>
  <si>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</si>
  <si>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</si>
  <si>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</si>
  <si>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</si>
  <si>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</si>
  <si>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</si>
  <si>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</si>
  <si>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</si>
  <si>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</si>
  <si>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</si>
  <si>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ISO ASTM</t>
  </si>
  <si>
    <t>rotor max front</t>
  </si>
  <si>
    <t>rotor max rear</t>
  </si>
  <si>
    <t>frameset</t>
  </si>
  <si>
    <t>base build</t>
  </si>
  <si>
    <t>currency</t>
  </si>
  <si>
    <t>internal storage</t>
  </si>
  <si>
    <t>frame_weight</t>
  </si>
  <si>
    <t>no</t>
  </si>
  <si>
    <t>a10:h35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</si>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</sst>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4"/>
      <color rgb="FF353535"/>
      <name val="Futura Medium"/>
    </font>
    <font>
      <b/>
      <sz val="14"/>
      <color rgb="FF353535"/>
      <name val="Futura Medium"/>
    </font>
    <font>
      <sz val="14"/>
      <color theme="1"/>
      <name val="Arial"/>
      <family val="2"/>
    </font>
    <font>
      <sz val="21"/>
      <color rgb="FF003764"/>
      <name val="Arial"/>
      <family val="2"/>
    </font>
    <font>
      <b/>
      <u/>
      <sz val="14"/>
      <color theme="1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  <xf numFmtId="164" fontId="2" fillId="0" borderId="0" xfId="0" applyNumberFormat="1" applyFont="1"/>
    <xf numFmtId="164" fontId="1" fillId="0" borderId="0" xfId="0" applyNumberFormat="1" applyFont="1"/>
    <xf numFmtId="164" fontId="4" fillId="0" borderId="0" xfId="0" applyNumberFormat="1" applyFont="1"/>
    <xf numFmtId="0" fontId="8" fillId="0" borderId="0" xfId="0" applyFont="1"/>
    <xf numFmtId="1" fontId="9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4"/>
  <sheetViews>
    <sheetView tabSelected="1" topLeftCell="E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31.83203125" style="1" customWidth="1"/>
    <col min="3" max="5" width="11" style="1" bestFit="1" customWidth="1"/>
    <col min="6" max="6" width="17.6640625" style="1" customWidth="1"/>
    <col min="7" max="9" width="16.33203125" style="1" customWidth="1"/>
    <col min="10" max="24" width="11" style="1" bestFit="1" customWidth="1"/>
    <col min="25" max="16384" width="10.83203125" style="1"/>
  </cols>
  <sheetData>
    <row r="1" spans="1:34" x14ac:dyDescent="0.3">
      <c r="A1" s="1" t="s">
        <v>0</v>
      </c>
      <c r="B1" s="1" t="s">
        <v>55</v>
      </c>
    </row>
    <row r="2" spans="1:34" x14ac:dyDescent="0.3">
      <c r="A2" s="1" t="s">
        <v>1</v>
      </c>
      <c r="B2" s="1" t="s">
        <v>56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45854</v>
      </c>
    </row>
    <row r="5" spans="1:34" x14ac:dyDescent="0.3">
      <c r="A5" s="1" t="s">
        <v>4</v>
      </c>
      <c r="B5" s="1" t="s">
        <v>54</v>
      </c>
    </row>
    <row r="6" spans="1:34" customFormat="1" ht="55" customHeight="1" x14ac:dyDescent="0.3">
      <c r="A6" s="17" t="s">
        <v>5</v>
      </c>
      <c r="B6" s="17" t="s">
        <v>64</v>
      </c>
      <c r="C6" s="17" t="s">
        <v>65</v>
      </c>
      <c r="D6" s="17" t="s">
        <v>66</v>
      </c>
      <c r="E6" s="17" t="s">
        <v>67</v>
      </c>
      <c r="F6" s="17" t="s">
        <v>68</v>
      </c>
      <c r="G6" s="17" t="s">
        <v>69</v>
      </c>
      <c r="H6" s="17" t="s">
        <v>70</v>
      </c>
      <c r="I6" s="17" t="s">
        <v>71</v>
      </c>
      <c r="J6" s="17" t="s">
        <v>72</v>
      </c>
      <c r="K6" s="17" t="s">
        <v>73</v>
      </c>
      <c r="L6" s="17" t="s">
        <v>74</v>
      </c>
      <c r="M6" s="17" t="s">
        <v>75</v>
      </c>
      <c r="N6" s="17" t="s">
        <v>76</v>
      </c>
      <c r="O6" s="17" t="s">
        <v>77</v>
      </c>
      <c r="P6" s="17" t="s">
        <v>78</v>
      </c>
      <c r="Q6" s="17" t="s">
        <v>79</v>
      </c>
      <c r="R6" s="17" t="s">
        <v>80</v>
      </c>
      <c r="S6" s="17" t="s">
        <v>81</v>
      </c>
      <c r="T6" s="17" t="s">
        <v>82</v>
      </c>
      <c r="U6" s="17" t="s">
        <v>83</v>
      </c>
      <c r="V6" s="17" t="s">
        <v>84</v>
      </c>
      <c r="W6" s="17" t="s">
        <v>85</v>
      </c>
      <c r="X6" s="17" t="s">
        <v>86</v>
      </c>
      <c r="Y6" s="17" t="s">
        <v>87</v>
      </c>
      <c r="Z6" s="17" t="s">
        <v>88</v>
      </c>
      <c r="AA6" s="17" t="s">
        <v>89</v>
      </c>
      <c r="AB6" s="18" t="s">
        <v>90</v>
      </c>
      <c r="AC6" s="17" t="s">
        <v>91</v>
      </c>
      <c r="AD6" s="17" t="s">
        <v>92</v>
      </c>
      <c r="AE6" s="17" t="s">
        <v>93</v>
      </c>
      <c r="AF6" s="17" t="s">
        <v>94</v>
      </c>
      <c r="AG6" s="17" t="s">
        <v>95</v>
      </c>
      <c r="AH6" s="17" t="s">
        <v>96</v>
      </c>
    </row>
    <row r="7" spans="1:34" x14ac:dyDescent="0.3">
      <c r="A7" s="1" t="s">
        <v>6</v>
      </c>
      <c r="B7" s="1" t="s">
        <v>7</v>
      </c>
      <c r="D7" s="1">
        <v>50</v>
      </c>
      <c r="F7" s="1" t="s">
        <v>98</v>
      </c>
      <c r="O7" s="1" t="s">
        <v>7</v>
      </c>
      <c r="Q7" s="1" t="s">
        <v>7</v>
      </c>
      <c r="T7" s="1" t="s">
        <v>100</v>
      </c>
      <c r="U7" s="1" t="s">
        <v>7</v>
      </c>
      <c r="V7" s="1" t="s">
        <v>7</v>
      </c>
      <c r="W7" s="1" t="s">
        <v>7</v>
      </c>
      <c r="X7" s="1" t="s">
        <v>98</v>
      </c>
      <c r="Y7" s="1" t="s">
        <v>7</v>
      </c>
      <c r="Z7" s="1" t="s">
        <v>7</v>
      </c>
      <c r="AA7" s="1" t="s">
        <v>98</v>
      </c>
      <c r="AC7" s="1">
        <v>160</v>
      </c>
      <c r="AD7" s="1">
        <v>160</v>
      </c>
      <c r="AE7" s="1">
        <v>2899</v>
      </c>
      <c r="AF7" s="1">
        <v>3999</v>
      </c>
      <c r="AH7" s="1" t="s">
        <v>7</v>
      </c>
    </row>
    <row r="9" spans="1:34" x14ac:dyDescent="0.3">
      <c r="A9" s="1" t="s">
        <v>8</v>
      </c>
      <c r="B9" s="1" t="s">
        <v>99</v>
      </c>
    </row>
    <row r="10" spans="1:34" ht="22" x14ac:dyDescent="0.3">
      <c r="A10" s="1" t="s">
        <v>9</v>
      </c>
      <c r="B10" s="1" t="s">
        <v>9</v>
      </c>
      <c r="C10" s="4" t="s">
        <v>41</v>
      </c>
      <c r="D10" s="4" t="s">
        <v>32</v>
      </c>
      <c r="E10" s="4" t="s">
        <v>42</v>
      </c>
      <c r="F10" s="4" t="s">
        <v>43</v>
      </c>
      <c r="G10" s="3" t="s">
        <v>44</v>
      </c>
      <c r="H10" s="1" t="s">
        <v>33</v>
      </c>
      <c r="J10" s="10" t="s">
        <v>41</v>
      </c>
      <c r="K10" s="10" t="s">
        <v>32</v>
      </c>
      <c r="L10" s="10" t="s">
        <v>42</v>
      </c>
      <c r="M10" s="10" t="s">
        <v>43</v>
      </c>
      <c r="N10" s="3" t="s">
        <v>44</v>
      </c>
      <c r="O10" s="3" t="s">
        <v>33</v>
      </c>
      <c r="P10" s="3"/>
      <c r="Q10" s="3"/>
    </row>
    <row r="11" spans="1:34" ht="22" x14ac:dyDescent="0.3">
      <c r="A11" s="1" t="s">
        <v>10</v>
      </c>
      <c r="B11" s="5" t="s">
        <v>45</v>
      </c>
      <c r="C11" s="5">
        <f>J11*10</f>
        <v>390</v>
      </c>
      <c r="D11" s="5">
        <f t="shared" ref="D11:H13" si="0">K11*10</f>
        <v>430</v>
      </c>
      <c r="E11" s="5">
        <f t="shared" si="0"/>
        <v>480</v>
      </c>
      <c r="F11" s="5">
        <f t="shared" si="0"/>
        <v>500</v>
      </c>
      <c r="G11" s="5">
        <f t="shared" si="0"/>
        <v>520</v>
      </c>
      <c r="H11" s="5">
        <f t="shared" si="0"/>
        <v>540</v>
      </c>
      <c r="J11" s="8">
        <v>39</v>
      </c>
      <c r="K11" s="8">
        <v>43</v>
      </c>
      <c r="L11" s="8">
        <v>48</v>
      </c>
      <c r="M11" s="8">
        <v>50</v>
      </c>
      <c r="N11" s="12">
        <v>52</v>
      </c>
      <c r="O11" s="12">
        <v>54</v>
      </c>
      <c r="P11" s="3"/>
      <c r="Q11" s="3"/>
    </row>
    <row r="12" spans="1:34" ht="22" x14ac:dyDescent="0.3">
      <c r="A12" s="1" t="s">
        <v>11</v>
      </c>
      <c r="B12" s="5" t="s">
        <v>46</v>
      </c>
      <c r="C12" s="5">
        <f t="shared" ref="C12:C25" si="1">J12*10</f>
        <v>502</v>
      </c>
      <c r="D12" s="5">
        <f t="shared" si="0"/>
        <v>536</v>
      </c>
      <c r="E12" s="5">
        <f t="shared" si="0"/>
        <v>555</v>
      </c>
      <c r="F12" s="5">
        <f t="shared" si="0"/>
        <v>586</v>
      </c>
      <c r="G12" s="5">
        <f t="shared" si="0"/>
        <v>600</v>
      </c>
      <c r="H12" s="5">
        <f t="shared" si="0"/>
        <v>620</v>
      </c>
      <c r="J12" s="8">
        <v>50.2</v>
      </c>
      <c r="K12" s="8">
        <v>53.6</v>
      </c>
      <c r="L12" s="8">
        <v>55.5</v>
      </c>
      <c r="M12" s="8">
        <v>58.6</v>
      </c>
      <c r="N12" s="12">
        <v>60</v>
      </c>
      <c r="O12" s="12">
        <v>62</v>
      </c>
      <c r="P12" s="3"/>
      <c r="Q12" s="3"/>
    </row>
    <row r="13" spans="1:34" ht="22" x14ac:dyDescent="0.3">
      <c r="A13" s="1" t="s">
        <v>12</v>
      </c>
      <c r="B13" s="5" t="s">
        <v>47</v>
      </c>
      <c r="C13" s="5">
        <f t="shared" si="1"/>
        <v>85</v>
      </c>
      <c r="D13" s="5">
        <f t="shared" si="0"/>
        <v>110</v>
      </c>
      <c r="E13" s="5">
        <f t="shared" si="0"/>
        <v>125</v>
      </c>
      <c r="F13" s="5">
        <f t="shared" si="0"/>
        <v>150</v>
      </c>
      <c r="G13" s="5">
        <f t="shared" si="0"/>
        <v>165</v>
      </c>
      <c r="H13" s="5">
        <f t="shared" si="0"/>
        <v>200</v>
      </c>
      <c r="J13" s="8">
        <v>8.5</v>
      </c>
      <c r="K13" s="8">
        <v>11</v>
      </c>
      <c r="L13" s="8">
        <v>12.5</v>
      </c>
      <c r="M13" s="8">
        <v>15</v>
      </c>
      <c r="N13" s="12">
        <v>16.5</v>
      </c>
      <c r="O13" s="12">
        <v>20</v>
      </c>
      <c r="P13" s="3"/>
      <c r="Q13" s="3"/>
    </row>
    <row r="14" spans="1:34" ht="22" x14ac:dyDescent="0.3">
      <c r="A14" s="1" t="s">
        <v>16</v>
      </c>
      <c r="B14" s="5" t="s">
        <v>36</v>
      </c>
      <c r="C14" s="14">
        <f>J14</f>
        <v>69</v>
      </c>
      <c r="D14" s="14">
        <f t="shared" ref="D14:H15" si="2">K14</f>
        <v>70</v>
      </c>
      <c r="E14" s="14">
        <f t="shared" si="2"/>
        <v>70.400000000000006</v>
      </c>
      <c r="F14" s="14">
        <f t="shared" si="2"/>
        <v>70.7</v>
      </c>
      <c r="G14" s="14">
        <f t="shared" si="2"/>
        <v>70.8</v>
      </c>
      <c r="H14" s="14">
        <f t="shared" si="2"/>
        <v>71</v>
      </c>
      <c r="J14" s="8">
        <v>69</v>
      </c>
      <c r="K14" s="8">
        <v>70</v>
      </c>
      <c r="L14" s="8">
        <v>70.400000000000006</v>
      </c>
      <c r="M14" s="8">
        <v>70.7</v>
      </c>
      <c r="N14" s="12">
        <v>70.8</v>
      </c>
      <c r="O14" s="12">
        <v>71</v>
      </c>
      <c r="P14" s="3"/>
      <c r="Q14" s="3"/>
    </row>
    <row r="15" spans="1:34" ht="22" x14ac:dyDescent="0.3">
      <c r="A15" s="1" t="s">
        <v>17</v>
      </c>
      <c r="B15" s="5" t="s">
        <v>48</v>
      </c>
      <c r="C15" s="14">
        <f>J15</f>
        <v>75</v>
      </c>
      <c r="D15" s="14">
        <f t="shared" si="2"/>
        <v>74.3</v>
      </c>
      <c r="E15" s="14">
        <f t="shared" si="2"/>
        <v>73.8</v>
      </c>
      <c r="F15" s="14">
        <f t="shared" si="2"/>
        <v>73</v>
      </c>
      <c r="G15" s="14">
        <f t="shared" si="2"/>
        <v>73</v>
      </c>
      <c r="H15" s="14">
        <f t="shared" si="2"/>
        <v>73</v>
      </c>
      <c r="J15" s="8">
        <v>75</v>
      </c>
      <c r="K15" s="8">
        <v>74.3</v>
      </c>
      <c r="L15" s="8">
        <v>73.8</v>
      </c>
      <c r="M15" s="8">
        <v>73</v>
      </c>
      <c r="N15" s="12">
        <v>73</v>
      </c>
      <c r="O15" s="12">
        <v>73</v>
      </c>
      <c r="P15" s="3"/>
      <c r="Q15" s="3"/>
    </row>
    <row r="16" spans="1:34" ht="22" x14ac:dyDescent="0.3">
      <c r="A16" s="1" t="s">
        <v>13</v>
      </c>
      <c r="B16" s="5" t="s">
        <v>49</v>
      </c>
      <c r="C16" s="5">
        <f t="shared" si="1"/>
        <v>420</v>
      </c>
      <c r="D16" s="5">
        <f t="shared" ref="D16:D25" si="3">K16*10</f>
        <v>420</v>
      </c>
      <c r="E16" s="5">
        <f t="shared" ref="E16:E25" si="4">L16*10</f>
        <v>420</v>
      </c>
      <c r="F16" s="5">
        <f t="shared" ref="F16:F25" si="5">M16*10</f>
        <v>420</v>
      </c>
      <c r="G16" s="5">
        <f t="shared" ref="G16:G25" si="6">N16*10</f>
        <v>420</v>
      </c>
      <c r="H16" s="5">
        <f t="shared" ref="H16:H25" si="7">O16*10</f>
        <v>420</v>
      </c>
      <c r="J16" s="8">
        <v>42</v>
      </c>
      <c r="K16" s="8">
        <v>42</v>
      </c>
      <c r="L16" s="8">
        <v>42</v>
      </c>
      <c r="M16" s="8">
        <v>42</v>
      </c>
      <c r="N16" s="12">
        <v>42</v>
      </c>
      <c r="O16" s="12">
        <v>42</v>
      </c>
      <c r="P16" s="3"/>
      <c r="Q16" s="3"/>
    </row>
    <row r="17" spans="1:17" ht="22" x14ac:dyDescent="0.3">
      <c r="A17" s="1" t="s">
        <v>14</v>
      </c>
      <c r="B17" s="5" t="s">
        <v>50</v>
      </c>
      <c r="C17" s="5">
        <f t="shared" si="1"/>
        <v>80</v>
      </c>
      <c r="D17" s="5">
        <f t="shared" si="3"/>
        <v>78</v>
      </c>
      <c r="E17" s="5">
        <f t="shared" si="4"/>
        <v>76</v>
      </c>
      <c r="F17" s="5">
        <f t="shared" si="5"/>
        <v>75</v>
      </c>
      <c r="G17" s="5">
        <f t="shared" si="6"/>
        <v>73</v>
      </c>
      <c r="H17" s="5">
        <f t="shared" si="7"/>
        <v>73</v>
      </c>
      <c r="J17" s="8">
        <v>8</v>
      </c>
      <c r="K17" s="8">
        <v>7.8</v>
      </c>
      <c r="L17" s="8">
        <v>7.6</v>
      </c>
      <c r="M17" s="8">
        <v>7.5</v>
      </c>
      <c r="N17" s="12">
        <v>7.3</v>
      </c>
      <c r="O17" s="12">
        <v>7.3</v>
      </c>
      <c r="P17" s="3"/>
      <c r="Q17" s="3"/>
    </row>
    <row r="18" spans="1:17" ht="22" x14ac:dyDescent="0.3">
      <c r="A18" s="1" t="s">
        <v>19</v>
      </c>
      <c r="B18" s="5" t="s">
        <v>37</v>
      </c>
      <c r="C18" s="5">
        <f t="shared" si="1"/>
        <v>666</v>
      </c>
      <c r="D18" s="5">
        <f t="shared" si="3"/>
        <v>708</v>
      </c>
      <c r="E18" s="5">
        <f t="shared" si="4"/>
        <v>750</v>
      </c>
      <c r="F18" s="5">
        <f t="shared" si="5"/>
        <v>772</v>
      </c>
      <c r="G18" s="5">
        <f t="shared" si="6"/>
        <v>791</v>
      </c>
      <c r="H18" s="5">
        <f t="shared" si="7"/>
        <v>815</v>
      </c>
      <c r="J18" s="8">
        <v>66.599999999999994</v>
      </c>
      <c r="K18" s="8">
        <v>70.8</v>
      </c>
      <c r="L18" s="8">
        <v>75</v>
      </c>
      <c r="M18" s="8">
        <v>77.2</v>
      </c>
      <c r="N18" s="12">
        <v>79.099999999999994</v>
      </c>
      <c r="O18" s="12">
        <v>81.5</v>
      </c>
      <c r="P18" s="3"/>
      <c r="Q18" s="3"/>
    </row>
    <row r="19" spans="1:17" ht="22" x14ac:dyDescent="0.3">
      <c r="A19" s="1" t="s">
        <v>15</v>
      </c>
      <c r="B19" s="5" t="s">
        <v>39</v>
      </c>
      <c r="C19" s="5">
        <f t="shared" si="1"/>
        <v>1000</v>
      </c>
      <c r="D19" s="5">
        <f t="shared" si="3"/>
        <v>1021</v>
      </c>
      <c r="E19" s="5">
        <f t="shared" si="4"/>
        <v>1034</v>
      </c>
      <c r="F19" s="5">
        <f t="shared" si="5"/>
        <v>1054</v>
      </c>
      <c r="G19" s="5">
        <f t="shared" si="6"/>
        <v>1069</v>
      </c>
      <c r="H19" s="5">
        <f t="shared" si="7"/>
        <v>1088</v>
      </c>
      <c r="J19" s="8">
        <v>100</v>
      </c>
      <c r="K19" s="8">
        <v>102.1</v>
      </c>
      <c r="L19" s="8">
        <v>103.4</v>
      </c>
      <c r="M19" s="8">
        <v>105.4</v>
      </c>
      <c r="N19" s="12">
        <v>106.9</v>
      </c>
      <c r="O19" s="12">
        <v>108.8</v>
      </c>
      <c r="P19" s="3"/>
      <c r="Q19" s="3"/>
    </row>
    <row r="20" spans="1:17" ht="22" x14ac:dyDescent="0.3">
      <c r="A20" s="1" t="s">
        <v>57</v>
      </c>
      <c r="B20" s="5" t="s">
        <v>51</v>
      </c>
      <c r="C20" s="5">
        <f t="shared" si="1"/>
        <v>271</v>
      </c>
      <c r="D20" s="5">
        <f t="shared" si="3"/>
        <v>273</v>
      </c>
      <c r="E20" s="5">
        <f t="shared" si="4"/>
        <v>275</v>
      </c>
      <c r="F20" s="5">
        <f t="shared" si="5"/>
        <v>276</v>
      </c>
      <c r="G20" s="5">
        <f t="shared" si="6"/>
        <v>278</v>
      </c>
      <c r="H20" s="5">
        <f t="shared" si="7"/>
        <v>278</v>
      </c>
      <c r="J20" s="8">
        <v>27.1</v>
      </c>
      <c r="K20" s="8">
        <v>27.3</v>
      </c>
      <c r="L20" s="8">
        <v>27.5</v>
      </c>
      <c r="M20" s="8">
        <v>27.6</v>
      </c>
      <c r="N20" s="12">
        <v>27.8</v>
      </c>
      <c r="O20" s="12">
        <v>27.8</v>
      </c>
      <c r="P20" s="3"/>
      <c r="Q20" s="3"/>
    </row>
    <row r="21" spans="1:17" ht="22" x14ac:dyDescent="0.3">
      <c r="A21" s="1" t="s">
        <v>21</v>
      </c>
      <c r="B21" s="5" t="s">
        <v>35</v>
      </c>
      <c r="C21" s="5">
        <f t="shared" si="1"/>
        <v>529</v>
      </c>
      <c r="D21" s="5">
        <f t="shared" si="3"/>
        <v>554</v>
      </c>
      <c r="E21" s="5">
        <f t="shared" si="4"/>
        <v>568</v>
      </c>
      <c r="F21" s="5">
        <f t="shared" si="5"/>
        <v>592</v>
      </c>
      <c r="G21" s="5">
        <f t="shared" si="6"/>
        <v>605</v>
      </c>
      <c r="H21" s="5">
        <f t="shared" si="7"/>
        <v>639</v>
      </c>
      <c r="J21" s="8">
        <v>52.9</v>
      </c>
      <c r="K21" s="8">
        <v>55.4</v>
      </c>
      <c r="L21" s="8">
        <v>56.8</v>
      </c>
      <c r="M21" s="8">
        <v>59.2</v>
      </c>
      <c r="N21" s="12">
        <v>60.5</v>
      </c>
      <c r="O21" s="12">
        <v>63.9</v>
      </c>
      <c r="P21" s="3"/>
      <c r="Q21" s="3"/>
    </row>
    <row r="22" spans="1:17" ht="22" x14ac:dyDescent="0.3">
      <c r="A22" s="1" t="s">
        <v>20</v>
      </c>
      <c r="B22" s="5" t="s">
        <v>34</v>
      </c>
      <c r="C22" s="5">
        <f t="shared" si="1"/>
        <v>360</v>
      </c>
      <c r="D22" s="5">
        <f t="shared" si="3"/>
        <v>380</v>
      </c>
      <c r="E22" s="5">
        <f t="shared" si="4"/>
        <v>390</v>
      </c>
      <c r="F22" s="5">
        <f t="shared" si="5"/>
        <v>405</v>
      </c>
      <c r="G22" s="5">
        <f t="shared" si="6"/>
        <v>415</v>
      </c>
      <c r="H22" s="5">
        <f t="shared" si="7"/>
        <v>425</v>
      </c>
      <c r="J22" s="8">
        <v>36</v>
      </c>
      <c r="K22" s="8">
        <v>38</v>
      </c>
      <c r="L22" s="8">
        <v>39</v>
      </c>
      <c r="M22" s="8">
        <v>40.5</v>
      </c>
      <c r="N22" s="12">
        <v>41.5</v>
      </c>
      <c r="O22" s="12">
        <v>42.5</v>
      </c>
      <c r="P22" s="3"/>
      <c r="Q22" s="3"/>
    </row>
    <row r="23" spans="1:17" ht="22" x14ac:dyDescent="0.3">
      <c r="A23" s="1" t="s">
        <v>22</v>
      </c>
      <c r="B23" s="5" t="s">
        <v>52</v>
      </c>
      <c r="C23" s="5">
        <f t="shared" si="1"/>
        <v>415</v>
      </c>
      <c r="D23" s="5">
        <f t="shared" si="3"/>
        <v>415</v>
      </c>
      <c r="E23" s="5">
        <f t="shared" si="4"/>
        <v>415</v>
      </c>
      <c r="F23" s="5">
        <f t="shared" si="5"/>
        <v>415</v>
      </c>
      <c r="G23" s="5">
        <f t="shared" si="6"/>
        <v>415</v>
      </c>
      <c r="H23" s="5">
        <f t="shared" si="7"/>
        <v>415</v>
      </c>
      <c r="J23" s="8">
        <v>41.5</v>
      </c>
      <c r="K23" s="8">
        <v>41.5</v>
      </c>
      <c r="L23" s="8">
        <v>41.5</v>
      </c>
      <c r="M23" s="8">
        <v>41.5</v>
      </c>
      <c r="N23" s="12">
        <v>41.5</v>
      </c>
      <c r="O23" s="12">
        <v>41.5</v>
      </c>
      <c r="P23" s="3"/>
      <c r="Q23" s="3"/>
    </row>
    <row r="24" spans="1:17" ht="22" x14ac:dyDescent="0.3">
      <c r="A24" s="1" t="s">
        <v>18</v>
      </c>
      <c r="B24" s="5" t="s">
        <v>53</v>
      </c>
      <c r="C24" s="5">
        <f t="shared" si="1"/>
        <v>52</v>
      </c>
      <c r="D24" s="5">
        <f t="shared" si="3"/>
        <v>52</v>
      </c>
      <c r="E24" s="5">
        <f t="shared" si="4"/>
        <v>52</v>
      </c>
      <c r="F24" s="5">
        <f t="shared" si="5"/>
        <v>52</v>
      </c>
      <c r="G24" s="5">
        <f t="shared" si="6"/>
        <v>52</v>
      </c>
      <c r="H24" s="5">
        <f t="shared" si="7"/>
        <v>52</v>
      </c>
      <c r="J24" s="8">
        <v>5.2</v>
      </c>
      <c r="K24" s="8">
        <v>5.2</v>
      </c>
      <c r="L24" s="8">
        <v>5.2</v>
      </c>
      <c r="M24" s="8">
        <v>5.2</v>
      </c>
      <c r="N24" s="13">
        <v>5.2</v>
      </c>
      <c r="O24" s="13">
        <v>5.2</v>
      </c>
    </row>
    <row r="25" spans="1:17" ht="22" x14ac:dyDescent="0.3">
      <c r="A25" s="1" t="s">
        <v>23</v>
      </c>
      <c r="B25" s="5" t="s">
        <v>38</v>
      </c>
      <c r="C25" s="5">
        <f t="shared" si="1"/>
        <v>79</v>
      </c>
      <c r="D25" s="5">
        <f t="shared" si="3"/>
        <v>72</v>
      </c>
      <c r="E25" s="5">
        <f t="shared" si="4"/>
        <v>69</v>
      </c>
      <c r="F25" s="5">
        <f t="shared" si="5"/>
        <v>68</v>
      </c>
      <c r="G25" s="5">
        <f t="shared" si="6"/>
        <v>67</v>
      </c>
      <c r="H25" s="5">
        <f t="shared" si="7"/>
        <v>66</v>
      </c>
      <c r="J25" s="8">
        <v>7.9</v>
      </c>
      <c r="K25" s="8">
        <v>7.2</v>
      </c>
      <c r="L25" s="8">
        <v>6.9</v>
      </c>
      <c r="M25" s="8">
        <v>6.8</v>
      </c>
      <c r="N25" s="12">
        <v>6.7</v>
      </c>
      <c r="O25" s="12">
        <v>6.6</v>
      </c>
      <c r="P25" s="3"/>
      <c r="Q25" s="3"/>
    </row>
    <row r="26" spans="1:17" ht="22" x14ac:dyDescent="0.3">
      <c r="A26" s="1" t="s">
        <v>26</v>
      </c>
      <c r="B26" s="11"/>
      <c r="C26" s="5"/>
      <c r="D26" s="5"/>
      <c r="E26" s="5"/>
      <c r="F26" s="5"/>
      <c r="G26" s="5"/>
      <c r="I26" s="6"/>
      <c r="J26" s="7"/>
      <c r="K26" s="7"/>
      <c r="L26" s="7"/>
      <c r="M26" s="7"/>
      <c r="N26" s="3"/>
      <c r="O26" s="3"/>
      <c r="P26" s="3"/>
      <c r="Q26" s="3"/>
    </row>
    <row r="27" spans="1:17" ht="22" x14ac:dyDescent="0.3">
      <c r="A27" s="1" t="s">
        <v>24</v>
      </c>
      <c r="B27" s="5"/>
      <c r="C27" s="5"/>
      <c r="D27" s="5"/>
      <c r="E27" s="5"/>
      <c r="F27" s="5"/>
      <c r="G27" s="5"/>
      <c r="I27" s="6"/>
      <c r="J27" s="7"/>
      <c r="K27" s="7"/>
      <c r="L27" s="7"/>
      <c r="M27" s="7"/>
      <c r="N27" s="3"/>
      <c r="O27" s="3"/>
      <c r="P27" s="3"/>
      <c r="Q27" s="3"/>
    </row>
    <row r="28" spans="1:17" ht="22" x14ac:dyDescent="0.3">
      <c r="A28" s="1" t="s">
        <v>40</v>
      </c>
      <c r="B28" s="5"/>
      <c r="C28" s="5"/>
      <c r="D28" s="5"/>
      <c r="E28" s="5"/>
      <c r="F28" s="5"/>
      <c r="G28" s="5"/>
      <c r="I28" s="6"/>
      <c r="J28" s="7"/>
      <c r="K28" s="7"/>
      <c r="L28" s="7"/>
      <c r="M28" s="7"/>
    </row>
    <row r="29" spans="1:17" ht="22" x14ac:dyDescent="0.3">
      <c r="A29" s="1" t="s">
        <v>25</v>
      </c>
      <c r="B29" s="5"/>
      <c r="C29" s="5">
        <v>60</v>
      </c>
      <c r="D29" s="5">
        <v>60</v>
      </c>
      <c r="E29" s="5">
        <v>70</v>
      </c>
      <c r="F29" s="5">
        <v>70</v>
      </c>
      <c r="G29" s="5">
        <v>70</v>
      </c>
      <c r="H29" s="5">
        <v>70</v>
      </c>
      <c r="I29" s="6"/>
      <c r="J29" s="7"/>
      <c r="K29" s="7"/>
      <c r="L29" s="7"/>
      <c r="M29" s="7"/>
    </row>
    <row r="30" spans="1:17" ht="22" x14ac:dyDescent="0.3">
      <c r="A30" s="1" t="s">
        <v>97</v>
      </c>
      <c r="B30" s="5"/>
      <c r="C30" s="5"/>
      <c r="D30" s="5"/>
      <c r="E30" s="5"/>
      <c r="F30" s="5"/>
      <c r="G30" s="5"/>
      <c r="H30" s="5"/>
      <c r="I30" s="6"/>
      <c r="J30" s="7"/>
      <c r="K30" s="7"/>
      <c r="L30" s="7"/>
      <c r="M30" s="7"/>
    </row>
    <row r="31" spans="1:17" ht="22" x14ac:dyDescent="0.3">
      <c r="A31" s="1" t="s">
        <v>27</v>
      </c>
      <c r="B31" s="5"/>
      <c r="C31" s="5">
        <v>700</v>
      </c>
      <c r="D31" s="5">
        <v>700</v>
      </c>
      <c r="E31" s="5">
        <v>700</v>
      </c>
      <c r="F31" s="5">
        <v>700</v>
      </c>
      <c r="G31" s="5">
        <v>700</v>
      </c>
      <c r="H31" s="5">
        <v>700</v>
      </c>
      <c r="I31" s="6"/>
      <c r="J31" s="7"/>
      <c r="K31" s="7"/>
      <c r="L31" s="7"/>
      <c r="M31" s="7"/>
    </row>
    <row r="32" spans="1:17" ht="22" x14ac:dyDescent="0.3">
      <c r="A32" s="1" t="s">
        <v>28</v>
      </c>
      <c r="B32" s="5"/>
      <c r="C32" s="5">
        <v>40</v>
      </c>
      <c r="D32" s="5">
        <v>40</v>
      </c>
      <c r="E32" s="5">
        <v>40</v>
      </c>
      <c r="F32" s="5">
        <v>40</v>
      </c>
      <c r="G32" s="5">
        <v>40</v>
      </c>
      <c r="H32" s="5">
        <v>40</v>
      </c>
      <c r="I32" s="6"/>
      <c r="J32" s="7"/>
      <c r="K32" s="7"/>
      <c r="L32" s="7"/>
      <c r="M32" s="7"/>
    </row>
    <row r="33" spans="1:13" ht="22" x14ac:dyDescent="0.3">
      <c r="A33" s="1" t="s">
        <v>29</v>
      </c>
      <c r="B33" s="5"/>
      <c r="C33" s="5">
        <v>50</v>
      </c>
      <c r="D33" s="5">
        <v>50</v>
      </c>
      <c r="E33" s="5">
        <v>50</v>
      </c>
      <c r="F33" s="5">
        <v>50</v>
      </c>
      <c r="G33" s="5">
        <v>50</v>
      </c>
      <c r="H33" s="5">
        <v>50</v>
      </c>
      <c r="J33" s="16"/>
      <c r="K33" s="9"/>
      <c r="L33" s="9"/>
      <c r="M33" s="9"/>
    </row>
    <row r="34" spans="1:13" ht="22" x14ac:dyDescent="0.3">
      <c r="A34" s="1" t="s">
        <v>30</v>
      </c>
      <c r="B34" s="5"/>
      <c r="C34" s="5">
        <f>C36</f>
        <v>147</v>
      </c>
      <c r="D34" s="5">
        <f>AVERAGE(D36,C37)</f>
        <v>154.5</v>
      </c>
      <c r="E34" s="5">
        <f t="shared" ref="E34:H34" si="8">AVERAGE(E36,D37)</f>
        <v>163</v>
      </c>
      <c r="F34" s="5">
        <f t="shared" si="8"/>
        <v>173</v>
      </c>
      <c r="G34" s="5">
        <f t="shared" si="8"/>
        <v>183</v>
      </c>
      <c r="H34" s="5">
        <f t="shared" si="8"/>
        <v>188</v>
      </c>
      <c r="J34" s="9"/>
      <c r="K34" s="9"/>
      <c r="L34" s="9"/>
      <c r="M34" s="9"/>
    </row>
    <row r="35" spans="1:13" ht="22" x14ac:dyDescent="0.3">
      <c r="A35" s="1" t="s">
        <v>31</v>
      </c>
      <c r="C35" s="5">
        <f>D34</f>
        <v>154.5</v>
      </c>
      <c r="D35" s="5">
        <f t="shared" ref="D35:G35" si="9">E34</f>
        <v>163</v>
      </c>
      <c r="E35" s="5">
        <f t="shared" si="9"/>
        <v>173</v>
      </c>
      <c r="F35" s="5">
        <f t="shared" si="9"/>
        <v>183</v>
      </c>
      <c r="G35" s="5">
        <f t="shared" si="9"/>
        <v>188</v>
      </c>
      <c r="H35" s="5">
        <f t="shared" ref="H35" si="10">H37</f>
        <v>198</v>
      </c>
      <c r="J35" s="9"/>
      <c r="K35" s="9"/>
      <c r="L35" s="9"/>
      <c r="M35" s="9"/>
    </row>
    <row r="36" spans="1:13" x14ac:dyDescent="0.3">
      <c r="C36" s="1">
        <v>147</v>
      </c>
      <c r="D36" s="1">
        <v>152</v>
      </c>
      <c r="E36" s="1">
        <v>163</v>
      </c>
      <c r="F36" s="1">
        <v>173</v>
      </c>
      <c r="G36" s="1">
        <v>183</v>
      </c>
      <c r="H36" s="1">
        <v>188</v>
      </c>
    </row>
    <row r="37" spans="1:13" x14ac:dyDescent="0.3">
      <c r="C37" s="1">
        <v>157</v>
      </c>
      <c r="D37" s="1">
        <v>163</v>
      </c>
      <c r="E37" s="1">
        <v>173</v>
      </c>
      <c r="F37" s="1">
        <v>183</v>
      </c>
      <c r="G37" s="1">
        <v>188</v>
      </c>
      <c r="H37" s="1">
        <v>198</v>
      </c>
    </row>
    <row r="39" spans="1:13" ht="27" x14ac:dyDescent="0.3">
      <c r="B39" s="15" t="s">
        <v>58</v>
      </c>
    </row>
    <row r="40" spans="1:13" ht="27" x14ac:dyDescent="0.3">
      <c r="B40" s="15" t="s">
        <v>59</v>
      </c>
    </row>
    <row r="41" spans="1:13" ht="27" x14ac:dyDescent="0.3">
      <c r="B41" s="15" t="s">
        <v>60</v>
      </c>
    </row>
    <row r="42" spans="1:13" ht="27" x14ac:dyDescent="0.3">
      <c r="B42" s="15" t="s">
        <v>61</v>
      </c>
      <c r="C42" s="5"/>
      <c r="D42" s="5"/>
      <c r="E42" s="5"/>
      <c r="F42" s="5"/>
      <c r="G42" s="5"/>
    </row>
    <row r="43" spans="1:13" ht="27" x14ac:dyDescent="0.3">
      <c r="B43" s="15" t="s">
        <v>62</v>
      </c>
      <c r="C43" s="5"/>
      <c r="D43" s="5"/>
      <c r="E43" s="5"/>
      <c r="F43" s="5"/>
      <c r="G43" s="5"/>
    </row>
    <row r="44" spans="1:13" ht="27" x14ac:dyDescent="0.3">
      <c r="B44" s="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Vault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2025-07-23T00:51:23Z</dcterms:modified>
</cp:coreProperties>
</file>