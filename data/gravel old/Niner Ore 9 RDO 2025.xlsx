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4F303F2-3F76-8F4B-9923-61CC86D9B271}" xr6:coauthVersionLast="47" xr6:coauthVersionMax="47" xr10:uidLastSave="{00000000-0000-0000-0000-000000000000}"/>
  <bookViews>
    <workbookView xWindow="360" yWindow="2400" windowWidth="27920" windowHeight="12780" xr2:uid="{AE0F04AA-80E5-8247-9791-D6B95FAD9AB5}"/>
  </bookViews>
  <sheets>
    <sheet name="Niner Ore 9 RD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E34" i="1"/>
  <c r="D35" i="1" s="1"/>
  <c r="F34" i="1"/>
  <c r="E35" i="1" s="1"/>
  <c r="G34" i="1"/>
  <c r="F35" i="1" s="1"/>
  <c r="H34" i="1"/>
  <c r="G35" i="1" s="1"/>
  <c r="D34" i="1"/>
  <c r="C35" i="1" s="1"/>
  <c r="C34" i="1"/>
</calcChain>
</file>

<file path=xl/sharedStrings.xml><?xml version="1.0" encoding="utf-8"?>
<sst xmlns="http://schemas.openxmlformats.org/spreadsheetml/2006/main" count="143" uniqueCount="117">
  <si>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</si>
  <si>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</si>
  <si>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</si>
  <si>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</si>
  <si>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</si>
  <si>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</si>
  <si>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</si>
  <si>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</si>
  <si>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</si>
  <si>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</si>
  <si>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</si>
  <si>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</si>
  <si>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</si>
  <si>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</si>
  <si>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</si>
  <si>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</si>
  <si>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</si>
  <si>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</si>
  <si>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</si>
  <si>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</si>
  <si>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</si>
  <si>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</si>
  <si>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</si>
  <si>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</si>
  <si>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</si>
  <si>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</si>
  <si>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</si>
  <si>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</si>
  <si>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</si>
  <si>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</si>
  <si>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</si>
  <si>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</si>
  <si>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(A) TT LENGTH</t>
  </si>
  <si>
    <t>(B) SEAT TUBE LENGTH</t>
  </si>
  <si>
    <t>(C) CHAINSTAY LENGTH ACTUAL</t>
  </si>
  <si>
    <t>(D) HORIZONTAL CHAINSTAY</t>
  </si>
  <si>
    <t>(E) FRONT CENTER</t>
  </si>
  <si>
    <t>(F) WHEELBASE</t>
  </si>
  <si>
    <t>(G) BB DROP</t>
  </si>
  <si>
    <t>(H) HEADTUBE LENGTH</t>
  </si>
  <si>
    <t>(I) HEADTUBE ANGLE</t>
  </si>
  <si>
    <t>(J) SEATTUBE ANGLE</t>
  </si>
  <si>
    <t>(K) STANDOVER HEIGHT</t>
  </si>
  <si>
    <t>(L) REACH</t>
  </si>
  <si>
    <t>(M) STACK</t>
  </si>
  <si>
    <t>(N) FORK RAKE</t>
  </si>
  <si>
    <t>METRIC</t>
  </si>
  <si>
    <t>47cm</t>
  </si>
  <si>
    <t>50cm</t>
  </si>
  <si>
    <t>53cm</t>
  </si>
  <si>
    <t>56cm</t>
  </si>
  <si>
    <t>59cm</t>
  </si>
  <si>
    <t>62cm</t>
  </si>
  <si>
    <t>Ore 9 RDO</t>
  </si>
  <si>
    <t>Niner</t>
  </si>
  <si>
    <t>rear_center</t>
  </si>
  <si>
    <t>front_center</t>
  </si>
  <si>
    <t>https://www.ninerbikes.com/ore-9-rdo-frameset/</t>
  </si>
  <si>
    <t>frame_weight</t>
  </si>
  <si>
    <t>udh</t>
  </si>
  <si>
    <t>internal</t>
  </si>
  <si>
    <t>50/34</t>
  </si>
  <si>
    <t>q-factor</t>
  </si>
  <si>
    <t>dropout</t>
  </si>
  <si>
    <t>47CM</t>
  </si>
  <si>
    <t>4'11"–5'3"</t>
  </si>
  <si>
    <t>1.5–1.6M</t>
  </si>
  <si>
    <t>50CM</t>
  </si>
  <si>
    <t>5'2"–5'6"</t>
  </si>
  <si>
    <t>1.57–1.68M</t>
  </si>
  <si>
    <t>53CM</t>
  </si>
  <si>
    <t>5'5"–5'9"</t>
  </si>
  <si>
    <t>1.65–1.75M</t>
  </si>
  <si>
    <t>56CM</t>
  </si>
  <si>
    <t>5'8"–6'</t>
  </si>
  <si>
    <t>1.73–1.83M</t>
  </si>
  <si>
    <t>59CM</t>
  </si>
  <si>
    <t>5'11"–6'3"</t>
  </si>
  <si>
    <t>1.8–1.91M</t>
  </si>
  <si>
    <t>62CM</t>
  </si>
  <si>
    <t>6'2"–6'6"</t>
  </si>
  <si>
    <t>1.88–1.98M</t>
  </si>
  <si>
    <t>frameset</t>
  </si>
  <si>
    <t>currency</t>
  </si>
  <si>
    <t>us</t>
  </si>
  <si>
    <t>650B tire max</t>
  </si>
  <si>
    <t>rear axle</t>
  </si>
  <si>
    <t>front axle</t>
  </si>
  <si>
    <t>seatpost diameter</t>
  </si>
  <si>
    <t>routing shifter</t>
  </si>
  <si>
    <t>routing dropper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</si>
  <si>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</si>
  <si>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</si>
  <si>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</si>
  <si>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</si>
  <si>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</si>
  <si>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</si>
  <si>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</si>
  <si>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</si>
  <si>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</si>
  <si>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</si>
  <si>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</si>
  <si>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</si>
  <si>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suspension corrected</t>
  </si>
  <si>
    <t>a10:h35</t>
  </si>
  <si>
    <t>frame size</t>
  </si>
  <si>
    <t>front derailleur</t>
  </si>
  <si>
    <t>base build</t>
  </si>
  <si>
    <t>routing dynamo</t>
  </si>
  <si>
    <t>fork suspension</t>
  </si>
  <si>
    <t>stem suspension</t>
  </si>
  <si>
    <t>rear suspension</t>
  </si>
  <si>
    <t>no</t>
  </si>
  <si>
    <t>internal storage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</si>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</sst>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4"/>
      <color rgb="FF353535"/>
      <name val="Futura Medium"/>
    </font>
    <font>
      <b/>
      <u/>
      <sz val="14"/>
      <color theme="1"/>
      <name val="Futura Medium"/>
    </font>
    <font>
      <b/>
      <sz val="12"/>
      <color rgb="FF000000"/>
      <name val="ITC Franklin Gothic"/>
    </font>
    <font>
      <b/>
      <sz val="14"/>
      <color rgb="FF000000"/>
      <name val="Futura Medium"/>
    </font>
    <font>
      <sz val="14"/>
      <color rgb="FF000000"/>
      <name val="Futura Medium"/>
    </font>
    <font>
      <sz val="14"/>
      <color rgb="FF003764"/>
      <name val="Futura Medium"/>
    </font>
    <font>
      <sz val="16"/>
      <color rgb="FF000000"/>
      <name val="ITC Franklin Gothic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1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1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55"/>
  <sheetViews>
    <sheetView tabSelected="1" topLeftCell="Q1" workbookViewId="0">
      <selection activeCell="T7" sqref="T7"/>
    </sheetView>
  </sheetViews>
  <sheetFormatPr baseColWidth="10" defaultRowHeight="20"/>
  <cols>
    <col min="1" max="1" width="29.33203125" style="1" bestFit="1" customWidth="1"/>
    <col min="2" max="2" width="31.83203125" style="1" customWidth="1"/>
    <col min="3" max="27" width="13" style="1" customWidth="1"/>
    <col min="28" max="16384" width="10.83203125" style="1"/>
  </cols>
  <sheetData>
    <row r="1" spans="1:34">
      <c r="A1" s="1" t="s">
        <v>0</v>
      </c>
      <c r="B1" s="1" t="s">
        <v>54</v>
      </c>
    </row>
    <row r="2" spans="1:34">
      <c r="A2" s="1" t="s">
        <v>1</v>
      </c>
      <c r="B2" s="1" t="s">
        <v>53</v>
      </c>
    </row>
    <row r="3" spans="1:34">
      <c r="A3" s="1" t="s">
        <v>2</v>
      </c>
      <c r="B3" s="1">
        <v>2025</v>
      </c>
    </row>
    <row r="4" spans="1:34">
      <c r="A4" s="1" t="s">
        <v>3</v>
      </c>
      <c r="B4" s="2">
        <v>45854</v>
      </c>
    </row>
    <row r="5" spans="1:34">
      <c r="A5" s="1" t="s">
        <v>4</v>
      </c>
      <c r="B5" s="1" t="s">
        <v>57</v>
      </c>
    </row>
    <row r="6" spans="1:34" s="16" customFormat="1" ht="44" customHeight="1">
      <c r="A6" s="16" t="s">
        <v>5</v>
      </c>
      <c r="B6" s="16" t="s">
        <v>59</v>
      </c>
      <c r="C6" s="16" t="s">
        <v>63</v>
      </c>
      <c r="D6" s="16" t="s">
        <v>114</v>
      </c>
      <c r="E6" s="16" t="s">
        <v>85</v>
      </c>
      <c r="F6" s="16" t="s">
        <v>103</v>
      </c>
      <c r="G6" s="16" t="s">
        <v>109</v>
      </c>
      <c r="H6" s="16" t="s">
        <v>110</v>
      </c>
      <c r="I6" s="16" t="s">
        <v>111</v>
      </c>
      <c r="J6" s="16" t="s">
        <v>86</v>
      </c>
      <c r="K6" s="16" t="s">
        <v>87</v>
      </c>
      <c r="L6" s="16" t="s">
        <v>62</v>
      </c>
      <c r="M6" s="16" t="s">
        <v>88</v>
      </c>
      <c r="N6" s="16" t="s">
        <v>89</v>
      </c>
      <c r="O6" s="16" t="s">
        <v>90</v>
      </c>
      <c r="P6" s="17" t="s">
        <v>108</v>
      </c>
      <c r="Q6" s="16" t="s">
        <v>106</v>
      </c>
      <c r="R6" s="16" t="s">
        <v>91</v>
      </c>
      <c r="S6" s="16" t="s">
        <v>92</v>
      </c>
      <c r="T6" s="16" t="s">
        <v>93</v>
      </c>
      <c r="U6" s="16" t="s">
        <v>94</v>
      </c>
      <c r="V6" s="16" t="s">
        <v>95</v>
      </c>
      <c r="W6" s="16" t="s">
        <v>96</v>
      </c>
      <c r="X6" s="16" t="s">
        <v>97</v>
      </c>
      <c r="Y6" s="16" t="s">
        <v>98</v>
      </c>
      <c r="Z6" s="16" t="s">
        <v>99</v>
      </c>
      <c r="AA6" s="16" t="s">
        <v>100</v>
      </c>
      <c r="AB6" s="19" t="s">
        <v>115</v>
      </c>
      <c r="AC6" s="16" t="s">
        <v>101</v>
      </c>
      <c r="AD6" s="16" t="s">
        <v>102</v>
      </c>
      <c r="AE6" s="16" t="s">
        <v>82</v>
      </c>
      <c r="AF6" s="16" t="s">
        <v>107</v>
      </c>
      <c r="AG6" s="16" t="s">
        <v>83</v>
      </c>
      <c r="AH6" s="17" t="s">
        <v>113</v>
      </c>
    </row>
    <row r="7" spans="1:34">
      <c r="A7" s="1" t="s">
        <v>6</v>
      </c>
      <c r="B7" s="1" t="s">
        <v>7</v>
      </c>
      <c r="C7" s="1">
        <v>0</v>
      </c>
      <c r="D7" s="1">
        <v>50</v>
      </c>
      <c r="E7" s="1">
        <v>2</v>
      </c>
      <c r="F7" s="1">
        <v>40</v>
      </c>
      <c r="G7" s="1" t="s">
        <v>112</v>
      </c>
      <c r="H7" s="1" t="s">
        <v>112</v>
      </c>
      <c r="I7" s="1" t="s">
        <v>112</v>
      </c>
      <c r="J7" s="1">
        <v>142</v>
      </c>
      <c r="K7" s="1">
        <v>100</v>
      </c>
      <c r="L7" s="1">
        <v>150</v>
      </c>
      <c r="M7" s="1">
        <v>27.2</v>
      </c>
      <c r="N7" s="1" t="s">
        <v>60</v>
      </c>
      <c r="O7" s="1" t="s">
        <v>60</v>
      </c>
      <c r="P7" s="18"/>
      <c r="Q7" s="1" t="s">
        <v>7</v>
      </c>
      <c r="R7" s="1">
        <v>48</v>
      </c>
      <c r="S7" s="1" t="s">
        <v>61</v>
      </c>
      <c r="T7" s="1" t="s">
        <v>116</v>
      </c>
      <c r="U7" s="1">
        <v>2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 t="s">
        <v>7</v>
      </c>
      <c r="AC7" s="1">
        <v>160</v>
      </c>
      <c r="AD7" s="1">
        <v>160</v>
      </c>
      <c r="AE7" s="1">
        <v>2499</v>
      </c>
      <c r="AF7" s="1">
        <v>3799</v>
      </c>
      <c r="AG7" s="1" t="s">
        <v>84</v>
      </c>
      <c r="AH7" s="1" t="s">
        <v>112</v>
      </c>
    </row>
    <row r="9" spans="1:34">
      <c r="A9" s="1" t="s">
        <v>8</v>
      </c>
      <c r="B9" s="1" t="s">
        <v>104</v>
      </c>
      <c r="J9" s="12" t="s">
        <v>32</v>
      </c>
      <c r="K9" s="12" t="s">
        <v>33</v>
      </c>
      <c r="L9" s="12" t="s">
        <v>34</v>
      </c>
      <c r="M9" s="12" t="s">
        <v>35</v>
      </c>
      <c r="N9" s="12" t="s">
        <v>36</v>
      </c>
      <c r="O9" s="12" t="s">
        <v>37</v>
      </c>
      <c r="P9" s="12" t="s">
        <v>38</v>
      </c>
      <c r="Q9" s="12" t="s">
        <v>39</v>
      </c>
      <c r="R9" s="12" t="s">
        <v>40</v>
      </c>
      <c r="S9" s="12" t="s">
        <v>41</v>
      </c>
      <c r="T9" s="12" t="s">
        <v>42</v>
      </c>
      <c r="U9" s="12" t="s">
        <v>43</v>
      </c>
      <c r="V9" s="12" t="s">
        <v>44</v>
      </c>
      <c r="W9" s="12" t="s">
        <v>45</v>
      </c>
    </row>
    <row r="10" spans="1:34">
      <c r="A10" s="1" t="s">
        <v>9</v>
      </c>
      <c r="B10" s="1" t="s">
        <v>105</v>
      </c>
      <c r="C10" s="12" t="s">
        <v>47</v>
      </c>
      <c r="D10" s="12" t="s">
        <v>48</v>
      </c>
      <c r="E10" s="12" t="s">
        <v>49</v>
      </c>
      <c r="F10" s="12" t="s">
        <v>50</v>
      </c>
      <c r="G10" s="12" t="s">
        <v>51</v>
      </c>
      <c r="H10" s="12" t="s">
        <v>52</v>
      </c>
      <c r="J10" s="12" t="s">
        <v>46</v>
      </c>
    </row>
    <row r="11" spans="1:34">
      <c r="A11" s="1" t="s">
        <v>11</v>
      </c>
      <c r="B11" s="12" t="s">
        <v>32</v>
      </c>
      <c r="C11" s="13">
        <v>525</v>
      </c>
      <c r="D11" s="13">
        <v>556</v>
      </c>
      <c r="E11" s="13">
        <v>571</v>
      </c>
      <c r="F11" s="13">
        <v>596</v>
      </c>
      <c r="G11" s="13">
        <v>611</v>
      </c>
      <c r="H11" s="13">
        <v>636</v>
      </c>
      <c r="J11" s="12" t="s">
        <v>47</v>
      </c>
      <c r="K11" s="13">
        <v>525</v>
      </c>
      <c r="L11" s="13">
        <v>430</v>
      </c>
      <c r="M11" s="13">
        <v>435</v>
      </c>
      <c r="N11" s="13">
        <v>430</v>
      </c>
      <c r="O11" s="13">
        <v>609</v>
      </c>
      <c r="P11" s="13">
        <v>1034</v>
      </c>
      <c r="Q11" s="13">
        <v>70</v>
      </c>
      <c r="R11" s="13">
        <v>90</v>
      </c>
      <c r="S11" s="13">
        <v>69</v>
      </c>
      <c r="T11" s="13">
        <v>74</v>
      </c>
      <c r="U11" s="13">
        <v>693</v>
      </c>
      <c r="V11" s="13">
        <v>369</v>
      </c>
      <c r="W11" s="13">
        <v>545</v>
      </c>
      <c r="X11" s="13">
        <v>50</v>
      </c>
    </row>
    <row r="12" spans="1:34">
      <c r="A12" s="1" t="s">
        <v>10</v>
      </c>
      <c r="B12" s="12" t="s">
        <v>33</v>
      </c>
      <c r="C12" s="13">
        <v>430</v>
      </c>
      <c r="D12" s="13">
        <v>460</v>
      </c>
      <c r="E12" s="13">
        <v>490</v>
      </c>
      <c r="F12" s="13">
        <v>520</v>
      </c>
      <c r="G12" s="13">
        <v>550</v>
      </c>
      <c r="H12" s="13">
        <v>580</v>
      </c>
      <c r="J12" s="12" t="s">
        <v>48</v>
      </c>
      <c r="K12" s="13">
        <v>556</v>
      </c>
      <c r="L12" s="13">
        <v>460</v>
      </c>
      <c r="M12" s="13">
        <v>435</v>
      </c>
      <c r="N12" s="13">
        <v>430</v>
      </c>
      <c r="O12" s="13">
        <v>641</v>
      </c>
      <c r="P12" s="13">
        <v>1066</v>
      </c>
      <c r="Q12" s="13">
        <v>70</v>
      </c>
      <c r="R12" s="13">
        <v>106</v>
      </c>
      <c r="S12" s="13">
        <v>69</v>
      </c>
      <c r="T12" s="13">
        <v>74</v>
      </c>
      <c r="U12" s="13">
        <v>731</v>
      </c>
      <c r="V12" s="13">
        <v>395</v>
      </c>
      <c r="W12" s="13">
        <v>560</v>
      </c>
      <c r="X12" s="13">
        <v>50</v>
      </c>
    </row>
    <row r="13" spans="1:34">
      <c r="A13" s="1" t="s">
        <v>13</v>
      </c>
      <c r="B13" s="12" t="s">
        <v>34</v>
      </c>
      <c r="C13" s="13">
        <v>435</v>
      </c>
      <c r="D13" s="13">
        <v>435</v>
      </c>
      <c r="E13" s="13">
        <v>435</v>
      </c>
      <c r="F13" s="13">
        <v>435</v>
      </c>
      <c r="G13" s="13">
        <v>435</v>
      </c>
      <c r="H13" s="13">
        <v>435</v>
      </c>
      <c r="J13" s="12" t="s">
        <v>49</v>
      </c>
      <c r="K13" s="13">
        <v>571</v>
      </c>
      <c r="L13" s="13">
        <v>490</v>
      </c>
      <c r="M13" s="13">
        <v>435</v>
      </c>
      <c r="N13" s="13">
        <v>430</v>
      </c>
      <c r="O13" s="13">
        <v>658</v>
      </c>
      <c r="P13" s="13">
        <v>1083</v>
      </c>
      <c r="Q13" s="13">
        <v>70</v>
      </c>
      <c r="R13" s="13">
        <v>126</v>
      </c>
      <c r="S13" s="13">
        <v>69</v>
      </c>
      <c r="T13" s="13">
        <v>74</v>
      </c>
      <c r="U13" s="13">
        <v>754</v>
      </c>
      <c r="V13" s="13">
        <v>405</v>
      </c>
      <c r="W13" s="13">
        <v>579</v>
      </c>
      <c r="X13" s="13">
        <v>50</v>
      </c>
    </row>
    <row r="14" spans="1:34">
      <c r="A14" s="1" t="s">
        <v>55</v>
      </c>
      <c r="B14" s="12" t="s">
        <v>35</v>
      </c>
      <c r="C14" s="13">
        <v>430</v>
      </c>
      <c r="D14" s="13">
        <v>430</v>
      </c>
      <c r="E14" s="13">
        <v>430</v>
      </c>
      <c r="F14" s="13">
        <v>430</v>
      </c>
      <c r="G14" s="13">
        <v>430</v>
      </c>
      <c r="H14" s="13">
        <v>430</v>
      </c>
      <c r="J14" s="12" t="s">
        <v>50</v>
      </c>
      <c r="K14" s="13">
        <v>596</v>
      </c>
      <c r="L14" s="13">
        <v>520</v>
      </c>
      <c r="M14" s="13">
        <v>435</v>
      </c>
      <c r="N14" s="13">
        <v>430</v>
      </c>
      <c r="O14" s="13">
        <v>673</v>
      </c>
      <c r="P14" s="13">
        <v>1099</v>
      </c>
      <c r="Q14" s="13">
        <v>70</v>
      </c>
      <c r="R14" s="13">
        <v>146</v>
      </c>
      <c r="S14" s="13">
        <v>69</v>
      </c>
      <c r="T14" s="13">
        <v>73</v>
      </c>
      <c r="U14" s="13">
        <v>780</v>
      </c>
      <c r="V14" s="13">
        <v>413</v>
      </c>
      <c r="W14" s="13">
        <v>598</v>
      </c>
      <c r="X14" s="13">
        <v>50</v>
      </c>
    </row>
    <row r="15" spans="1:34">
      <c r="A15" s="1" t="s">
        <v>56</v>
      </c>
      <c r="B15" s="12" t="s">
        <v>36</v>
      </c>
      <c r="C15" s="13">
        <v>609</v>
      </c>
      <c r="D15" s="13">
        <v>641</v>
      </c>
      <c r="E15" s="13">
        <v>658</v>
      </c>
      <c r="F15" s="13">
        <v>673</v>
      </c>
      <c r="G15" s="13">
        <v>689</v>
      </c>
      <c r="H15" s="13">
        <v>716</v>
      </c>
      <c r="J15" s="12" t="s">
        <v>51</v>
      </c>
      <c r="K15" s="13">
        <v>611</v>
      </c>
      <c r="L15" s="13">
        <v>550</v>
      </c>
      <c r="M15" s="13">
        <v>435</v>
      </c>
      <c r="N15" s="13">
        <v>430</v>
      </c>
      <c r="O15" s="13">
        <v>689</v>
      </c>
      <c r="P15" s="13">
        <v>1115</v>
      </c>
      <c r="Q15" s="13">
        <v>70</v>
      </c>
      <c r="R15" s="13">
        <v>167</v>
      </c>
      <c r="S15" s="13">
        <v>69</v>
      </c>
      <c r="T15" s="13">
        <v>73</v>
      </c>
      <c r="U15" s="13">
        <v>804</v>
      </c>
      <c r="V15" s="13">
        <v>422</v>
      </c>
      <c r="W15" s="13">
        <v>617</v>
      </c>
      <c r="X15" s="13">
        <v>50</v>
      </c>
    </row>
    <row r="16" spans="1:34">
      <c r="A16" s="1" t="s">
        <v>15</v>
      </c>
      <c r="B16" s="12" t="s">
        <v>37</v>
      </c>
      <c r="C16" s="13">
        <v>1034</v>
      </c>
      <c r="D16" s="13">
        <v>1066</v>
      </c>
      <c r="E16" s="13">
        <v>1083</v>
      </c>
      <c r="F16" s="13">
        <v>1099</v>
      </c>
      <c r="G16" s="13">
        <v>1115</v>
      </c>
      <c r="H16" s="13">
        <v>1142</v>
      </c>
      <c r="J16" s="12" t="s">
        <v>52</v>
      </c>
      <c r="K16" s="13">
        <v>636</v>
      </c>
      <c r="L16" s="13">
        <v>580</v>
      </c>
      <c r="M16" s="13">
        <v>435</v>
      </c>
      <c r="N16" s="13">
        <v>430</v>
      </c>
      <c r="O16" s="13">
        <v>716</v>
      </c>
      <c r="P16" s="13">
        <v>1142</v>
      </c>
      <c r="Q16" s="13">
        <v>70</v>
      </c>
      <c r="R16" s="13">
        <v>188</v>
      </c>
      <c r="S16" s="13">
        <v>69</v>
      </c>
      <c r="T16" s="13">
        <v>73</v>
      </c>
      <c r="U16" s="13">
        <v>827</v>
      </c>
      <c r="V16" s="13">
        <v>441</v>
      </c>
      <c r="W16" s="13">
        <v>636</v>
      </c>
      <c r="X16" s="13">
        <v>50</v>
      </c>
    </row>
    <row r="17" spans="1:17">
      <c r="A17" s="1" t="s">
        <v>14</v>
      </c>
      <c r="B17" s="12" t="s">
        <v>38</v>
      </c>
      <c r="C17" s="13">
        <v>70</v>
      </c>
      <c r="D17" s="13">
        <v>70</v>
      </c>
      <c r="E17" s="13">
        <v>70</v>
      </c>
      <c r="F17" s="13">
        <v>70</v>
      </c>
      <c r="G17" s="13">
        <v>70</v>
      </c>
      <c r="H17" s="13">
        <v>70</v>
      </c>
    </row>
    <row r="18" spans="1:17">
      <c r="A18" s="1" t="s">
        <v>12</v>
      </c>
      <c r="B18" s="12" t="s">
        <v>39</v>
      </c>
      <c r="C18" s="13">
        <v>90</v>
      </c>
      <c r="D18" s="13">
        <v>106</v>
      </c>
      <c r="E18" s="13">
        <v>126</v>
      </c>
      <c r="F18" s="13">
        <v>146</v>
      </c>
      <c r="G18" s="13">
        <v>167</v>
      </c>
      <c r="H18" s="13">
        <v>188</v>
      </c>
      <c r="Q18" s="3"/>
    </row>
    <row r="19" spans="1:17">
      <c r="A19" s="1" t="s">
        <v>16</v>
      </c>
      <c r="B19" s="12" t="s">
        <v>40</v>
      </c>
      <c r="C19" s="13">
        <v>69</v>
      </c>
      <c r="D19" s="13">
        <v>69</v>
      </c>
      <c r="E19" s="13">
        <v>69</v>
      </c>
      <c r="F19" s="13">
        <v>69</v>
      </c>
      <c r="G19" s="13">
        <v>69</v>
      </c>
      <c r="H19" s="13">
        <v>69</v>
      </c>
      <c r="J19" s="6"/>
      <c r="K19" s="6"/>
      <c r="L19" s="6"/>
      <c r="M19" s="6"/>
      <c r="N19" s="8"/>
      <c r="O19" s="8"/>
      <c r="P19" s="3"/>
      <c r="Q19" s="3"/>
    </row>
    <row r="20" spans="1:17">
      <c r="A20" s="1" t="s">
        <v>17</v>
      </c>
      <c r="B20" s="12" t="s">
        <v>41</v>
      </c>
      <c r="C20" s="13">
        <v>74</v>
      </c>
      <c r="D20" s="13">
        <v>74</v>
      </c>
      <c r="E20" s="13">
        <v>74</v>
      </c>
      <c r="F20" s="13">
        <v>73</v>
      </c>
      <c r="G20" s="13">
        <v>73</v>
      </c>
      <c r="H20" s="13">
        <v>73</v>
      </c>
      <c r="J20" s="6"/>
      <c r="K20" s="6"/>
      <c r="L20" s="6"/>
      <c r="M20" s="6"/>
      <c r="N20" s="8"/>
      <c r="O20" s="8"/>
      <c r="P20" s="3"/>
      <c r="Q20" s="3"/>
    </row>
    <row r="21" spans="1:17">
      <c r="A21" s="1" t="s">
        <v>19</v>
      </c>
      <c r="B21" s="12" t="s">
        <v>42</v>
      </c>
      <c r="C21" s="13">
        <v>693</v>
      </c>
      <c r="D21" s="13">
        <v>731</v>
      </c>
      <c r="E21" s="13">
        <v>754</v>
      </c>
      <c r="F21" s="13">
        <v>780</v>
      </c>
      <c r="G21" s="13">
        <v>804</v>
      </c>
      <c r="H21" s="13">
        <v>827</v>
      </c>
      <c r="J21" s="6"/>
      <c r="K21" s="6"/>
      <c r="L21" s="6"/>
      <c r="M21" s="6"/>
      <c r="N21" s="8"/>
      <c r="O21" s="8"/>
      <c r="P21" s="3"/>
      <c r="Q21" s="3"/>
    </row>
    <row r="22" spans="1:17">
      <c r="A22" s="1" t="s">
        <v>20</v>
      </c>
      <c r="B22" s="12" t="s">
        <v>43</v>
      </c>
      <c r="C22" s="13">
        <v>369</v>
      </c>
      <c r="D22" s="13">
        <v>395</v>
      </c>
      <c r="E22" s="13">
        <v>405</v>
      </c>
      <c r="F22" s="13">
        <v>413</v>
      </c>
      <c r="G22" s="13">
        <v>422</v>
      </c>
      <c r="H22" s="13">
        <v>441</v>
      </c>
      <c r="J22" s="6"/>
      <c r="K22" s="6"/>
      <c r="L22" s="6"/>
      <c r="M22" s="6"/>
      <c r="N22" s="8"/>
      <c r="O22" s="8"/>
      <c r="P22" s="3"/>
      <c r="Q22" s="3"/>
    </row>
    <row r="23" spans="1:17">
      <c r="A23" s="1" t="s">
        <v>21</v>
      </c>
      <c r="B23" s="12" t="s">
        <v>44</v>
      </c>
      <c r="C23" s="13">
        <v>545</v>
      </c>
      <c r="D23" s="13">
        <v>560</v>
      </c>
      <c r="E23" s="13">
        <v>579</v>
      </c>
      <c r="F23" s="13">
        <v>598</v>
      </c>
      <c r="G23" s="13">
        <v>617</v>
      </c>
      <c r="H23" s="13">
        <v>636</v>
      </c>
      <c r="J23" s="6"/>
      <c r="K23" s="6"/>
      <c r="L23" s="6"/>
      <c r="M23" s="6"/>
      <c r="N23" s="8"/>
      <c r="O23" s="8"/>
      <c r="P23" s="3"/>
      <c r="Q23" s="3"/>
    </row>
    <row r="24" spans="1:17">
      <c r="A24" s="1" t="s">
        <v>18</v>
      </c>
      <c r="B24" s="12" t="s">
        <v>45</v>
      </c>
      <c r="C24" s="13">
        <v>50</v>
      </c>
      <c r="D24" s="13">
        <v>50</v>
      </c>
      <c r="E24" s="13">
        <v>50</v>
      </c>
      <c r="F24" s="13">
        <v>50</v>
      </c>
      <c r="G24" s="13">
        <v>50</v>
      </c>
      <c r="H24" s="13">
        <v>50</v>
      </c>
      <c r="J24" s="6"/>
      <c r="K24" s="6"/>
      <c r="L24" s="6"/>
      <c r="M24" s="6"/>
      <c r="N24" s="9"/>
      <c r="O24" s="9"/>
    </row>
    <row r="25" spans="1:17">
      <c r="A25" s="1" t="s">
        <v>58</v>
      </c>
      <c r="B25" s="12"/>
      <c r="C25" s="13"/>
      <c r="D25" s="13"/>
      <c r="E25" s="13"/>
      <c r="F25" s="13"/>
      <c r="G25" s="13"/>
      <c r="H25" s="13"/>
      <c r="J25" s="6"/>
      <c r="K25" s="6"/>
      <c r="L25" s="6"/>
      <c r="M25" s="6"/>
      <c r="N25" s="9"/>
      <c r="O25" s="9"/>
    </row>
    <row r="26" spans="1:17">
      <c r="A26" s="1" t="s">
        <v>23</v>
      </c>
      <c r="B26" s="13"/>
      <c r="C26" s="13"/>
      <c r="D26" s="13"/>
      <c r="E26" s="13"/>
      <c r="F26" s="13"/>
      <c r="G26" s="13"/>
      <c r="H26" s="13"/>
      <c r="J26" s="6"/>
      <c r="K26" s="6"/>
      <c r="L26" s="6"/>
      <c r="M26" s="6"/>
      <c r="N26" s="8"/>
      <c r="O26" s="8"/>
      <c r="P26" s="3"/>
      <c r="Q26" s="3"/>
    </row>
    <row r="27" spans="1:17">
      <c r="A27" s="1" t="s">
        <v>22</v>
      </c>
      <c r="C27" s="13">
        <v>440</v>
      </c>
      <c r="D27" s="13">
        <v>440</v>
      </c>
      <c r="E27" s="13">
        <v>440</v>
      </c>
      <c r="F27" s="13">
        <v>440</v>
      </c>
      <c r="G27" s="13">
        <v>440</v>
      </c>
      <c r="H27" s="13">
        <v>440</v>
      </c>
      <c r="I27" s="4"/>
      <c r="J27" s="5"/>
      <c r="K27" s="5"/>
      <c r="L27" s="5"/>
      <c r="M27" s="5"/>
      <c r="N27" s="3"/>
      <c r="O27" s="3"/>
      <c r="P27" s="3"/>
      <c r="Q27" s="3"/>
    </row>
    <row r="28" spans="1:17">
      <c r="A28" s="1" t="s">
        <v>26</v>
      </c>
      <c r="B28" s="13"/>
      <c r="C28" s="13">
        <v>170</v>
      </c>
      <c r="D28" s="13">
        <v>170</v>
      </c>
      <c r="E28" s="13">
        <v>172.5</v>
      </c>
      <c r="F28" s="13">
        <v>172.5</v>
      </c>
      <c r="G28" s="13">
        <v>175</v>
      </c>
      <c r="H28" s="1">
        <v>175</v>
      </c>
      <c r="I28" s="4"/>
      <c r="J28" s="5"/>
      <c r="K28" s="5"/>
      <c r="L28" s="5"/>
      <c r="M28" s="5"/>
      <c r="N28" s="3"/>
      <c r="O28" s="3"/>
      <c r="P28" s="3"/>
      <c r="Q28" s="3"/>
    </row>
    <row r="29" spans="1:17">
      <c r="A29" s="1" t="s">
        <v>24</v>
      </c>
      <c r="B29" s="13"/>
      <c r="C29" s="13">
        <v>420</v>
      </c>
      <c r="D29" s="13">
        <v>420</v>
      </c>
      <c r="E29" s="13">
        <v>440</v>
      </c>
      <c r="F29" s="13">
        <v>440</v>
      </c>
      <c r="G29" s="13">
        <v>460</v>
      </c>
      <c r="H29" s="1">
        <v>460</v>
      </c>
      <c r="I29" s="4"/>
      <c r="J29" s="5"/>
      <c r="K29" s="5"/>
      <c r="L29" s="5"/>
      <c r="M29" s="5"/>
    </row>
    <row r="30" spans="1:17">
      <c r="A30" s="1" t="s">
        <v>25</v>
      </c>
      <c r="B30" s="13"/>
      <c r="C30" s="1">
        <v>50</v>
      </c>
      <c r="D30" s="1">
        <v>50</v>
      </c>
      <c r="E30" s="1">
        <v>60</v>
      </c>
      <c r="F30" s="1">
        <v>60</v>
      </c>
      <c r="G30" s="1">
        <v>70</v>
      </c>
      <c r="H30" s="1">
        <v>70</v>
      </c>
      <c r="I30" s="4"/>
      <c r="J30" s="5"/>
      <c r="K30" s="5"/>
      <c r="L30" s="5"/>
      <c r="M30" s="5"/>
    </row>
    <row r="31" spans="1:17">
      <c r="A31" s="1" t="s">
        <v>27</v>
      </c>
      <c r="B31" s="13"/>
      <c r="C31" s="13">
        <v>700</v>
      </c>
      <c r="D31" s="13">
        <v>700</v>
      </c>
      <c r="E31" s="13">
        <v>700</v>
      </c>
      <c r="F31" s="13">
        <v>700</v>
      </c>
      <c r="G31" s="13">
        <v>700</v>
      </c>
      <c r="H31" s="13">
        <v>700</v>
      </c>
      <c r="I31" s="4"/>
      <c r="J31" s="5"/>
      <c r="K31" s="5"/>
      <c r="L31" s="5"/>
      <c r="M31" s="5"/>
    </row>
    <row r="32" spans="1:17">
      <c r="A32" s="1" t="s">
        <v>28</v>
      </c>
      <c r="B32" s="13"/>
      <c r="C32" s="1">
        <v>40</v>
      </c>
      <c r="D32" s="1">
        <v>40</v>
      </c>
      <c r="E32" s="1">
        <v>40</v>
      </c>
      <c r="F32" s="1">
        <v>40</v>
      </c>
      <c r="G32" s="1">
        <v>40</v>
      </c>
      <c r="H32" s="1">
        <v>40</v>
      </c>
      <c r="J32" s="10"/>
      <c r="K32" s="7"/>
      <c r="L32" s="7"/>
      <c r="M32" s="7"/>
    </row>
    <row r="33" spans="1:13">
      <c r="A33" s="1" t="s">
        <v>29</v>
      </c>
      <c r="B33" s="13"/>
      <c r="C33" s="13">
        <v>50</v>
      </c>
      <c r="D33" s="13">
        <v>50</v>
      </c>
      <c r="E33" s="13">
        <v>50</v>
      </c>
      <c r="F33" s="13">
        <v>50</v>
      </c>
      <c r="G33" s="13">
        <v>50</v>
      </c>
      <c r="H33" s="13">
        <v>50</v>
      </c>
      <c r="J33" s="7"/>
      <c r="K33" s="7"/>
      <c r="L33" s="7"/>
      <c r="M33" s="7"/>
    </row>
    <row r="34" spans="1:13">
      <c r="A34" s="1" t="s">
        <v>30</v>
      </c>
      <c r="C34" s="1">
        <f>C36</f>
        <v>150</v>
      </c>
      <c r="D34" s="1">
        <f>AVERAGE(D36,C37)</f>
        <v>158.5</v>
      </c>
      <c r="E34" s="1">
        <f t="shared" ref="E34:H34" si="0">AVERAGE(E36,D37)</f>
        <v>166.5</v>
      </c>
      <c r="F34" s="1">
        <f t="shared" si="0"/>
        <v>174</v>
      </c>
      <c r="G34" s="1">
        <f t="shared" si="0"/>
        <v>181.5</v>
      </c>
      <c r="H34" s="1">
        <f t="shared" si="0"/>
        <v>189.5</v>
      </c>
      <c r="J34" s="7"/>
      <c r="K34" s="7"/>
      <c r="L34" s="7"/>
      <c r="M34" s="7"/>
    </row>
    <row r="35" spans="1:13">
      <c r="A35" s="1" t="s">
        <v>31</v>
      </c>
      <c r="C35" s="1">
        <f>D34</f>
        <v>158.5</v>
      </c>
      <c r="D35" s="1">
        <f t="shared" ref="D35:G35" si="1">E34</f>
        <v>166.5</v>
      </c>
      <c r="E35" s="1">
        <f t="shared" si="1"/>
        <v>174</v>
      </c>
      <c r="F35" s="1">
        <f t="shared" si="1"/>
        <v>181.5</v>
      </c>
      <c r="G35" s="1">
        <f t="shared" si="1"/>
        <v>189.5</v>
      </c>
      <c r="H35" s="1">
        <f>H37</f>
        <v>198</v>
      </c>
    </row>
    <row r="36" spans="1:13">
      <c r="C36" s="13">
        <v>150</v>
      </c>
      <c r="D36" s="13">
        <v>157</v>
      </c>
      <c r="E36" s="1">
        <v>165</v>
      </c>
      <c r="F36" s="1">
        <v>173</v>
      </c>
      <c r="G36" s="1">
        <v>180</v>
      </c>
      <c r="H36" s="1">
        <v>188</v>
      </c>
    </row>
    <row r="37" spans="1:13">
      <c r="C37" s="1">
        <v>160</v>
      </c>
      <c r="D37" s="1">
        <v>168</v>
      </c>
      <c r="E37" s="1">
        <v>175</v>
      </c>
      <c r="F37" s="1">
        <v>183</v>
      </c>
      <c r="G37" s="1">
        <v>191</v>
      </c>
      <c r="H37" s="1">
        <v>198</v>
      </c>
    </row>
    <row r="38" spans="1:13">
      <c r="B38" s="14"/>
      <c r="C38" s="11" t="s">
        <v>64</v>
      </c>
    </row>
    <row r="39" spans="1:13" ht="22">
      <c r="B39" s="14"/>
      <c r="C39" s="15" t="s">
        <v>65</v>
      </c>
    </row>
    <row r="40" spans="1:13" ht="22">
      <c r="B40" s="14"/>
      <c r="C40" s="15" t="s">
        <v>66</v>
      </c>
    </row>
    <row r="41" spans="1:13">
      <c r="B41" s="14"/>
      <c r="C41" s="11" t="s">
        <v>67</v>
      </c>
      <c r="D41" s="13"/>
      <c r="E41" s="13"/>
      <c r="F41" s="13"/>
      <c r="G41" s="13"/>
    </row>
    <row r="42" spans="1:13" ht="22">
      <c r="B42" s="14"/>
      <c r="C42" s="15" t="s">
        <v>68</v>
      </c>
      <c r="D42" s="13"/>
      <c r="E42" s="13"/>
      <c r="F42" s="13"/>
      <c r="G42" s="13"/>
    </row>
    <row r="43" spans="1:13" ht="22">
      <c r="B43" s="14"/>
      <c r="C43" s="15" t="s">
        <v>69</v>
      </c>
    </row>
    <row r="44" spans="1:13">
      <c r="C44" s="11" t="s">
        <v>70</v>
      </c>
    </row>
    <row r="45" spans="1:13" ht="22">
      <c r="C45" s="15" t="s">
        <v>71</v>
      </c>
    </row>
    <row r="46" spans="1:13" ht="22">
      <c r="C46" s="15" t="s">
        <v>72</v>
      </c>
    </row>
    <row r="47" spans="1:13">
      <c r="C47" s="11" t="s">
        <v>73</v>
      </c>
    </row>
    <row r="48" spans="1:13" ht="22">
      <c r="C48" s="15" t="s">
        <v>74</v>
      </c>
    </row>
    <row r="49" spans="3:3" ht="22">
      <c r="C49" s="15" t="s">
        <v>75</v>
      </c>
    </row>
    <row r="50" spans="3:3">
      <c r="C50" s="11" t="s">
        <v>76</v>
      </c>
    </row>
    <row r="51" spans="3:3" ht="22">
      <c r="C51" s="15" t="s">
        <v>77</v>
      </c>
    </row>
    <row r="52" spans="3:3" ht="22">
      <c r="C52" s="15" t="s">
        <v>78</v>
      </c>
    </row>
    <row r="53" spans="3:3">
      <c r="C53" s="11" t="s">
        <v>79</v>
      </c>
    </row>
    <row r="54" spans="3:3" ht="22">
      <c r="C54" s="15" t="s">
        <v>80</v>
      </c>
    </row>
    <row r="55" spans="3:3" ht="22">
      <c r="C55" s="1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Niner Ore 9 RDO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2025-07-23T00:48:36Z</dcterms:modified>
</cp:coreProperties>
</file>