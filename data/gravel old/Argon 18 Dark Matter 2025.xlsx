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E582B79-FA34-0C4F-BF38-619C886E4B3A}" xr6:coauthVersionLast="47" xr6:coauthVersionMax="47" xr10:uidLastSave="{00000000-0000-0000-0000-000000000000}"/>
  <bookViews>
    <workbookView xWindow="0" yWindow="500" windowWidth="27700" windowHeight="14380" xr2:uid="{ABFFBBBD-2C2A-DA41-8959-3BF392F3D8AC}"/>
  </bookViews>
  <sheets>
    <sheet name="Argon 18 Dark Matter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1" i="1"/>
  <c r="H20" i="1"/>
  <c r="H19" i="1"/>
  <c r="H18" i="1"/>
  <c r="H17" i="1"/>
  <c r="H16" i="1"/>
  <c r="H15" i="1"/>
  <c r="H14" i="1"/>
  <c r="H11" i="1"/>
  <c r="G29" i="1"/>
  <c r="G28" i="1"/>
  <c r="G27" i="1"/>
  <c r="G26" i="1"/>
  <c r="G25" i="1"/>
  <c r="G24" i="1"/>
  <c r="G23" i="1"/>
  <c r="G21" i="1"/>
  <c r="G20" i="1"/>
  <c r="G19" i="1"/>
  <c r="G18" i="1"/>
  <c r="G17" i="1"/>
  <c r="G16" i="1"/>
  <c r="G15" i="1"/>
  <c r="G14" i="1"/>
  <c r="G11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1" i="1"/>
  <c r="E29" i="1"/>
  <c r="E28" i="1"/>
  <c r="E27" i="1"/>
  <c r="E26" i="1"/>
  <c r="E25" i="1"/>
  <c r="E24" i="1"/>
  <c r="E23" i="1"/>
  <c r="E21" i="1"/>
  <c r="E20" i="1"/>
  <c r="E19" i="1"/>
  <c r="E18" i="1"/>
  <c r="E17" i="1"/>
  <c r="E16" i="1"/>
  <c r="E15" i="1"/>
  <c r="E14" i="1"/>
  <c r="E11" i="1"/>
  <c r="D29" i="1"/>
  <c r="D28" i="1"/>
  <c r="D27" i="1"/>
  <c r="D26" i="1"/>
  <c r="D25" i="1"/>
  <c r="D24" i="1"/>
  <c r="D23" i="1"/>
  <c r="D21" i="1"/>
  <c r="D20" i="1"/>
  <c r="D19" i="1"/>
  <c r="D18" i="1"/>
  <c r="D17" i="1"/>
  <c r="D16" i="1"/>
  <c r="D15" i="1"/>
  <c r="D14" i="1"/>
  <c r="D11" i="1"/>
  <c r="C29" i="1"/>
  <c r="C28" i="1"/>
  <c r="C27" i="1"/>
  <c r="C26" i="1"/>
  <c r="C25" i="1"/>
  <c r="C24" i="1"/>
  <c r="C23" i="1"/>
  <c r="C21" i="1"/>
  <c r="C20" i="1"/>
  <c r="C19" i="1"/>
  <c r="C18" i="1"/>
  <c r="C17" i="1"/>
  <c r="C16" i="1"/>
  <c r="C15" i="1"/>
  <c r="C14" i="1"/>
  <c r="C11" i="1"/>
</calcChain>
</file>

<file path=xl/sharedStrings.xml><?xml version="1.0" encoding="utf-8"?>
<sst xmlns="http://schemas.openxmlformats.org/spreadsheetml/2006/main" count="164" uniqueCount="119">
  <si>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</si>
  <si>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</si>
  <si>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</si>
  <si>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</si>
  <si>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</si>
  <si>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</si>
  <si>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</si>
  <si>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</si>
  <si>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</si>
  <si>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</si>
  <si>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</si>
  <si>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</si>
  <si>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</si>
  <si>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</si>
  <si>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</si>
  <si>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</si>
  <si>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</si>
  <si>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</si>
  <si>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</si>
  <si>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</si>
  <si>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</si>
  <si>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</si>
  <si>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</si>
  <si>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</si>
  <si>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</si>
  <si>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</si>
  <si>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</si>
  <si>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XL</t>
  </si>
  <si>
    <t>brand</t>
  </si>
  <si>
    <t>material</t>
  </si>
  <si>
    <t>yes</t>
  </si>
  <si>
    <t>XS</t>
  </si>
  <si>
    <t>S</t>
  </si>
  <si>
    <t>M</t>
  </si>
  <si>
    <t>L</t>
  </si>
  <si>
    <t>carbon</t>
  </si>
  <si>
    <t>measure range</t>
  </si>
  <si>
    <t>Seat tube Height</t>
  </si>
  <si>
    <t>Seat tube angle</t>
  </si>
  <si>
    <t>Head Tube Angle</t>
  </si>
  <si>
    <t>Top tube length</t>
  </si>
  <si>
    <t>Chain stay length</t>
  </si>
  <si>
    <t>Wheelbase</t>
  </si>
  <si>
    <t>BB Drop</t>
  </si>
  <si>
    <t>Head Tube Length 3D (0mm)</t>
  </si>
  <si>
    <t>Head Tube Length 3D (35mm)</t>
  </si>
  <si>
    <t>Stand Over Height</t>
  </si>
  <si>
    <t>Fork Length (Axle-to-crown)</t>
  </si>
  <si>
    <t>Fork Rake</t>
  </si>
  <si>
    <t>Trail</t>
  </si>
  <si>
    <t>Stack min</t>
  </si>
  <si>
    <t>Stack max with 3D (35mm)</t>
  </si>
  <si>
    <t>Reach</t>
  </si>
  <si>
    <t>Reach 3D (35mm)</t>
  </si>
  <si>
    <t>Saddle Height Min</t>
  </si>
  <si>
    <t>Saddle Height Max</t>
  </si>
  <si>
    <t>Frame Size</t>
  </si>
  <si>
    <t>XXS44-46</t>
  </si>
  <si>
    <t>XS47-50</t>
  </si>
  <si>
    <t>S51-53</t>
  </si>
  <si>
    <t>M54-56</t>
  </si>
  <si>
    <t>L57-59</t>
  </si>
  <si>
    <t>XL60-62</t>
  </si>
  <si>
    <t>Argon 18</t>
  </si>
  <si>
    <t>Dark Matter</t>
  </si>
  <si>
    <t>https://www.argon18.com/en-us/bikes/gravel/dark-matter/sram-force-xplr-axs</t>
  </si>
  <si>
    <t>Stem Length Chart</t>
  </si>
  <si>
    <t>Frame size</t>
  </si>
  <si>
    <t>Stem length</t>
  </si>
  <si>
    <t>XXS</t>
  </si>
  <si>
    <t>60mm</t>
  </si>
  <si>
    <t>70mm</t>
  </si>
  <si>
    <t>80mm</t>
  </si>
  <si>
    <t>90mm</t>
  </si>
  <si>
    <t>100mm</t>
  </si>
  <si>
    <t>110mm</t>
  </si>
  <si>
    <t>stack_max</t>
  </si>
  <si>
    <t>reach_max</t>
  </si>
  <si>
    <t>min_saddle_height</t>
  </si>
  <si>
    <t>max_saddle_height</t>
  </si>
  <si>
    <t>head_tube_length_max</t>
  </si>
  <si>
    <t>a10:h37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</si>
  <si>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</si>
  <si>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</si>
  <si>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</si>
  <si>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</si>
  <si>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</si>
  <si>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</si>
  <si>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</si>
  <si>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</si>
  <si>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</si>
  <si>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</si>
  <si>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</si>
  <si>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</si>
  <si>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</si>
  <si>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</si>
  <si>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</si>
  <si>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</si>
  <si>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</si>
  <si>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</si>
  <si>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</si>
  <si>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</si>
  <si>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</si>
  <si>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</si>
  <si>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</si>
  <si>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</si>
  <si>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</si>
  <si>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</si>
  <si>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</t>
  </si>
  <si>
    <t>routing dynamo</t>
  </si>
  <si>
    <t>fork suspension</t>
  </si>
  <si>
    <t>stem suspension</t>
  </si>
  <si>
    <t>rear suspension</t>
  </si>
  <si>
    <t>no</t>
  </si>
  <si>
    <t>internal storage</t>
  </si>
  <si>
    <t>us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</si>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</sst>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000000"/>
      <name val="Futura Medium"/>
    </font>
    <font>
      <b/>
      <sz val="12"/>
      <color theme="1"/>
      <name val="Aptos Narrow"/>
      <family val="2"/>
      <scheme val="minor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8"/>
      <color theme="1"/>
      <name val="Rift"/>
    </font>
    <font>
      <b/>
      <sz val="12"/>
      <color theme="1"/>
      <name val="Rift"/>
    </font>
    <font>
      <b/>
      <i/>
      <sz val="12"/>
      <color rgb="FF000000"/>
      <name val="Rift"/>
    </font>
    <font>
      <sz val="14"/>
      <color rgb="FF000000"/>
      <name val="Futura Medium"/>
      <charset val="1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1" fontId="1" fillId="0" borderId="0" xfId="0" applyNumberFormat="1" applyFon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9A7C9A5-277C-9A40-AA98-CB2D1AB86D7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38100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8510CE20-87EA-3746-985B-13F6099CA3BB}"/>
            </a:ext>
          </a:extLst>
        </xdr:cNvPr>
        <xdr:cNvSpPr>
          <a:spLocks noChangeAspect="1" noChangeArrowheads="1"/>
        </xdr:cNvSpPr>
      </xdr:nvSpPr>
      <xdr:spPr bwMode="auto">
        <a:xfrm>
          <a:off x="12788900" y="609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33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304800" cy="3175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80B8D02-F234-C145-B95D-9A7F4CEED16C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57A44DE3-341D-3B4E-843E-590F4F76BEC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B59131C2-8AE3-1449-9CB9-AF6231F9173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63E928EA-951A-444E-BC57-31CC7288954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B7EEB53B-7F7E-8949-ADD6-F8AECAD90D6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27EB3E4A-D3CD-2F47-B4ED-4A1A074DC4F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39EAE5FE-85BC-AC45-80DC-2A9527835AA1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1C0843F2-1DE7-0041-B368-46A2646E2E5B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5CD31EA1-AD8F-5843-B1FC-7157BFD8456A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792C6856-1FC5-DF47-842F-B2E14A93E5F9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27B1B779-D1B5-B64C-8DB4-EA6B55D2C700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21186768-D6A1-984B-A6F4-9464F6CE8F31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AD0C693A-059F-7E48-8872-0D67A8482BA8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BCDDE3EA-2A8A-6945-8F4E-FA2EC17593CD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2A8DAD60-4C7A-7B43-879A-4E256EFBE9B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68C6D0B0-4CDE-4940-A863-EB7B0EDDB14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B3CB6B5F-03D9-E842-966E-C1F1789A341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9CF19E91-B997-AC42-AB20-CDBEB19C6FC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0</xdr:rowOff>
    </xdr:from>
    <xdr:ext cx="304800" cy="304800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6EC9AA01-E38F-5744-8877-CA381A79290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B4421D79-4F0E-BB4B-8299-0602503710A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22</xdr:row>
      <xdr:rowOff>0</xdr:rowOff>
    </xdr:from>
    <xdr:to>
      <xdr:col>13</xdr:col>
      <xdr:colOff>304800</xdr:colOff>
      <xdr:row>23</xdr:row>
      <xdr:rowOff>50800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B66B2D6-FDBF-7B05-093A-E9EB387E8406}"/>
            </a:ext>
          </a:extLst>
        </xdr:cNvPr>
        <xdr:cNvSpPr>
          <a:spLocks noChangeAspect="1" noChangeArrowheads="1"/>
        </xdr:cNvSpPr>
      </xdr:nvSpPr>
      <xdr:spPr bwMode="auto">
        <a:xfrm>
          <a:off x="136017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50800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AB3BC01-1701-0105-B29F-1A6EAD06512E}"/>
            </a:ext>
          </a:extLst>
        </xdr:cNvPr>
        <xdr:cNvSpPr>
          <a:spLocks noChangeAspect="1" noChangeArrowheads="1"/>
        </xdr:cNvSpPr>
      </xdr:nvSpPr>
      <xdr:spPr bwMode="auto">
        <a:xfrm>
          <a:off x="127762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19</xdr:row>
      <xdr:rowOff>0</xdr:rowOff>
    </xdr:from>
    <xdr:ext cx="304800" cy="2921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7E1809C0-E121-A546-9690-76B2C77B56C6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304800" cy="2921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8B0C91D2-8B05-F14B-9C3F-7D5080C476CB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2921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BA41AFFC-5832-AE49-A69F-7436581E0346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</xdr:row>
      <xdr:rowOff>0</xdr:rowOff>
    </xdr:from>
    <xdr:ext cx="304800" cy="29210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A26E36DF-0DBC-5A4A-8703-0BF459174CBA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292100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CF9B8229-6B68-174B-A339-EC687BD28F01}"/>
            </a:ext>
          </a:extLst>
        </xdr:cNvPr>
        <xdr:cNvSpPr>
          <a:spLocks noChangeAspect="1" noChangeArrowheads="1"/>
        </xdr:cNvSpPr>
      </xdr:nvSpPr>
      <xdr:spPr bwMode="auto">
        <a:xfrm>
          <a:off x="51689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2921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F205387-7451-E34A-B5DF-C53BED5521D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2921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029826AD-C367-8B4F-843A-2EE39392D87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292100"/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28C5E6BD-7B05-BA4D-938A-FBE6985A29A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292100"/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B1FE8BF0-C89E-8448-A961-13EBB1B0EA3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304800" cy="292100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C387D8AE-55FB-E343-A893-81240281C7A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</xdr:row>
      <xdr:rowOff>0</xdr:rowOff>
    </xdr:from>
    <xdr:ext cx="304800" cy="292100"/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F7EDA0FE-F5E9-A34C-8EEE-31AE83AFDF6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292100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8A91FDC9-86C7-1F4F-927D-CBC8F163E52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292100"/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C561DBFF-43F4-854A-AE76-C1F56326930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29210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6FADE1BC-E535-C849-BA6E-095171992F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3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292100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B9AE8B53-9686-B842-AB1A-3C1B0746561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89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29210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0B7877C1-8A89-DC47-B0A0-13E13EAF144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14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292100"/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B51B62B4-5B70-6B4D-A528-B12BFAD7B54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400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29210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61497C8D-F6F9-1F41-BA6D-9FAFACD737C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654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292100"/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CCB4B0A8-0646-CE45-8103-E05A70E4EE9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90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304800" cy="292100"/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4B8A3213-023E-3E4F-935B-2E0C5C3CD9EA}"/>
            </a:ext>
          </a:extLst>
        </xdr:cNvPr>
        <xdr:cNvSpPr>
          <a:spLocks noChangeAspect="1" noChangeArrowheads="1"/>
        </xdr:cNvSpPr>
      </xdr:nvSpPr>
      <xdr:spPr bwMode="auto">
        <a:xfrm>
          <a:off x="53467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304800" cy="292100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990F9B9C-C468-ED4F-A728-D83F78CBD969}"/>
            </a:ext>
          </a:extLst>
        </xdr:cNvPr>
        <xdr:cNvSpPr>
          <a:spLocks noChangeAspect="1" noChangeArrowheads="1"/>
        </xdr:cNvSpPr>
      </xdr:nvSpPr>
      <xdr:spPr bwMode="auto">
        <a:xfrm>
          <a:off x="53467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292100"/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C18BD578-9E2C-234B-806B-3C01E3566A8F}"/>
            </a:ext>
          </a:extLst>
        </xdr:cNvPr>
        <xdr:cNvSpPr>
          <a:spLocks noChangeAspect="1" noChangeArrowheads="1"/>
        </xdr:cNvSpPr>
      </xdr:nvSpPr>
      <xdr:spPr bwMode="auto">
        <a:xfrm>
          <a:off x="5346700" y="563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292100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1C44D12C-0BF5-AF4D-B88C-934C24337E28}"/>
            </a:ext>
          </a:extLst>
        </xdr:cNvPr>
        <xdr:cNvSpPr>
          <a:spLocks noChangeAspect="1" noChangeArrowheads="1"/>
        </xdr:cNvSpPr>
      </xdr:nvSpPr>
      <xdr:spPr bwMode="auto">
        <a:xfrm>
          <a:off x="5346700" y="589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24</xdr:row>
      <xdr:rowOff>0</xdr:rowOff>
    </xdr:from>
    <xdr:ext cx="304800" cy="292100"/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A5141E6D-4E55-F84A-9BBD-0EDC09699927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14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292100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D34115DD-4D8A-4F47-941F-DC8F553AEB36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400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292100"/>
    <xdr:sp macro="" textlink="">
      <xdr:nvSpPr>
        <xdr:cNvPr id="1030" name="AutoShape 2">
          <a:extLst>
            <a:ext uri="{FF2B5EF4-FFF2-40B4-BE49-F238E27FC236}">
              <a16:creationId xmlns:a16="http://schemas.microsoft.com/office/drawing/2014/main" id="{3EF1D18D-6E83-BB47-9D39-9C59CFAB397D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654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0</xdr:rowOff>
    </xdr:from>
    <xdr:ext cx="304800" cy="292100"/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0758EFA4-C411-1C4F-8CB2-CAA937F0881C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90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292100"/>
    <xdr:sp macro="" textlink="">
      <xdr:nvSpPr>
        <xdr:cNvPr id="1032" name="AutoShape 2">
          <a:extLst>
            <a:ext uri="{FF2B5EF4-FFF2-40B4-BE49-F238E27FC236}">
              <a16:creationId xmlns:a16="http://schemas.microsoft.com/office/drawing/2014/main" id="{C77D91B0-C7FA-9A43-8F42-012D093E837D}"/>
            </a:ext>
          </a:extLst>
        </xdr:cNvPr>
        <xdr:cNvSpPr>
          <a:spLocks noChangeAspect="1" noChangeArrowheads="1"/>
        </xdr:cNvSpPr>
      </xdr:nvSpPr>
      <xdr:spPr bwMode="auto">
        <a:xfrm>
          <a:off x="53467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292100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CD40C0D9-E00A-6740-89A6-C14D9D70692A}"/>
            </a:ext>
          </a:extLst>
        </xdr:cNvPr>
        <xdr:cNvSpPr>
          <a:spLocks noChangeAspect="1" noChangeArrowheads="1"/>
        </xdr:cNvSpPr>
      </xdr:nvSpPr>
      <xdr:spPr bwMode="auto">
        <a:xfrm>
          <a:off x="53467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</xdr:row>
      <xdr:rowOff>0</xdr:rowOff>
    </xdr:from>
    <xdr:ext cx="304800" cy="292100"/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4E665E90-D843-C54F-9BF4-2F122E824798}"/>
            </a:ext>
          </a:extLst>
        </xdr:cNvPr>
        <xdr:cNvSpPr>
          <a:spLocks noChangeAspect="1" noChangeArrowheads="1"/>
        </xdr:cNvSpPr>
      </xdr:nvSpPr>
      <xdr:spPr bwMode="auto">
        <a:xfrm>
          <a:off x="5346700" y="563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</xdr:row>
      <xdr:rowOff>0</xdr:rowOff>
    </xdr:from>
    <xdr:ext cx="304800" cy="292100"/>
    <xdr:sp macro="" textlink="">
      <xdr:nvSpPr>
        <xdr:cNvPr id="1035" name="AutoShape 2">
          <a:extLst>
            <a:ext uri="{FF2B5EF4-FFF2-40B4-BE49-F238E27FC236}">
              <a16:creationId xmlns:a16="http://schemas.microsoft.com/office/drawing/2014/main" id="{3A4296F7-2600-0846-B504-F2D64A1B6C0D}"/>
            </a:ext>
          </a:extLst>
        </xdr:cNvPr>
        <xdr:cNvSpPr>
          <a:spLocks noChangeAspect="1" noChangeArrowheads="1"/>
        </xdr:cNvSpPr>
      </xdr:nvSpPr>
      <xdr:spPr bwMode="auto">
        <a:xfrm>
          <a:off x="5346700" y="589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292100"/>
    <xdr:sp macro="" textlink="">
      <xdr:nvSpPr>
        <xdr:cNvPr id="1036" name="AutoShape 2">
          <a:extLst>
            <a:ext uri="{FF2B5EF4-FFF2-40B4-BE49-F238E27FC236}">
              <a16:creationId xmlns:a16="http://schemas.microsoft.com/office/drawing/2014/main" id="{60A79C39-D017-604C-986F-5BCDC3330177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14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292100"/>
    <xdr:sp macro="" textlink="">
      <xdr:nvSpPr>
        <xdr:cNvPr id="1037" name="AutoShape 2">
          <a:extLst>
            <a:ext uri="{FF2B5EF4-FFF2-40B4-BE49-F238E27FC236}">
              <a16:creationId xmlns:a16="http://schemas.microsoft.com/office/drawing/2014/main" id="{F3314B23-4C6A-9444-A7AF-011EACA4AD7A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400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292100"/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F324D2DB-CFD3-354D-9041-FD81723EC62B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654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292100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5637E927-ACFF-9342-A309-ACAAFE6AB92C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90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</xdr:row>
      <xdr:rowOff>0</xdr:rowOff>
    </xdr:from>
    <xdr:ext cx="304800" cy="292100"/>
    <xdr:sp macro="" textlink="">
      <xdr:nvSpPr>
        <xdr:cNvPr id="1040" name="AutoShape 2">
          <a:extLst>
            <a:ext uri="{FF2B5EF4-FFF2-40B4-BE49-F238E27FC236}">
              <a16:creationId xmlns:a16="http://schemas.microsoft.com/office/drawing/2014/main" id="{BDDB1748-554A-4742-A139-4B604E566794}"/>
            </a:ext>
          </a:extLst>
        </xdr:cNvPr>
        <xdr:cNvSpPr>
          <a:spLocks noChangeAspect="1" noChangeArrowheads="1"/>
        </xdr:cNvSpPr>
      </xdr:nvSpPr>
      <xdr:spPr bwMode="auto">
        <a:xfrm>
          <a:off x="53467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</xdr:row>
      <xdr:rowOff>0</xdr:rowOff>
    </xdr:from>
    <xdr:ext cx="304800" cy="292100"/>
    <xdr:sp macro="" textlink="">
      <xdr:nvSpPr>
        <xdr:cNvPr id="1041" name="AutoShape 2">
          <a:extLst>
            <a:ext uri="{FF2B5EF4-FFF2-40B4-BE49-F238E27FC236}">
              <a16:creationId xmlns:a16="http://schemas.microsoft.com/office/drawing/2014/main" id="{5E293CB5-0887-594C-AC11-2A9724FC83BF}"/>
            </a:ext>
          </a:extLst>
        </xdr:cNvPr>
        <xdr:cNvSpPr>
          <a:spLocks noChangeAspect="1" noChangeArrowheads="1"/>
        </xdr:cNvSpPr>
      </xdr:nvSpPr>
      <xdr:spPr bwMode="auto">
        <a:xfrm>
          <a:off x="53467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22</xdr:row>
      <xdr:rowOff>0</xdr:rowOff>
    </xdr:from>
    <xdr:ext cx="304800" cy="292100"/>
    <xdr:sp macro="" textlink="">
      <xdr:nvSpPr>
        <xdr:cNvPr id="1042" name="AutoShape 2">
          <a:extLst>
            <a:ext uri="{FF2B5EF4-FFF2-40B4-BE49-F238E27FC236}">
              <a16:creationId xmlns:a16="http://schemas.microsoft.com/office/drawing/2014/main" id="{89609636-FCAB-3245-AE8D-180994868B85}"/>
            </a:ext>
          </a:extLst>
        </xdr:cNvPr>
        <xdr:cNvSpPr>
          <a:spLocks noChangeAspect="1" noChangeArrowheads="1"/>
        </xdr:cNvSpPr>
      </xdr:nvSpPr>
      <xdr:spPr bwMode="auto">
        <a:xfrm>
          <a:off x="5346700" y="563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</xdr:row>
      <xdr:rowOff>0</xdr:rowOff>
    </xdr:from>
    <xdr:ext cx="304800" cy="292100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2D7B3641-7551-744C-B517-4319911F7221}"/>
            </a:ext>
          </a:extLst>
        </xdr:cNvPr>
        <xdr:cNvSpPr>
          <a:spLocks noChangeAspect="1" noChangeArrowheads="1"/>
        </xdr:cNvSpPr>
      </xdr:nvSpPr>
      <xdr:spPr bwMode="auto">
        <a:xfrm>
          <a:off x="5346700" y="589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24</xdr:row>
      <xdr:rowOff>0</xdr:rowOff>
    </xdr:from>
    <xdr:ext cx="304800" cy="292100"/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7D7A2BC0-E221-4148-9E52-A301FFDDD174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14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292100"/>
    <xdr:sp macro="" textlink="">
      <xdr:nvSpPr>
        <xdr:cNvPr id="1045" name="AutoShape 2">
          <a:extLst>
            <a:ext uri="{FF2B5EF4-FFF2-40B4-BE49-F238E27FC236}">
              <a16:creationId xmlns:a16="http://schemas.microsoft.com/office/drawing/2014/main" id="{4830DA8A-E967-7647-93EE-952E7741175A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400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26</xdr:row>
      <xdr:rowOff>0</xdr:rowOff>
    </xdr:from>
    <xdr:ext cx="304800" cy="292100"/>
    <xdr:sp macro="" textlink="">
      <xdr:nvSpPr>
        <xdr:cNvPr id="1046" name="AutoShape 2">
          <a:extLst>
            <a:ext uri="{FF2B5EF4-FFF2-40B4-BE49-F238E27FC236}">
              <a16:creationId xmlns:a16="http://schemas.microsoft.com/office/drawing/2014/main" id="{2307810F-0290-4E4E-98A9-1FA3FC83FBB2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654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27</xdr:row>
      <xdr:rowOff>0</xdr:rowOff>
    </xdr:from>
    <xdr:ext cx="304800" cy="292100"/>
    <xdr:sp macro="" textlink="">
      <xdr:nvSpPr>
        <xdr:cNvPr id="1047" name="AutoShape 2">
          <a:extLst>
            <a:ext uri="{FF2B5EF4-FFF2-40B4-BE49-F238E27FC236}">
              <a16:creationId xmlns:a16="http://schemas.microsoft.com/office/drawing/2014/main" id="{CF9F4C8D-0988-E14D-AEE1-C69A2115CB89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90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292100"/>
    <xdr:sp macro="" textlink="">
      <xdr:nvSpPr>
        <xdr:cNvPr id="1048" name="AutoShape 2">
          <a:extLst>
            <a:ext uri="{FF2B5EF4-FFF2-40B4-BE49-F238E27FC236}">
              <a16:creationId xmlns:a16="http://schemas.microsoft.com/office/drawing/2014/main" id="{46C39AF8-3AAE-124C-92D2-A5EE298CDAFE}"/>
            </a:ext>
          </a:extLst>
        </xdr:cNvPr>
        <xdr:cNvSpPr>
          <a:spLocks noChangeAspect="1" noChangeArrowheads="1"/>
        </xdr:cNvSpPr>
      </xdr:nvSpPr>
      <xdr:spPr bwMode="auto">
        <a:xfrm>
          <a:off x="53467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292100"/>
    <xdr:sp macro="" textlink="">
      <xdr:nvSpPr>
        <xdr:cNvPr id="1049" name="AutoShape 2">
          <a:extLst>
            <a:ext uri="{FF2B5EF4-FFF2-40B4-BE49-F238E27FC236}">
              <a16:creationId xmlns:a16="http://schemas.microsoft.com/office/drawing/2014/main" id="{6E08D38E-26D4-4241-BF0C-B0DB6C0D215E}"/>
            </a:ext>
          </a:extLst>
        </xdr:cNvPr>
        <xdr:cNvSpPr>
          <a:spLocks noChangeAspect="1" noChangeArrowheads="1"/>
        </xdr:cNvSpPr>
      </xdr:nvSpPr>
      <xdr:spPr bwMode="auto">
        <a:xfrm>
          <a:off x="5346700" y="487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</xdr:row>
      <xdr:rowOff>0</xdr:rowOff>
    </xdr:from>
    <xdr:ext cx="304800" cy="292100"/>
    <xdr:sp macro="" textlink="">
      <xdr:nvSpPr>
        <xdr:cNvPr id="1050" name="AutoShape 2">
          <a:extLst>
            <a:ext uri="{FF2B5EF4-FFF2-40B4-BE49-F238E27FC236}">
              <a16:creationId xmlns:a16="http://schemas.microsoft.com/office/drawing/2014/main" id="{4786E872-6AF0-A544-B0C8-2E9AE560F137}"/>
            </a:ext>
          </a:extLst>
        </xdr:cNvPr>
        <xdr:cNvSpPr>
          <a:spLocks noChangeAspect="1" noChangeArrowheads="1"/>
        </xdr:cNvSpPr>
      </xdr:nvSpPr>
      <xdr:spPr bwMode="auto">
        <a:xfrm>
          <a:off x="5346700" y="563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292100"/>
    <xdr:sp macro="" textlink="">
      <xdr:nvSpPr>
        <xdr:cNvPr id="1051" name="AutoShape 2">
          <a:extLst>
            <a:ext uri="{FF2B5EF4-FFF2-40B4-BE49-F238E27FC236}">
              <a16:creationId xmlns:a16="http://schemas.microsoft.com/office/drawing/2014/main" id="{FCC16F3F-A671-4340-893C-EFDA33386F97}"/>
            </a:ext>
          </a:extLst>
        </xdr:cNvPr>
        <xdr:cNvSpPr>
          <a:spLocks noChangeAspect="1" noChangeArrowheads="1"/>
        </xdr:cNvSpPr>
      </xdr:nvSpPr>
      <xdr:spPr bwMode="auto">
        <a:xfrm>
          <a:off x="5346700" y="589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292100"/>
    <xdr:sp macro="" textlink="">
      <xdr:nvSpPr>
        <xdr:cNvPr id="1052" name="AutoShape 2">
          <a:extLst>
            <a:ext uri="{FF2B5EF4-FFF2-40B4-BE49-F238E27FC236}">
              <a16:creationId xmlns:a16="http://schemas.microsoft.com/office/drawing/2014/main" id="{7CE6FCEA-ADA5-5749-9D1E-6C4DD8F51851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146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292100"/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id="{9AFD32BE-2687-7949-82BD-6CEE2D6A4593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400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292100"/>
    <xdr:sp macro="" textlink="">
      <xdr:nvSpPr>
        <xdr:cNvPr id="1054" name="AutoShape 2">
          <a:extLst>
            <a:ext uri="{FF2B5EF4-FFF2-40B4-BE49-F238E27FC236}">
              <a16:creationId xmlns:a16="http://schemas.microsoft.com/office/drawing/2014/main" id="{E837F47F-90EC-B34C-A358-6FCC2E726ECC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654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04800" cy="292100"/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id="{64527ED0-61DF-2A46-84C3-923D65BFDD45}"/>
            </a:ext>
          </a:extLst>
        </xdr:cNvPr>
        <xdr:cNvSpPr>
          <a:spLocks noChangeAspect="1" noChangeArrowheads="1"/>
        </xdr:cNvSpPr>
      </xdr:nvSpPr>
      <xdr:spPr bwMode="auto">
        <a:xfrm>
          <a:off x="5346700" y="690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1056" name="AutoShape 2">
          <a:extLst>
            <a:ext uri="{FF2B5EF4-FFF2-40B4-BE49-F238E27FC236}">
              <a16:creationId xmlns:a16="http://schemas.microsoft.com/office/drawing/2014/main" id="{E1626169-3422-284A-B24B-4FF2CAB646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292100"/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id="{1A93680D-BEF9-F54B-A31E-70CA9323A91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6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1058" name="AutoShape 2">
          <a:extLst>
            <a:ext uri="{FF2B5EF4-FFF2-40B4-BE49-F238E27FC236}">
              <a16:creationId xmlns:a16="http://schemas.microsoft.com/office/drawing/2014/main" id="{11519A8E-19C4-6549-BC42-81E7C511BE4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292100"/>
    <xdr:sp macro="" textlink="">
      <xdr:nvSpPr>
        <xdr:cNvPr id="1059" name="AutoShape 2">
          <a:extLst>
            <a:ext uri="{FF2B5EF4-FFF2-40B4-BE49-F238E27FC236}">
              <a16:creationId xmlns:a16="http://schemas.microsoft.com/office/drawing/2014/main" id="{C743C578-243F-8E4C-A517-7C8AA1B59F6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6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1060" name="AutoShape 2">
          <a:extLst>
            <a:ext uri="{FF2B5EF4-FFF2-40B4-BE49-F238E27FC236}">
              <a16:creationId xmlns:a16="http://schemas.microsoft.com/office/drawing/2014/main" id="{57964976-DF57-004E-AA29-25504C96D62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292100"/>
    <xdr:sp macro="" textlink="">
      <xdr:nvSpPr>
        <xdr:cNvPr id="1061" name="AutoShape 2">
          <a:extLst>
            <a:ext uri="{FF2B5EF4-FFF2-40B4-BE49-F238E27FC236}">
              <a16:creationId xmlns:a16="http://schemas.microsoft.com/office/drawing/2014/main" id="{6515DE6C-05A3-0142-B04E-EB8B7E05AE5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6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0</xdr:rowOff>
    </xdr:from>
    <xdr:ext cx="304800" cy="304800"/>
    <xdr:sp macro="" textlink="">
      <xdr:nvSpPr>
        <xdr:cNvPr id="1062" name="AutoShape 2">
          <a:extLst>
            <a:ext uri="{FF2B5EF4-FFF2-40B4-BE49-F238E27FC236}">
              <a16:creationId xmlns:a16="http://schemas.microsoft.com/office/drawing/2014/main" id="{3EF667F6-C013-004E-80FA-D3412FAE6A3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292100"/>
    <xdr:sp macro="" textlink="">
      <xdr:nvSpPr>
        <xdr:cNvPr id="1063" name="AutoShape 2">
          <a:extLst>
            <a:ext uri="{FF2B5EF4-FFF2-40B4-BE49-F238E27FC236}">
              <a16:creationId xmlns:a16="http://schemas.microsoft.com/office/drawing/2014/main" id="{C8C9C9AF-82C7-034D-BFAC-897EA63E642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6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304800" cy="304800"/>
    <xdr:sp macro="" textlink="">
      <xdr:nvSpPr>
        <xdr:cNvPr id="1064" name="AutoShape 2">
          <a:extLst>
            <a:ext uri="{FF2B5EF4-FFF2-40B4-BE49-F238E27FC236}">
              <a16:creationId xmlns:a16="http://schemas.microsoft.com/office/drawing/2014/main" id="{F819FDF6-137C-3541-A93C-2A97E5B42CB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292100"/>
    <xdr:sp macro="" textlink="">
      <xdr:nvSpPr>
        <xdr:cNvPr id="1065" name="AutoShape 2">
          <a:extLst>
            <a:ext uri="{FF2B5EF4-FFF2-40B4-BE49-F238E27FC236}">
              <a16:creationId xmlns:a16="http://schemas.microsoft.com/office/drawing/2014/main" id="{1F1684FD-A49F-DD46-9025-DB735979681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62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304800" cy="304800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EE510367-FD4E-5141-85B3-23283119A958}"/>
            </a:ext>
          </a:extLst>
        </xdr:cNvPr>
        <xdr:cNvSpPr>
          <a:spLocks noChangeAspect="1" noChangeArrowheads="1"/>
        </xdr:cNvSpPr>
      </xdr:nvSpPr>
      <xdr:spPr bwMode="auto">
        <a:xfrm>
          <a:off x="4470400" y="84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292100"/>
    <xdr:sp macro="" textlink="">
      <xdr:nvSpPr>
        <xdr:cNvPr id="1067" name="AutoShape 2">
          <a:extLst>
            <a:ext uri="{FF2B5EF4-FFF2-40B4-BE49-F238E27FC236}">
              <a16:creationId xmlns:a16="http://schemas.microsoft.com/office/drawing/2014/main" id="{2CE3564A-6D45-834B-8DD8-08C3D7CF1A8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17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292100"/>
    <xdr:sp macro="" textlink="">
      <xdr:nvSpPr>
        <xdr:cNvPr id="1068" name="AutoShape 2">
          <a:extLst>
            <a:ext uri="{FF2B5EF4-FFF2-40B4-BE49-F238E27FC236}">
              <a16:creationId xmlns:a16="http://schemas.microsoft.com/office/drawing/2014/main" id="{42E8F992-99A6-A24D-A52E-52492594B5C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17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292100"/>
    <xdr:sp macro="" textlink="">
      <xdr:nvSpPr>
        <xdr:cNvPr id="1069" name="AutoShape 2">
          <a:extLst>
            <a:ext uri="{FF2B5EF4-FFF2-40B4-BE49-F238E27FC236}">
              <a16:creationId xmlns:a16="http://schemas.microsoft.com/office/drawing/2014/main" id="{E3884168-FE9A-984D-938A-3C5A1573979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17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292100"/>
    <xdr:sp macro="" textlink="">
      <xdr:nvSpPr>
        <xdr:cNvPr id="1070" name="AutoShape 2">
          <a:extLst>
            <a:ext uri="{FF2B5EF4-FFF2-40B4-BE49-F238E27FC236}">
              <a16:creationId xmlns:a16="http://schemas.microsoft.com/office/drawing/2014/main" id="{E7BBAC56-81B5-1F40-A1CF-90DF7D564AE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17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292100"/>
    <xdr:sp macro="" textlink="">
      <xdr:nvSpPr>
        <xdr:cNvPr id="1071" name="AutoShape 2">
          <a:extLst>
            <a:ext uri="{FF2B5EF4-FFF2-40B4-BE49-F238E27FC236}">
              <a16:creationId xmlns:a16="http://schemas.microsoft.com/office/drawing/2014/main" id="{60B98C25-B628-2F4E-B9FF-FB4C1234674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178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H119"/>
  <sheetViews>
    <sheetView tabSelected="1" topLeftCell="N1" workbookViewId="0">
      <selection activeCell="T7" sqref="T7"/>
    </sheetView>
  </sheetViews>
  <sheetFormatPr baseColWidth="10" defaultRowHeight="20"/>
  <cols>
    <col min="1" max="1" width="29.33203125" style="1" customWidth="1"/>
    <col min="2" max="2" width="27.6640625" style="1" customWidth="1"/>
    <col min="3" max="29" width="12.83203125" style="1" customWidth="1"/>
    <col min="30" max="16384" width="10.83203125" style="1"/>
  </cols>
  <sheetData>
    <row r="1" spans="1:34">
      <c r="A1" s="1" t="s">
        <v>28</v>
      </c>
      <c r="B1" s="1" t="s">
        <v>63</v>
      </c>
    </row>
    <row r="2" spans="1:34">
      <c r="A2" s="1" t="s">
        <v>0</v>
      </c>
      <c r="B2" s="1" t="s">
        <v>64</v>
      </c>
    </row>
    <row r="3" spans="1:34">
      <c r="A3" s="1" t="s">
        <v>1</v>
      </c>
      <c r="B3" s="1">
        <v>2025</v>
      </c>
    </row>
    <row r="4" spans="1:34">
      <c r="A4" s="1" t="s">
        <v>2</v>
      </c>
      <c r="B4" s="2">
        <v>45851</v>
      </c>
    </row>
    <row r="5" spans="1:34">
      <c r="A5" s="1" t="s">
        <v>3</v>
      </c>
      <c r="B5" s="1" t="s">
        <v>65</v>
      </c>
    </row>
    <row r="6" spans="1:34" customFormat="1" ht="55" customHeight="1">
      <c r="A6" s="13" t="s">
        <v>29</v>
      </c>
      <c r="B6" s="13" t="s">
        <v>82</v>
      </c>
      <c r="C6" s="13" t="s">
        <v>83</v>
      </c>
      <c r="D6" s="13" t="s">
        <v>116</v>
      </c>
      <c r="E6" s="13" t="s">
        <v>84</v>
      </c>
      <c r="F6" s="13" t="s">
        <v>85</v>
      </c>
      <c r="G6" s="13" t="s">
        <v>110</v>
      </c>
      <c r="H6" s="13" t="s">
        <v>111</v>
      </c>
      <c r="I6" s="13" t="s">
        <v>112</v>
      </c>
      <c r="J6" s="13" t="s">
        <v>86</v>
      </c>
      <c r="K6" s="13" t="s">
        <v>87</v>
      </c>
      <c r="L6" s="13" t="s">
        <v>88</v>
      </c>
      <c r="M6" s="13" t="s">
        <v>89</v>
      </c>
      <c r="N6" s="13" t="s">
        <v>90</v>
      </c>
      <c r="O6" s="13" t="s">
        <v>91</v>
      </c>
      <c r="P6" s="13" t="s">
        <v>109</v>
      </c>
      <c r="Q6" s="13" t="s">
        <v>92</v>
      </c>
      <c r="R6" s="13" t="s">
        <v>93</v>
      </c>
      <c r="S6" s="13" t="s">
        <v>94</v>
      </c>
      <c r="T6" s="13" t="s">
        <v>95</v>
      </c>
      <c r="U6" s="13" t="s">
        <v>96</v>
      </c>
      <c r="V6" s="13" t="s">
        <v>97</v>
      </c>
      <c r="W6" s="13" t="s">
        <v>98</v>
      </c>
      <c r="X6" s="13" t="s">
        <v>99</v>
      </c>
      <c r="Y6" s="13" t="s">
        <v>100</v>
      </c>
      <c r="Z6" s="13" t="s">
        <v>101</v>
      </c>
      <c r="AA6" s="13" t="s">
        <v>102</v>
      </c>
      <c r="AB6" s="15" t="s">
        <v>117</v>
      </c>
      <c r="AC6" s="13" t="s">
        <v>103</v>
      </c>
      <c r="AD6" s="13" t="s">
        <v>104</v>
      </c>
      <c r="AE6" s="13" t="s">
        <v>105</v>
      </c>
      <c r="AF6" s="13" t="s">
        <v>106</v>
      </c>
      <c r="AG6" s="13" t="s">
        <v>107</v>
      </c>
      <c r="AH6" s="14" t="s">
        <v>114</v>
      </c>
    </row>
    <row r="7" spans="1:34">
      <c r="A7" s="1" t="s">
        <v>35</v>
      </c>
      <c r="B7" s="1" t="s">
        <v>30</v>
      </c>
      <c r="C7" s="1">
        <v>0</v>
      </c>
      <c r="D7" s="1">
        <v>57</v>
      </c>
      <c r="F7" s="1">
        <v>40</v>
      </c>
      <c r="G7" s="1" t="s">
        <v>113</v>
      </c>
      <c r="H7" s="1" t="s">
        <v>113</v>
      </c>
      <c r="I7" s="1" t="s">
        <v>113</v>
      </c>
      <c r="J7" s="1">
        <v>142</v>
      </c>
      <c r="K7" s="1">
        <v>100</v>
      </c>
      <c r="M7" s="1">
        <v>27.2</v>
      </c>
      <c r="N7" s="1" t="s">
        <v>108</v>
      </c>
      <c r="O7" s="1" t="s">
        <v>108</v>
      </c>
      <c r="P7" s="1" t="s">
        <v>30</v>
      </c>
      <c r="Q7" s="1" t="s">
        <v>30</v>
      </c>
      <c r="R7" s="1">
        <v>44</v>
      </c>
      <c r="S7" s="1">
        <v>48</v>
      </c>
      <c r="T7" s="1" t="s">
        <v>118</v>
      </c>
      <c r="U7" s="1">
        <v>3</v>
      </c>
      <c r="V7" s="1">
        <v>1</v>
      </c>
      <c r="W7" s="1" t="s">
        <v>30</v>
      </c>
      <c r="X7" s="1" t="s">
        <v>30</v>
      </c>
      <c r="Y7" s="1" t="s">
        <v>30</v>
      </c>
      <c r="Z7" s="1" t="s">
        <v>30</v>
      </c>
      <c r="AA7" s="1" t="s">
        <v>30</v>
      </c>
      <c r="AF7" s="1">
        <v>3650</v>
      </c>
      <c r="AG7" s="1" t="s">
        <v>115</v>
      </c>
      <c r="AH7" s="1" t="s">
        <v>113</v>
      </c>
    </row>
    <row r="8" spans="1:34"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1:34">
      <c r="A9" s="3" t="s">
        <v>36</v>
      </c>
      <c r="B9" s="3" t="s">
        <v>81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34" ht="24">
      <c r="A10" s="1" t="s">
        <v>4</v>
      </c>
      <c r="B10" s="4" t="s">
        <v>56</v>
      </c>
      <c r="C10" s="5" t="s">
        <v>57</v>
      </c>
      <c r="D10" s="5" t="s">
        <v>58</v>
      </c>
      <c r="E10" s="5" t="s">
        <v>59</v>
      </c>
      <c r="F10" s="5" t="s">
        <v>60</v>
      </c>
      <c r="G10" s="5" t="s">
        <v>61</v>
      </c>
      <c r="H10" s="5" t="s">
        <v>62</v>
      </c>
      <c r="J10" s="3"/>
      <c r="L10" s="10"/>
      <c r="M10" s="1" t="s">
        <v>56</v>
      </c>
      <c r="N10" s="1" t="s">
        <v>57</v>
      </c>
      <c r="O10" s="1" t="s">
        <v>58</v>
      </c>
      <c r="P10" s="1" t="s">
        <v>59</v>
      </c>
      <c r="Q10" s="1" t="s">
        <v>60</v>
      </c>
      <c r="R10" s="5" t="s">
        <v>61</v>
      </c>
      <c r="S10" s="5" t="s">
        <v>62</v>
      </c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4">
      <c r="A11" s="1" t="s">
        <v>5</v>
      </c>
      <c r="B11" s="4" t="s">
        <v>37</v>
      </c>
      <c r="C11" s="5">
        <f t="shared" ref="C11:H11" si="0">N11*10</f>
        <v>420</v>
      </c>
      <c r="D11" s="5">
        <f t="shared" si="0"/>
        <v>435</v>
      </c>
      <c r="E11" s="5">
        <f t="shared" si="0"/>
        <v>460</v>
      </c>
      <c r="F11" s="5">
        <f t="shared" si="0"/>
        <v>495</v>
      </c>
      <c r="G11" s="5">
        <f t="shared" si="0"/>
        <v>540</v>
      </c>
      <c r="H11" s="5">
        <f t="shared" si="0"/>
        <v>585</v>
      </c>
      <c r="J11" s="3"/>
      <c r="K11" s="3"/>
      <c r="L11" s="11"/>
      <c r="M11" s="3" t="s">
        <v>37</v>
      </c>
      <c r="N11" s="5">
        <v>42</v>
      </c>
      <c r="O11" s="5">
        <v>43.5</v>
      </c>
      <c r="P11" s="5">
        <v>46</v>
      </c>
      <c r="Q11" s="5">
        <v>49.5</v>
      </c>
      <c r="R11" s="5">
        <v>54</v>
      </c>
      <c r="S11" s="5">
        <v>58.5</v>
      </c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4">
      <c r="A12" s="1" t="s">
        <v>11</v>
      </c>
      <c r="B12" s="4" t="s">
        <v>38</v>
      </c>
      <c r="C12" s="5">
        <v>75.5</v>
      </c>
      <c r="D12" s="5">
        <v>75.5</v>
      </c>
      <c r="E12" s="5">
        <v>75.5</v>
      </c>
      <c r="F12" s="5">
        <v>75.5</v>
      </c>
      <c r="G12" s="5">
        <v>75.5</v>
      </c>
      <c r="H12" s="5">
        <v>75.5</v>
      </c>
      <c r="J12" s="3"/>
      <c r="K12" s="3"/>
      <c r="L12" s="11"/>
      <c r="M12" s="3" t="s">
        <v>38</v>
      </c>
      <c r="N12" s="5">
        <v>75.5</v>
      </c>
      <c r="O12" s="5">
        <v>74.900000000000006</v>
      </c>
      <c r="P12" s="5">
        <v>74.3</v>
      </c>
      <c r="Q12" s="5">
        <v>73.7</v>
      </c>
      <c r="R12" s="5">
        <v>73.099999999999994</v>
      </c>
      <c r="S12" s="5">
        <v>72.5</v>
      </c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4">
      <c r="A13" s="1" t="s">
        <v>10</v>
      </c>
      <c r="B13" s="4" t="s">
        <v>39</v>
      </c>
      <c r="C13" s="5">
        <v>68.5</v>
      </c>
      <c r="D13" s="5">
        <v>68.5</v>
      </c>
      <c r="E13" s="5">
        <v>68.5</v>
      </c>
      <c r="F13" s="5">
        <v>68.5</v>
      </c>
      <c r="G13" s="5">
        <v>68.5</v>
      </c>
      <c r="H13" s="5">
        <v>68.5</v>
      </c>
      <c r="J13" s="3"/>
      <c r="K13" s="3"/>
      <c r="L13" s="11"/>
      <c r="M13" s="3" t="s">
        <v>39</v>
      </c>
      <c r="N13" s="5">
        <v>68.5</v>
      </c>
      <c r="O13" s="5">
        <v>70</v>
      </c>
      <c r="P13" s="5">
        <v>70.5</v>
      </c>
      <c r="Q13" s="5">
        <v>71</v>
      </c>
      <c r="R13" s="5">
        <v>71</v>
      </c>
      <c r="S13" s="5">
        <v>71</v>
      </c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4">
      <c r="A14" s="1" t="s">
        <v>6</v>
      </c>
      <c r="B14" s="4" t="s">
        <v>40</v>
      </c>
      <c r="C14" s="5">
        <f t="shared" ref="C14:H20" si="1">N14*10</f>
        <v>507</v>
      </c>
      <c r="D14" s="5">
        <f t="shared" si="1"/>
        <v>530</v>
      </c>
      <c r="E14" s="5">
        <f t="shared" si="1"/>
        <v>553</v>
      </c>
      <c r="F14" s="5">
        <f t="shared" si="1"/>
        <v>577</v>
      </c>
      <c r="G14" s="5">
        <f t="shared" si="1"/>
        <v>602</v>
      </c>
      <c r="H14" s="5">
        <f t="shared" si="1"/>
        <v>629</v>
      </c>
      <c r="J14" s="3"/>
      <c r="K14" s="3"/>
      <c r="L14" s="11"/>
      <c r="M14" s="3" t="s">
        <v>40</v>
      </c>
      <c r="N14" s="5">
        <v>50.7</v>
      </c>
      <c r="O14" s="5">
        <v>53</v>
      </c>
      <c r="P14" s="5">
        <v>55.3</v>
      </c>
      <c r="Q14" s="5">
        <v>57.7</v>
      </c>
      <c r="R14" s="5">
        <v>60.2</v>
      </c>
      <c r="S14" s="5">
        <v>62.9</v>
      </c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4">
      <c r="A15" s="1" t="s">
        <v>12</v>
      </c>
      <c r="B15" s="4" t="s">
        <v>41</v>
      </c>
      <c r="C15" s="5">
        <f t="shared" si="1"/>
        <v>436</v>
      </c>
      <c r="D15" s="5">
        <f t="shared" si="1"/>
        <v>436</v>
      </c>
      <c r="E15" s="5">
        <f t="shared" si="1"/>
        <v>436</v>
      </c>
      <c r="F15" s="5">
        <f t="shared" si="1"/>
        <v>436</v>
      </c>
      <c r="G15" s="5">
        <f t="shared" si="1"/>
        <v>436</v>
      </c>
      <c r="H15" s="5">
        <f t="shared" si="1"/>
        <v>436</v>
      </c>
      <c r="J15" s="3"/>
      <c r="K15" s="3"/>
      <c r="L15" s="11"/>
      <c r="M15" s="3" t="s">
        <v>41</v>
      </c>
      <c r="N15" s="5">
        <v>43.6</v>
      </c>
      <c r="O15" s="5">
        <v>43.6</v>
      </c>
      <c r="P15" s="5">
        <v>43.6</v>
      </c>
      <c r="Q15" s="5">
        <v>43.6</v>
      </c>
      <c r="R15">
        <v>43.6</v>
      </c>
      <c r="S15">
        <v>43.6</v>
      </c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4">
      <c r="A16" s="1" t="s">
        <v>13</v>
      </c>
      <c r="B16" s="4" t="s">
        <v>42</v>
      </c>
      <c r="C16" s="5">
        <f t="shared" si="1"/>
        <v>1030</v>
      </c>
      <c r="D16" s="5">
        <f t="shared" si="1"/>
        <v>1036</v>
      </c>
      <c r="E16" s="5">
        <f t="shared" si="1"/>
        <v>1045</v>
      </c>
      <c r="F16" s="5">
        <f t="shared" si="1"/>
        <v>1059</v>
      </c>
      <c r="G16" s="5">
        <f t="shared" si="1"/>
        <v>1080</v>
      </c>
      <c r="H16" s="5">
        <f t="shared" si="1"/>
        <v>1101</v>
      </c>
      <c r="J16" s="3"/>
      <c r="K16" s="3"/>
      <c r="L16" s="6"/>
      <c r="M16" s="3" t="s">
        <v>42</v>
      </c>
      <c r="N16" s="3">
        <v>103</v>
      </c>
      <c r="O16" s="3">
        <v>103.6</v>
      </c>
      <c r="P16" s="1">
        <v>104.5</v>
      </c>
      <c r="Q16">
        <v>105.9</v>
      </c>
      <c r="R16" s="1">
        <v>108</v>
      </c>
      <c r="S16" s="1">
        <v>110.1</v>
      </c>
      <c r="T16"/>
      <c r="U16"/>
      <c r="V16"/>
      <c r="W16"/>
      <c r="X16"/>
      <c r="Y16"/>
    </row>
    <row r="17" spans="1:19">
      <c r="A17" s="1" t="s">
        <v>14</v>
      </c>
      <c r="B17" s="4" t="s">
        <v>43</v>
      </c>
      <c r="C17" s="5">
        <f t="shared" si="1"/>
        <v>80</v>
      </c>
      <c r="D17" s="5">
        <f t="shared" si="1"/>
        <v>80</v>
      </c>
      <c r="E17" s="5">
        <f t="shared" si="1"/>
        <v>78</v>
      </c>
      <c r="F17" s="5">
        <f t="shared" si="1"/>
        <v>78</v>
      </c>
      <c r="G17" s="5">
        <f t="shared" si="1"/>
        <v>76</v>
      </c>
      <c r="H17" s="5">
        <f t="shared" si="1"/>
        <v>76</v>
      </c>
      <c r="J17" s="3"/>
      <c r="K17" s="3"/>
      <c r="L17"/>
      <c r="M17" s="3" t="s">
        <v>43</v>
      </c>
      <c r="N17" s="3">
        <v>8</v>
      </c>
      <c r="O17" s="3">
        <v>8</v>
      </c>
      <c r="P17" s="1">
        <v>7.8</v>
      </c>
      <c r="Q17" s="1">
        <v>7.8</v>
      </c>
      <c r="R17" s="1">
        <v>7.6</v>
      </c>
      <c r="S17" s="1">
        <v>7.6</v>
      </c>
    </row>
    <row r="18" spans="1:19">
      <c r="A18" s="1" t="s">
        <v>9</v>
      </c>
      <c r="B18" s="4" t="s">
        <v>44</v>
      </c>
      <c r="C18" s="5">
        <f t="shared" si="1"/>
        <v>72</v>
      </c>
      <c r="D18" s="5">
        <f t="shared" si="1"/>
        <v>87</v>
      </c>
      <c r="E18" s="5">
        <f t="shared" si="1"/>
        <v>106</v>
      </c>
      <c r="F18" s="5">
        <f t="shared" si="1"/>
        <v>126</v>
      </c>
      <c r="G18" s="5">
        <f t="shared" si="1"/>
        <v>151</v>
      </c>
      <c r="H18" s="5">
        <f t="shared" si="1"/>
        <v>178</v>
      </c>
      <c r="J18" s="3"/>
      <c r="K18" s="3"/>
      <c r="L18"/>
      <c r="M18" s="3" t="s">
        <v>44</v>
      </c>
      <c r="N18" s="3">
        <v>7.2</v>
      </c>
      <c r="O18" s="3">
        <v>8.6999999999999993</v>
      </c>
      <c r="P18" s="1">
        <v>10.6</v>
      </c>
      <c r="Q18" s="1">
        <v>12.6</v>
      </c>
      <c r="R18" s="1">
        <v>15.1</v>
      </c>
      <c r="S18" s="1">
        <v>17.8</v>
      </c>
    </row>
    <row r="19" spans="1:19">
      <c r="A19" s="1" t="s">
        <v>80</v>
      </c>
      <c r="B19" s="4" t="s">
        <v>45</v>
      </c>
      <c r="C19" s="5">
        <f t="shared" si="1"/>
        <v>95</v>
      </c>
      <c r="D19" s="5">
        <f t="shared" si="1"/>
        <v>112</v>
      </c>
      <c r="E19" s="5">
        <f t="shared" si="1"/>
        <v>131</v>
      </c>
      <c r="F19" s="5">
        <f t="shared" si="1"/>
        <v>151</v>
      </c>
      <c r="G19" s="5">
        <f t="shared" si="1"/>
        <v>176</v>
      </c>
      <c r="H19" s="5">
        <f t="shared" si="1"/>
        <v>203</v>
      </c>
      <c r="J19" s="3"/>
      <c r="K19" s="3"/>
      <c r="L19"/>
      <c r="M19" s="3" t="s">
        <v>45</v>
      </c>
      <c r="N19" s="3">
        <v>9.5</v>
      </c>
      <c r="O19" s="3">
        <v>11.2</v>
      </c>
      <c r="P19" s="1">
        <v>13.1</v>
      </c>
      <c r="Q19">
        <v>15.1</v>
      </c>
      <c r="R19" s="1">
        <v>17.600000000000001</v>
      </c>
      <c r="S19" s="1">
        <v>20.3</v>
      </c>
    </row>
    <row r="20" spans="1:19">
      <c r="A20" s="1" t="s">
        <v>21</v>
      </c>
      <c r="B20" s="4" t="s">
        <v>46</v>
      </c>
      <c r="C20" s="5">
        <f t="shared" si="1"/>
        <v>713</v>
      </c>
      <c r="D20" s="5">
        <f t="shared" si="1"/>
        <v>729</v>
      </c>
      <c r="E20" s="5">
        <f t="shared" si="1"/>
        <v>755</v>
      </c>
      <c r="F20" s="5">
        <f t="shared" si="1"/>
        <v>786</v>
      </c>
      <c r="G20" s="5">
        <f t="shared" si="1"/>
        <v>825</v>
      </c>
      <c r="H20" s="5">
        <f t="shared" si="1"/>
        <v>863</v>
      </c>
      <c r="K20" s="3"/>
      <c r="L20"/>
      <c r="M20" s="3" t="s">
        <v>46</v>
      </c>
      <c r="N20" s="3">
        <v>71.3</v>
      </c>
      <c r="O20" s="3">
        <v>72.900000000000006</v>
      </c>
      <c r="P20" s="1">
        <v>75.5</v>
      </c>
      <c r="Q20">
        <v>78.599999999999994</v>
      </c>
      <c r="R20" s="1">
        <v>82.5</v>
      </c>
      <c r="S20" s="1">
        <v>86.3</v>
      </c>
    </row>
    <row r="21" spans="1:19">
      <c r="A21" s="1" t="s">
        <v>15</v>
      </c>
      <c r="B21" s="4" t="s">
        <v>47</v>
      </c>
      <c r="C21" s="5">
        <f t="shared" ref="C21:H21" si="2">N21</f>
        <v>425</v>
      </c>
      <c r="D21" s="5">
        <f t="shared" si="2"/>
        <v>425</v>
      </c>
      <c r="E21" s="5">
        <f t="shared" si="2"/>
        <v>425</v>
      </c>
      <c r="F21" s="5">
        <f t="shared" si="2"/>
        <v>425</v>
      </c>
      <c r="G21" s="5">
        <f t="shared" si="2"/>
        <v>425</v>
      </c>
      <c r="H21" s="5">
        <f t="shared" si="2"/>
        <v>425</v>
      </c>
      <c r="L21"/>
      <c r="M21" s="1" t="s">
        <v>47</v>
      </c>
      <c r="N21" s="1">
        <v>425</v>
      </c>
      <c r="O21" s="1">
        <v>425</v>
      </c>
      <c r="P21" s="1">
        <v>425</v>
      </c>
      <c r="Q21">
        <v>425</v>
      </c>
      <c r="R21" s="1">
        <v>425</v>
      </c>
      <c r="S21" s="1">
        <v>425</v>
      </c>
    </row>
    <row r="22" spans="1:19">
      <c r="A22" s="1" t="s">
        <v>16</v>
      </c>
      <c r="B22" s="4" t="s">
        <v>48</v>
      </c>
      <c r="C22" s="5">
        <v>54</v>
      </c>
      <c r="D22" s="5">
        <v>54</v>
      </c>
      <c r="E22" s="5">
        <v>54</v>
      </c>
      <c r="F22" s="5">
        <v>54</v>
      </c>
      <c r="G22" s="5">
        <v>54</v>
      </c>
      <c r="H22" s="5">
        <v>54</v>
      </c>
      <c r="L22"/>
      <c r="M22" s="1" t="s">
        <v>48</v>
      </c>
      <c r="N22" s="1">
        <v>54</v>
      </c>
      <c r="O22" s="1">
        <v>54</v>
      </c>
      <c r="P22" s="1">
        <v>48</v>
      </c>
      <c r="Q22">
        <v>48</v>
      </c>
      <c r="R22" s="1">
        <v>48</v>
      </c>
      <c r="S22" s="1">
        <v>48</v>
      </c>
    </row>
    <row r="23" spans="1:19">
      <c r="A23" s="1" t="s">
        <v>17</v>
      </c>
      <c r="B23" s="4" t="s">
        <v>49</v>
      </c>
      <c r="C23" s="5">
        <f t="shared" ref="C23:H29" si="3">N23*10</f>
        <v>86</v>
      </c>
      <c r="D23" s="5">
        <f t="shared" si="3"/>
        <v>76</v>
      </c>
      <c r="E23" s="5">
        <f t="shared" si="3"/>
        <v>79</v>
      </c>
      <c r="F23" s="5">
        <f t="shared" si="3"/>
        <v>75</v>
      </c>
      <c r="G23" s="5">
        <f t="shared" si="3"/>
        <v>75</v>
      </c>
      <c r="H23" s="5">
        <f t="shared" si="3"/>
        <v>75</v>
      </c>
      <c r="L23"/>
      <c r="M23" s="1" t="s">
        <v>49</v>
      </c>
      <c r="N23" s="1">
        <v>8.6</v>
      </c>
      <c r="O23" s="1">
        <v>7.6</v>
      </c>
      <c r="P23" s="1">
        <v>7.9</v>
      </c>
      <c r="Q23">
        <v>7.5</v>
      </c>
      <c r="R23" s="1">
        <v>7.5</v>
      </c>
      <c r="S23" s="1">
        <v>7.5</v>
      </c>
    </row>
    <row r="24" spans="1:19">
      <c r="A24" s="1" t="s">
        <v>8</v>
      </c>
      <c r="B24" s="1" t="s">
        <v>50</v>
      </c>
      <c r="C24" s="5">
        <f t="shared" si="3"/>
        <v>520</v>
      </c>
      <c r="D24" s="5">
        <f t="shared" si="3"/>
        <v>540</v>
      </c>
      <c r="E24" s="5">
        <f t="shared" si="3"/>
        <v>561</v>
      </c>
      <c r="F24" s="5">
        <f t="shared" si="3"/>
        <v>582</v>
      </c>
      <c r="G24" s="5">
        <f t="shared" si="3"/>
        <v>603</v>
      </c>
      <c r="H24" s="5">
        <f t="shared" si="3"/>
        <v>629</v>
      </c>
      <c r="L24" s="6"/>
      <c r="M24" t="s">
        <v>50</v>
      </c>
      <c r="N24" s="1">
        <v>52</v>
      </c>
      <c r="O24" s="1">
        <v>54</v>
      </c>
      <c r="P24" s="1">
        <v>56.1</v>
      </c>
      <c r="Q24">
        <v>58.2</v>
      </c>
      <c r="R24" s="1">
        <v>60.3</v>
      </c>
      <c r="S24" s="1">
        <v>62.9</v>
      </c>
    </row>
    <row r="25" spans="1:19">
      <c r="A25" s="1" t="s">
        <v>76</v>
      </c>
      <c r="B25" s="1" t="s">
        <v>51</v>
      </c>
      <c r="C25" s="5">
        <f t="shared" si="3"/>
        <v>543</v>
      </c>
      <c r="D25" s="5">
        <f t="shared" si="3"/>
        <v>564</v>
      </c>
      <c r="E25" s="5">
        <f t="shared" si="3"/>
        <v>585</v>
      </c>
      <c r="F25" s="5">
        <f t="shared" si="3"/>
        <v>606</v>
      </c>
      <c r="G25" s="5">
        <f t="shared" si="3"/>
        <v>627</v>
      </c>
      <c r="H25" s="5">
        <f t="shared" si="3"/>
        <v>653</v>
      </c>
      <c r="L25"/>
      <c r="M25" s="1" t="s">
        <v>51</v>
      </c>
      <c r="N25" s="1">
        <v>54.3</v>
      </c>
      <c r="O25" s="1">
        <v>56.4</v>
      </c>
      <c r="P25" s="1">
        <v>58.5</v>
      </c>
      <c r="Q25">
        <v>60.6</v>
      </c>
      <c r="R25" s="1">
        <v>62.7</v>
      </c>
      <c r="S25" s="1">
        <v>65.3</v>
      </c>
    </row>
    <row r="26" spans="1:19">
      <c r="A26" s="1" t="s">
        <v>7</v>
      </c>
      <c r="B26" s="1" t="s">
        <v>52</v>
      </c>
      <c r="C26" s="5">
        <f t="shared" si="3"/>
        <v>370</v>
      </c>
      <c r="D26" s="5">
        <f t="shared" si="3"/>
        <v>382</v>
      </c>
      <c r="E26" s="5">
        <f t="shared" si="3"/>
        <v>394</v>
      </c>
      <c r="F26" s="5">
        <f t="shared" si="3"/>
        <v>406</v>
      </c>
      <c r="G26" s="5">
        <f t="shared" si="3"/>
        <v>418</v>
      </c>
      <c r="H26" s="5">
        <f t="shared" si="3"/>
        <v>430</v>
      </c>
      <c r="L26"/>
      <c r="M26" s="1" t="s">
        <v>52</v>
      </c>
      <c r="N26" s="1">
        <v>37</v>
      </c>
      <c r="O26" s="1">
        <v>38.200000000000003</v>
      </c>
      <c r="P26" s="1">
        <v>39.4</v>
      </c>
      <c r="Q26">
        <v>40.6</v>
      </c>
      <c r="R26" s="1">
        <v>41.8</v>
      </c>
      <c r="S26" s="1">
        <v>43</v>
      </c>
    </row>
    <row r="27" spans="1:19">
      <c r="A27" s="1" t="s">
        <v>77</v>
      </c>
      <c r="B27" s="1" t="s">
        <v>53</v>
      </c>
      <c r="C27" s="5">
        <f t="shared" si="3"/>
        <v>361</v>
      </c>
      <c r="D27" s="5">
        <f t="shared" si="3"/>
        <v>373</v>
      </c>
      <c r="E27" s="5">
        <f t="shared" si="3"/>
        <v>386</v>
      </c>
      <c r="F27" s="5">
        <f t="shared" si="3"/>
        <v>398</v>
      </c>
      <c r="G27" s="5">
        <f t="shared" si="3"/>
        <v>410</v>
      </c>
      <c r="H27" s="5">
        <f t="shared" si="3"/>
        <v>422</v>
      </c>
      <c r="L27"/>
      <c r="M27" s="1" t="s">
        <v>53</v>
      </c>
      <c r="N27" s="1">
        <v>36.1</v>
      </c>
      <c r="O27" s="1">
        <v>37.299999999999997</v>
      </c>
      <c r="P27" s="1">
        <v>38.6</v>
      </c>
      <c r="Q27">
        <v>39.799999999999997</v>
      </c>
      <c r="R27" s="1">
        <v>41</v>
      </c>
      <c r="S27" s="1">
        <v>42.2</v>
      </c>
    </row>
    <row r="28" spans="1:19">
      <c r="A28" s="1" t="s">
        <v>78</v>
      </c>
      <c r="B28" s="1" t="s">
        <v>54</v>
      </c>
      <c r="C28" s="5">
        <f t="shared" si="3"/>
        <v>590</v>
      </c>
      <c r="D28" s="5">
        <f t="shared" si="3"/>
        <v>605</v>
      </c>
      <c r="E28" s="5">
        <f t="shared" si="3"/>
        <v>630</v>
      </c>
      <c r="F28" s="5">
        <f t="shared" si="3"/>
        <v>665</v>
      </c>
      <c r="G28" s="5">
        <f t="shared" si="3"/>
        <v>710</v>
      </c>
      <c r="H28" s="5">
        <f t="shared" si="3"/>
        <v>755</v>
      </c>
      <c r="L28"/>
      <c r="M28" s="1" t="s">
        <v>54</v>
      </c>
      <c r="N28" s="1">
        <v>59</v>
      </c>
      <c r="O28" s="1">
        <v>60.5</v>
      </c>
      <c r="P28" s="1">
        <v>63</v>
      </c>
      <c r="Q28">
        <v>66.5</v>
      </c>
      <c r="R28" s="1">
        <v>71</v>
      </c>
      <c r="S28" s="1">
        <v>75.5</v>
      </c>
    </row>
    <row r="29" spans="1:19">
      <c r="A29" s="1" t="s">
        <v>79</v>
      </c>
      <c r="B29" s="1" t="s">
        <v>55</v>
      </c>
      <c r="C29" s="5">
        <f t="shared" si="3"/>
        <v>790</v>
      </c>
      <c r="D29" s="5">
        <f t="shared" si="3"/>
        <v>805</v>
      </c>
      <c r="E29" s="5">
        <f t="shared" si="3"/>
        <v>830</v>
      </c>
      <c r="F29" s="5">
        <f t="shared" si="3"/>
        <v>865</v>
      </c>
      <c r="G29" s="5">
        <f t="shared" si="3"/>
        <v>910</v>
      </c>
      <c r="H29" s="5">
        <f t="shared" si="3"/>
        <v>955</v>
      </c>
      <c r="L29"/>
      <c r="M29" s="1" t="s">
        <v>55</v>
      </c>
      <c r="N29" s="1">
        <v>79</v>
      </c>
      <c r="O29" s="1">
        <v>80.5</v>
      </c>
      <c r="P29" s="1">
        <v>83</v>
      </c>
      <c r="Q29">
        <v>86.5</v>
      </c>
      <c r="R29" s="1">
        <v>91</v>
      </c>
      <c r="S29" s="1">
        <v>95.5</v>
      </c>
    </row>
    <row r="30" spans="1:19">
      <c r="A30" s="1" t="s">
        <v>18</v>
      </c>
      <c r="B30" s="1" t="s">
        <v>18</v>
      </c>
      <c r="L30"/>
      <c r="M30" s="16" t="s">
        <v>66</v>
      </c>
      <c r="N30" s="16"/>
    </row>
    <row r="31" spans="1:19">
      <c r="A31" s="1" t="s">
        <v>19</v>
      </c>
      <c r="B31" s="1" t="s">
        <v>19</v>
      </c>
      <c r="C31" s="1">
        <v>60</v>
      </c>
      <c r="D31" s="1">
        <v>70</v>
      </c>
      <c r="E31" s="1">
        <v>80</v>
      </c>
      <c r="F31" s="1">
        <v>90</v>
      </c>
      <c r="G31" s="1">
        <v>100</v>
      </c>
      <c r="H31" s="1">
        <v>110</v>
      </c>
      <c r="L31"/>
      <c r="M31" s="12" t="s">
        <v>67</v>
      </c>
      <c r="N31" s="12" t="s">
        <v>68</v>
      </c>
    </row>
    <row r="32" spans="1:19">
      <c r="A32" s="1" t="s">
        <v>20</v>
      </c>
      <c r="B32" s="1" t="s">
        <v>20</v>
      </c>
      <c r="L32"/>
      <c r="M32" s="8" t="s">
        <v>69</v>
      </c>
      <c r="N32" s="9" t="s">
        <v>70</v>
      </c>
    </row>
    <row r="33" spans="1:14">
      <c r="A33" s="1" t="s">
        <v>22</v>
      </c>
      <c r="B33" s="1" t="s">
        <v>22</v>
      </c>
      <c r="C33" s="1">
        <v>700</v>
      </c>
      <c r="D33" s="1">
        <v>700</v>
      </c>
      <c r="E33" s="1">
        <v>700</v>
      </c>
      <c r="F33" s="1">
        <v>700</v>
      </c>
      <c r="G33" s="1">
        <v>700</v>
      </c>
      <c r="H33" s="1">
        <v>700</v>
      </c>
      <c r="L33" s="6"/>
      <c r="M33" s="8" t="s">
        <v>31</v>
      </c>
      <c r="N33" s="9" t="s">
        <v>71</v>
      </c>
    </row>
    <row r="34" spans="1:14">
      <c r="A34" s="1" t="s">
        <v>23</v>
      </c>
      <c r="B34" s="1" t="s">
        <v>23</v>
      </c>
      <c r="C34" s="7">
        <v>50</v>
      </c>
      <c r="D34" s="7">
        <v>50</v>
      </c>
      <c r="E34" s="7">
        <v>50</v>
      </c>
      <c r="F34" s="7">
        <v>50</v>
      </c>
      <c r="G34" s="7">
        <v>50</v>
      </c>
      <c r="H34" s="7">
        <v>50</v>
      </c>
      <c r="L34"/>
      <c r="M34" s="8" t="s">
        <v>32</v>
      </c>
      <c r="N34" s="9" t="s">
        <v>72</v>
      </c>
    </row>
    <row r="35" spans="1:14">
      <c r="A35" s="1" t="s">
        <v>24</v>
      </c>
      <c r="B35" s="1" t="s">
        <v>24</v>
      </c>
      <c r="C35" s="7">
        <v>57</v>
      </c>
      <c r="D35" s="7">
        <v>57</v>
      </c>
      <c r="E35" s="7">
        <v>57</v>
      </c>
      <c r="F35" s="7">
        <v>57</v>
      </c>
      <c r="G35" s="7">
        <v>57</v>
      </c>
      <c r="H35" s="7">
        <v>57</v>
      </c>
      <c r="M35" s="8" t="s">
        <v>33</v>
      </c>
      <c r="N35" s="9" t="s">
        <v>73</v>
      </c>
    </row>
    <row r="36" spans="1:14">
      <c r="A36" s="1" t="s">
        <v>25</v>
      </c>
      <c r="B36" s="1" t="s">
        <v>25</v>
      </c>
      <c r="C36" s="7">
        <v>152</v>
      </c>
      <c r="D36" s="7">
        <v>160</v>
      </c>
      <c r="E36" s="7">
        <v>170</v>
      </c>
      <c r="F36" s="7">
        <v>176</v>
      </c>
      <c r="G36" s="7">
        <v>180</v>
      </c>
      <c r="H36" s="7">
        <v>195</v>
      </c>
      <c r="M36" s="8" t="s">
        <v>34</v>
      </c>
      <c r="N36" s="9" t="s">
        <v>74</v>
      </c>
    </row>
    <row r="37" spans="1:14">
      <c r="A37" s="1" t="s">
        <v>26</v>
      </c>
      <c r="B37" s="1" t="s">
        <v>26</v>
      </c>
      <c r="C37" s="7">
        <v>160</v>
      </c>
      <c r="D37" s="7">
        <v>170</v>
      </c>
      <c r="E37" s="7">
        <v>176</v>
      </c>
      <c r="F37" s="7">
        <v>180</v>
      </c>
      <c r="G37" s="7">
        <v>195</v>
      </c>
      <c r="H37" s="7">
        <v>200</v>
      </c>
      <c r="M37" s="8" t="s">
        <v>27</v>
      </c>
      <c r="N37" s="9" t="s">
        <v>75</v>
      </c>
    </row>
    <row r="38" spans="1:14">
      <c r="L38"/>
    </row>
    <row r="39" spans="1:14">
      <c r="L39" s="6"/>
    </row>
    <row r="40" spans="1:14">
      <c r="L40"/>
    </row>
    <row r="41" spans="1:14">
      <c r="L41"/>
    </row>
    <row r="42" spans="1:14">
      <c r="L42"/>
    </row>
    <row r="43" spans="1:14">
      <c r="L43"/>
    </row>
    <row r="44" spans="1:14">
      <c r="L44"/>
    </row>
    <row r="45" spans="1:14">
      <c r="L45"/>
    </row>
    <row r="46" spans="1:14">
      <c r="L46"/>
    </row>
    <row r="47" spans="1:14">
      <c r="L47"/>
    </row>
    <row r="48" spans="1:14">
      <c r="L48" s="6"/>
    </row>
    <row r="49" spans="12:12">
      <c r="L49"/>
    </row>
    <row r="50" spans="12:12">
      <c r="L50"/>
    </row>
    <row r="51" spans="12:12">
      <c r="L51"/>
    </row>
    <row r="52" spans="12:12">
      <c r="L52"/>
    </row>
    <row r="53" spans="12:12">
      <c r="L53"/>
    </row>
    <row r="54" spans="12:12">
      <c r="L54"/>
    </row>
    <row r="55" spans="12:12">
      <c r="L55"/>
    </row>
    <row r="56" spans="12:12">
      <c r="L56"/>
    </row>
    <row r="57" spans="12:12">
      <c r="L57" s="6"/>
    </row>
    <row r="58" spans="12:12">
      <c r="L58"/>
    </row>
    <row r="59" spans="12:12">
      <c r="L59"/>
    </row>
    <row r="60" spans="12:12">
      <c r="L60"/>
    </row>
    <row r="61" spans="12:12">
      <c r="L61"/>
    </row>
    <row r="62" spans="12:12">
      <c r="L62"/>
    </row>
    <row r="63" spans="12:12">
      <c r="L63"/>
    </row>
    <row r="64" spans="12:12">
      <c r="L64"/>
    </row>
    <row r="65" spans="12:12">
      <c r="L65"/>
    </row>
    <row r="66" spans="12:12">
      <c r="L66" s="6"/>
    </row>
    <row r="67" spans="12:12">
      <c r="L67"/>
    </row>
    <row r="68" spans="12:12">
      <c r="L68"/>
    </row>
    <row r="69" spans="12:12">
      <c r="L69"/>
    </row>
    <row r="70" spans="12:12">
      <c r="L70"/>
    </row>
    <row r="71" spans="12:12">
      <c r="L71"/>
    </row>
    <row r="72" spans="12:12">
      <c r="L72"/>
    </row>
    <row r="73" spans="12:12">
      <c r="L73"/>
    </row>
    <row r="74" spans="12:12">
      <c r="L74"/>
    </row>
    <row r="75" spans="12:12">
      <c r="L75" s="6"/>
    </row>
    <row r="76" spans="12:12">
      <c r="L76"/>
    </row>
    <row r="77" spans="12:12">
      <c r="L77"/>
    </row>
    <row r="78" spans="12:12">
      <c r="L78"/>
    </row>
    <row r="79" spans="12:12">
      <c r="L79"/>
    </row>
    <row r="80" spans="12:12">
      <c r="L80"/>
    </row>
    <row r="81" spans="12:12">
      <c r="L81"/>
    </row>
    <row r="82" spans="12:12">
      <c r="L82"/>
    </row>
    <row r="83" spans="12:12">
      <c r="L83"/>
    </row>
    <row r="84" spans="12:12">
      <c r="L84" s="6"/>
    </row>
    <row r="85" spans="12:12">
      <c r="L85"/>
    </row>
    <row r="86" spans="12:12">
      <c r="L86"/>
    </row>
    <row r="87" spans="12:12">
      <c r="L87"/>
    </row>
    <row r="88" spans="12:12">
      <c r="L88"/>
    </row>
    <row r="89" spans="12:12">
      <c r="L89"/>
    </row>
    <row r="90" spans="12:12">
      <c r="L90"/>
    </row>
    <row r="91" spans="12:12">
      <c r="L91"/>
    </row>
    <row r="92" spans="12:12">
      <c r="L92"/>
    </row>
    <row r="93" spans="12:12">
      <c r="L93" s="6"/>
    </row>
    <row r="94" spans="12:12">
      <c r="L94"/>
    </row>
    <row r="95" spans="12:12">
      <c r="L95"/>
    </row>
    <row r="96" spans="12:12">
      <c r="L96"/>
    </row>
    <row r="97" spans="12:12">
      <c r="L97"/>
    </row>
    <row r="98" spans="12:12">
      <c r="L98"/>
    </row>
    <row r="99" spans="12:12">
      <c r="L99"/>
    </row>
    <row r="100" spans="12:12">
      <c r="L100"/>
    </row>
    <row r="101" spans="12:12">
      <c r="L101"/>
    </row>
    <row r="102" spans="12:12">
      <c r="L102" s="6"/>
    </row>
    <row r="103" spans="12:12">
      <c r="L103"/>
    </row>
    <row r="104" spans="12:12">
      <c r="L104"/>
    </row>
    <row r="105" spans="12:12">
      <c r="L105"/>
    </row>
    <row r="106" spans="12:12">
      <c r="L106"/>
    </row>
    <row r="107" spans="12:12">
      <c r="L107"/>
    </row>
    <row r="108" spans="12:12">
      <c r="L108"/>
    </row>
    <row r="109" spans="12:12">
      <c r="L109"/>
    </row>
    <row r="110" spans="12:12">
      <c r="L110"/>
    </row>
    <row r="111" spans="12:12">
      <c r="L111" s="6"/>
    </row>
    <row r="112" spans="12:12">
      <c r="L112"/>
    </row>
    <row r="113" spans="12:12">
      <c r="L113"/>
    </row>
    <row r="114" spans="12:12">
      <c r="L114"/>
    </row>
    <row r="115" spans="12:12">
      <c r="L115"/>
    </row>
    <row r="116" spans="12:12">
      <c r="L116"/>
    </row>
    <row r="117" spans="12:12">
      <c r="L117"/>
    </row>
    <row r="118" spans="12:12">
      <c r="L118"/>
    </row>
    <row r="119" spans="12:12">
      <c r="L119"/>
    </row>
  </sheetData>
  <mergeCells count="1">
    <mergeCell ref="M30:N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Argon 18 Dark Matter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2025-07-23T00:48:23Z</dcterms:modified>
</cp:coreProperties>
</file>