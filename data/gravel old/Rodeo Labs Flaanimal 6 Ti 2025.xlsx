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walker/Documents/Github/Bike Geometry Project/data/gravel/"/>
    </mc:Choice>
  </mc:AlternateContent>
  <xr:revisionPtr revIDLastSave="0" documentId="13_ncr:1_{843D1F0C-084B-5A46-9C87-8036132F6D13}" xr6:coauthVersionLast="47" xr6:coauthVersionMax="47" xr10:uidLastSave="{00000000-0000-0000-0000-000000000000}"/>
  <bookViews>
    <workbookView xWindow="760" yWindow="1240" windowWidth="28040" windowHeight="14560" xr2:uid="{AE0F04AA-80E5-8247-9791-D6B95FAD9AB5}"/>
  </bookViews>
  <sheets>
    <sheet name="Rodeo Labs Flaanimal 6 Ti 2025"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 i="1" l="1"/>
  <c r="E32" i="1"/>
  <c r="F32" i="1"/>
  <c r="G32" i="1"/>
  <c r="H32" i="1"/>
  <c r="C32" i="1"/>
  <c r="C36" i="1"/>
  <c r="D36" i="1"/>
  <c r="E36" i="1"/>
  <c r="F36" i="1"/>
  <c r="G36" i="1"/>
  <c r="H36" i="1"/>
  <c r="H34" i="1" s="1"/>
  <c r="D35" i="1"/>
  <c r="E35" i="1"/>
  <c r="F35" i="1"/>
  <c r="F33" i="1" s="1"/>
  <c r="E34" i="1" s="1"/>
  <c r="G35" i="1"/>
  <c r="H35" i="1"/>
  <c r="C35" i="1"/>
  <c r="C33" i="1" s="1"/>
  <c r="D7" i="1"/>
  <c r="D33" i="1" l="1"/>
  <c r="C34" i="1" s="1"/>
  <c r="E33" i="1"/>
  <c r="D34" i="1" s="1"/>
  <c r="H33" i="1"/>
  <c r="G34" i="1" s="1"/>
  <c r="G33" i="1"/>
  <c r="F34" i="1" s="1"/>
</calcChain>
</file>

<file path=xl/sharedStrings.xml><?xml version="1.0" encoding="utf-8"?>
<sst xmlns="http://schemas.openxmlformats.org/spreadsheetml/2006/main" count="127" uniqueCount="107">
  <si>
    <t>brand</t>
  </si>
  <si>
    <t>model</t>
  </si>
  <si>
    <t>model year</t>
  </si>
  <si>
    <t>input date</t>
  </si>
  <si>
    <t>URL</t>
  </si>
  <si>
    <t>material</t>
  </si>
  <si>
    <t>yes</t>
  </si>
  <si>
    <t>measure range</t>
  </si>
  <si>
    <t>frame_size</t>
  </si>
  <si>
    <t>seat_tube_length</t>
  </si>
  <si>
    <t>top_tube_effective_length</t>
  </si>
  <si>
    <t>head_tube_length</t>
  </si>
  <si>
    <t>chainstay_length</t>
  </si>
  <si>
    <t>bottom_bracket_drop</t>
  </si>
  <si>
    <t>wheelbase</t>
  </si>
  <si>
    <t>head_tube_angle</t>
  </si>
  <si>
    <t>seat_tube_angle</t>
  </si>
  <si>
    <t>fork_offset_rake</t>
  </si>
  <si>
    <t>standover</t>
  </si>
  <si>
    <t>reach</t>
  </si>
  <si>
    <t>stack</t>
  </si>
  <si>
    <t>axle_crown</t>
  </si>
  <si>
    <t>trail</t>
  </si>
  <si>
    <t>handlebar_width</t>
  </si>
  <si>
    <t>stem_length</t>
  </si>
  <si>
    <t>crank_length</t>
  </si>
  <si>
    <t>wheel_size</t>
  </si>
  <si>
    <t>tire_width_spec</t>
  </si>
  <si>
    <t>tire_width_max</t>
  </si>
  <si>
    <t>rider_min</t>
  </si>
  <si>
    <t>rider_max</t>
  </si>
  <si>
    <t>front_center</t>
  </si>
  <si>
    <t>frame_weight</t>
  </si>
  <si>
    <t>udh</t>
  </si>
  <si>
    <t>internal</t>
  </si>
  <si>
    <t>q-factor</t>
  </si>
  <si>
    <t>dropout</t>
  </si>
  <si>
    <t>frameset</t>
  </si>
  <si>
    <t>currency</t>
  </si>
  <si>
    <t>us</t>
  </si>
  <si>
    <t>https://www.rodeo-labs.com/flaanimal-6-titanium/</t>
  </si>
  <si>
    <t>Rodeo Labs</t>
  </si>
  <si>
    <t>Flaanimal 6 Ti</t>
  </si>
  <si>
    <t>Frame size</t>
  </si>
  <si>
    <t>49 cm</t>
  </si>
  <si>
    <t>52 cm</t>
  </si>
  <si>
    <t>54 cm</t>
  </si>
  <si>
    <t>56 cm</t>
  </si>
  <si>
    <t>58 cm</t>
  </si>
  <si>
    <t>61 cm</t>
  </si>
  <si>
    <t>Seat tube (C-T)</t>
  </si>
  <si>
    <t>Top tube length (effective)</t>
  </si>
  <si>
    <t>Chain stay length</t>
  </si>
  <si>
    <t>Seat tube angle</t>
  </si>
  <si>
    <t>Bottom bracket drop</t>
  </si>
  <si>
    <t>Head tube length</t>
  </si>
  <si>
    <t>Head tube angle</t>
  </si>
  <si>
    <t>Reach</t>
  </si>
  <si>
    <t>Stack</t>
  </si>
  <si>
    <t>Fork length</t>
  </si>
  <si>
    <t>Fork rake</t>
  </si>
  <si>
    <t>Front center</t>
  </si>
  <si>
    <t>Wheelbase</t>
  </si>
  <si>
    <t>Standover height at center of top tube, 700 x 40mm</t>
  </si>
  <si>
    <t>Rider height</t>
  </si>
  <si>
    <t>5’2”-5’4”</t>
  </si>
  <si>
    <t>5’4”-5’6”</t>
  </si>
  <si>
    <t>5’6”-5’9”</t>
  </si>
  <si>
    <t>5’9”-6’0”</t>
  </si>
  <si>
    <t>6’0”-6’2”</t>
  </si>
  <si>
    <t>6’1”-6’4”</t>
  </si>
  <si>
    <t>650B tire max</t>
  </si>
  <si>
    <t>rear axle</t>
  </si>
  <si>
    <t>front axle</t>
  </si>
  <si>
    <t>seatpost diameter</t>
  </si>
  <si>
    <t>routing dropper</t>
  </si>
  <si>
    <t>chainring 1</t>
  </si>
  <si>
    <t>chainring 2</t>
  </si>
  <si>
    <t>bottom bracket</t>
  </si>
  <si>
    <t>mounts inner</t>
  </si>
  <si>
    <t>mounts under</t>
  </si>
  <si>
    <t>mounts top</t>
  </si>
  <si>
    <t>mounts fork</t>
  </si>
  <si>
    <t>mounts fender rear</t>
  </si>
  <si>
    <t>mounts fender front</t>
  </si>
  <si>
    <t>rotor max front</t>
  </si>
  <si>
    <t>rotor max rear</t>
  </si>
  <si>
    <t>routing shifter</t>
  </si>
  <si>
    <t>mounts rack</t>
  </si>
  <si>
    <t>suspension corrected</t>
  </si>
  <si>
    <t>titanium</t>
  </si>
  <si>
    <t>a10:h34</t>
  </si>
  <si>
    <t>no</t>
  </si>
  <si>
    <t>50/34</t>
  </si>
  <si>
    <t>base build</t>
  </si>
  <si>
    <t>front derailleur</t>
  </si>
  <si>
    <t>routing dynamo</t>
  </si>
  <si>
    <t>1. On the geometry chart, the slider is at the front position.</t>
  </si>
  <si>
    <t>2. For a geared drivetrain the bike is designed to use any slider position. It totally depends on user preference. On my Ti right now, I'm running it in the middle and probably won't move it unless I convert to singlespeed or put in the very largest tire. Right now I have a 700x2.2 Schwalbe Rick tire and it has good clearance at midway. A larger tire like the 2.25 Peyote may need to go further back in the slider range.</t>
  </si>
  <si>
    <t>3. There is more tire clearance with the slider further back. There is good clearance for 50mm in the forward position.</t>
  </si>
  <si>
    <t>fork suspension</t>
  </si>
  <si>
    <t>stem suspension</t>
  </si>
  <si>
    <t>rear suspension</t>
  </si>
  <si>
    <t>internal storage</t>
  </si>
  <si>
    <t>700c width max</t>
  </si>
  <si>
    <t>ISO ASTM</t>
  </si>
  <si>
    <r>
      <t>t</t>
    </r>
    <r>
      <rPr>
        <u/>
        <sz val="14"/>
        <color theme="1"/>
        <rFont val="Futura Medium"/>
      </rPr>
      <t>hreaded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</si>
</sst>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2"/>
      <color theme="1"/>
      <name val="Aptos Narrow"/>
      <family val="2"/>
      <scheme val="minor"/>
    </font>
    <font>
      <sz val="14"/>
      <color theme="1"/>
      <name val="Futura Medium"/>
    </font>
    <font>
      <sz val="14"/>
      <color rgb="FF333333"/>
      <name val="Futura Medium"/>
    </font>
    <font>
      <sz val="14"/>
      <color rgb="FF353535"/>
      <name val="Futura Medium"/>
    </font>
    <font>
      <b/>
      <u/>
      <sz val="14"/>
      <color theme="1"/>
      <name val="Futura Medium"/>
    </font>
    <font>
      <b/>
      <sz val="12"/>
      <color rgb="FF000000"/>
      <name val="ITC Franklin Gothic"/>
    </font>
    <font>
      <b/>
      <sz val="14"/>
      <color rgb="FF000000"/>
      <name val="Futura Medium"/>
    </font>
    <font>
      <sz val="14"/>
      <color rgb="FF000000"/>
      <name val="Futura Medium"/>
    </font>
    <font>
      <sz val="14"/>
      <color rgb="FF003764"/>
      <name val="Futura Medium"/>
    </font>
    <font>
      <sz val="16"/>
      <color rgb="FF000000"/>
      <name val="ITC Franklin Gothic"/>
    </font>
    <font>
      <b/>
      <sz val="19"/>
      <color theme="1"/>
      <name val="Arial"/>
      <family val="2"/>
    </font>
    <font>
      <sz val="19"/>
      <color theme="1"/>
      <name val="Arial"/>
      <family val="2"/>
    </font>
    <font>
      <sz val="14"/>
      <color rgb="FF000000"/>
      <name val="Futura Medium"/>
      <charset val="1"/>
    </font>
    <font>
      <sz val="12"/>
      <color rgb="FF222222"/>
      <name val="Arial"/>
      <family val="2"/>
    </font>
    <font>
      <sz val="14"/>
      <color theme="1"/>
      <name val="Futura"/>
      <family val="2"/>
    </font>
    <font>
      <u/>
      <sz val="14"/>
      <color theme="1"/>
      <name val="Futura Medium"/>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15" fontId="1" fillId="0" borderId="0" xfId="0" applyNumberFormat="1" applyFont="1"/>
    <xf numFmtId="0" fontId="2" fillId="0" borderId="0" xfId="0" applyFont="1"/>
    <xf numFmtId="0" fontId="3" fillId="0" borderId="0" xfId="0" applyFont="1"/>
    <xf numFmtId="1" fontId="3" fillId="0" borderId="0" xfId="0" applyNumberFormat="1" applyFont="1"/>
    <xf numFmtId="164" fontId="3" fillId="0" borderId="0" xfId="0" applyNumberFormat="1" applyFont="1"/>
    <xf numFmtId="1" fontId="1" fillId="0" borderId="0" xfId="0" applyNumberFormat="1" applyFont="1"/>
    <xf numFmtId="164" fontId="2" fillId="0" borderId="0" xfId="0" applyNumberFormat="1" applyFont="1"/>
    <xf numFmtId="164" fontId="1" fillId="0" borderId="0" xfId="0" applyNumberFormat="1" applyFont="1"/>
    <xf numFmtId="1" fontId="4"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 fillId="0" borderId="0" xfId="0" applyFont="1" applyAlignment="1">
      <alignment horizontal="center" vertical="center" wrapText="1"/>
    </xf>
    <xf numFmtId="0" fontId="12" fillId="0" borderId="0" xfId="0" applyFont="1" applyAlignment="1">
      <alignment horizontal="center" vertical="center" wrapText="1"/>
    </xf>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F885-3999-4E4F-8F92-5857EF0F7F08}">
  <dimension ref="A1:AH55"/>
  <sheetViews>
    <sheetView tabSelected="1" topLeftCell="R1" workbookViewId="0">
      <selection activeCell="T7" sqref="T7"/>
    </sheetView>
  </sheetViews>
  <sheetFormatPr baseColWidth="10" defaultRowHeight="20"/>
  <cols>
    <col min="1" max="1" width="29.33203125" style="1" bestFit="1" customWidth="1"/>
    <col min="2" max="2" width="31.83203125" style="1" customWidth="1"/>
    <col min="3" max="27" width="14.83203125" style="1" customWidth="1"/>
    <col min="28" max="16384" width="10.83203125" style="1"/>
  </cols>
  <sheetData>
    <row r="1" spans="1:34">
      <c r="A1" s="1" t="s">
        <v>0</v>
      </c>
      <c r="B1" s="1" t="s">
        <v>41</v>
      </c>
    </row>
    <row r="2" spans="1:34">
      <c r="A2" s="1" t="s">
        <v>1</v>
      </c>
      <c r="B2" s="1" t="s">
        <v>42</v>
      </c>
    </row>
    <row r="3" spans="1:34">
      <c r="A3" s="1" t="s">
        <v>2</v>
      </c>
      <c r="B3" s="1">
        <v>2025</v>
      </c>
    </row>
    <row r="4" spans="1:34">
      <c r="A4" s="1" t="s">
        <v>3</v>
      </c>
      <c r="B4" s="2">
        <v>45854</v>
      </c>
    </row>
    <row r="5" spans="1:34">
      <c r="A5" s="1" t="s">
        <v>4</v>
      </c>
      <c r="B5" s="1" t="s">
        <v>40</v>
      </c>
    </row>
    <row r="6" spans="1:34" s="18" customFormat="1" ht="44" customHeight="1">
      <c r="A6" s="18" t="s">
        <v>5</v>
      </c>
      <c r="B6" s="18" t="s">
        <v>33</v>
      </c>
      <c r="C6" s="18" t="s">
        <v>36</v>
      </c>
      <c r="D6" s="18" t="s">
        <v>104</v>
      </c>
      <c r="E6" s="18" t="s">
        <v>71</v>
      </c>
      <c r="F6" s="18" t="s">
        <v>89</v>
      </c>
      <c r="G6" s="18" t="s">
        <v>100</v>
      </c>
      <c r="H6" s="18" t="s">
        <v>101</v>
      </c>
      <c r="I6" s="18" t="s">
        <v>102</v>
      </c>
      <c r="J6" s="18" t="s">
        <v>72</v>
      </c>
      <c r="K6" s="18" t="s">
        <v>73</v>
      </c>
      <c r="L6" s="18" t="s">
        <v>35</v>
      </c>
      <c r="M6" s="18" t="s">
        <v>74</v>
      </c>
      <c r="N6" s="18" t="s">
        <v>87</v>
      </c>
      <c r="O6" s="18" t="s">
        <v>75</v>
      </c>
      <c r="P6" s="19" t="s">
        <v>96</v>
      </c>
      <c r="Q6" s="18" t="s">
        <v>95</v>
      </c>
      <c r="R6" s="18" t="s">
        <v>76</v>
      </c>
      <c r="S6" s="18" t="s">
        <v>77</v>
      </c>
      <c r="T6" s="18" t="s">
        <v>78</v>
      </c>
      <c r="U6" s="18" t="s">
        <v>79</v>
      </c>
      <c r="V6" s="18" t="s">
        <v>80</v>
      </c>
      <c r="W6" s="18" t="s">
        <v>81</v>
      </c>
      <c r="X6" s="18" t="s">
        <v>82</v>
      </c>
      <c r="Y6" s="18" t="s">
        <v>83</v>
      </c>
      <c r="Z6" s="18" t="s">
        <v>84</v>
      </c>
      <c r="AA6" s="18" t="s">
        <v>88</v>
      </c>
      <c r="AB6" s="22" t="s">
        <v>105</v>
      </c>
      <c r="AC6" s="18" t="s">
        <v>85</v>
      </c>
      <c r="AD6" s="18" t="s">
        <v>86</v>
      </c>
      <c r="AE6" s="18" t="s">
        <v>37</v>
      </c>
      <c r="AF6" s="19" t="s">
        <v>94</v>
      </c>
      <c r="AG6" s="18" t="s">
        <v>38</v>
      </c>
      <c r="AH6" s="19" t="s">
        <v>103</v>
      </c>
    </row>
    <row r="7" spans="1:34">
      <c r="A7" s="1" t="s">
        <v>90</v>
      </c>
      <c r="B7" s="1" t="s">
        <v>6</v>
      </c>
      <c r="C7" s="1">
        <v>30</v>
      </c>
      <c r="D7" s="1">
        <f>2.1*25.4</f>
        <v>53.339999999999996</v>
      </c>
      <c r="E7" s="1">
        <v>2.4</v>
      </c>
      <c r="F7" s="1" t="s">
        <v>92</v>
      </c>
      <c r="G7" s="1" t="s">
        <v>92</v>
      </c>
      <c r="H7" s="1" t="s">
        <v>92</v>
      </c>
      <c r="I7" s="1" t="s">
        <v>92</v>
      </c>
      <c r="J7" s="1">
        <v>142</v>
      </c>
      <c r="K7" s="1">
        <v>100</v>
      </c>
      <c r="M7" s="1">
        <v>27.2</v>
      </c>
      <c r="N7" s="1" t="s">
        <v>34</v>
      </c>
      <c r="O7" s="1" t="s">
        <v>34</v>
      </c>
      <c r="P7" s="20" t="s">
        <v>6</v>
      </c>
      <c r="Q7" s="1" t="s">
        <v>6</v>
      </c>
      <c r="R7" s="1">
        <v>48</v>
      </c>
      <c r="S7" s="1" t="s">
        <v>93</v>
      </c>
      <c r="T7" s="1" t="s">
        <v>106</v>
      </c>
      <c r="U7" s="1">
        <v>2</v>
      </c>
      <c r="V7" s="1">
        <v>1</v>
      </c>
      <c r="W7" s="1">
        <v>1</v>
      </c>
      <c r="X7" s="1" t="s">
        <v>6</v>
      </c>
      <c r="Y7" s="1" t="s">
        <v>6</v>
      </c>
      <c r="Z7" s="1" t="s">
        <v>6</v>
      </c>
      <c r="AA7" s="1" t="s">
        <v>6</v>
      </c>
      <c r="AB7" s="1" t="s">
        <v>6</v>
      </c>
      <c r="AC7" s="1">
        <v>160</v>
      </c>
      <c r="AD7" s="1">
        <v>160</v>
      </c>
      <c r="AE7" s="1">
        <v>3500</v>
      </c>
      <c r="AF7" s="1">
        <v>5574.37</v>
      </c>
      <c r="AG7" s="1" t="s">
        <v>39</v>
      </c>
      <c r="AH7" s="1" t="s">
        <v>92</v>
      </c>
    </row>
    <row r="9" spans="1:34">
      <c r="A9" s="1" t="s">
        <v>7</v>
      </c>
      <c r="B9" s="1" t="s">
        <v>91</v>
      </c>
      <c r="J9" s="12"/>
      <c r="K9" s="12"/>
      <c r="L9" s="12"/>
      <c r="M9" s="12"/>
      <c r="N9" s="12"/>
      <c r="O9" s="12"/>
      <c r="P9" s="12"/>
      <c r="Q9" s="12"/>
      <c r="R9" s="12"/>
      <c r="S9" s="12"/>
      <c r="T9" s="12"/>
      <c r="U9" s="12"/>
      <c r="V9" s="12"/>
      <c r="W9" s="12"/>
      <c r="X9" s="12"/>
    </row>
    <row r="10" spans="1:34">
      <c r="A10" s="1" t="s">
        <v>8</v>
      </c>
      <c r="B10" s="1" t="s">
        <v>43</v>
      </c>
      <c r="C10" s="12" t="s">
        <v>44</v>
      </c>
      <c r="D10" s="12" t="s">
        <v>45</v>
      </c>
      <c r="E10" s="12" t="s">
        <v>46</v>
      </c>
      <c r="F10" s="12" t="s">
        <v>47</v>
      </c>
      <c r="G10" s="12" t="s">
        <v>48</v>
      </c>
      <c r="H10" s="12" t="s">
        <v>49</v>
      </c>
      <c r="J10" s="12"/>
    </row>
    <row r="11" spans="1:34">
      <c r="A11" s="1" t="s">
        <v>9</v>
      </c>
      <c r="B11" s="12" t="s">
        <v>50</v>
      </c>
      <c r="C11" s="13">
        <v>445</v>
      </c>
      <c r="D11" s="13">
        <v>488</v>
      </c>
      <c r="E11" s="13">
        <v>508</v>
      </c>
      <c r="F11" s="13">
        <v>528</v>
      </c>
      <c r="G11" s="13">
        <v>548</v>
      </c>
      <c r="H11" s="13">
        <v>578</v>
      </c>
      <c r="J11" s="12"/>
      <c r="K11" s="13"/>
      <c r="L11" s="13"/>
      <c r="M11" s="13"/>
      <c r="N11" s="13"/>
      <c r="O11" s="13"/>
      <c r="P11" s="13"/>
      <c r="Q11" s="13"/>
      <c r="R11" s="13"/>
      <c r="S11" s="13"/>
      <c r="T11" s="13"/>
      <c r="U11" s="13"/>
      <c r="V11" s="13"/>
      <c r="W11" s="13"/>
      <c r="X11" s="13"/>
      <c r="Y11" s="13"/>
    </row>
    <row r="12" spans="1:34">
      <c r="A12" s="1" t="s">
        <v>10</v>
      </c>
      <c r="B12" s="12" t="s">
        <v>51</v>
      </c>
      <c r="C12" s="13">
        <v>515</v>
      </c>
      <c r="D12" s="13">
        <v>528</v>
      </c>
      <c r="E12" s="13">
        <v>540</v>
      </c>
      <c r="F12" s="13">
        <v>563</v>
      </c>
      <c r="G12" s="13">
        <v>580</v>
      </c>
      <c r="H12" s="13">
        <v>605</v>
      </c>
      <c r="J12" s="12"/>
      <c r="K12" s="13"/>
      <c r="L12" s="13"/>
      <c r="M12" s="13"/>
      <c r="N12" s="13"/>
      <c r="O12" s="13"/>
      <c r="P12" s="13"/>
      <c r="Q12" s="13"/>
      <c r="R12" s="13"/>
      <c r="S12" s="13"/>
      <c r="T12" s="13"/>
      <c r="U12" s="13"/>
      <c r="V12" s="13"/>
      <c r="W12" s="13"/>
      <c r="X12" s="13"/>
      <c r="Y12" s="13"/>
    </row>
    <row r="13" spans="1:34">
      <c r="A13" s="1" t="s">
        <v>12</v>
      </c>
      <c r="B13" s="12" t="s">
        <v>52</v>
      </c>
      <c r="C13" s="13">
        <v>435</v>
      </c>
      <c r="D13" s="13">
        <v>435</v>
      </c>
      <c r="E13" s="13">
        <v>435</v>
      </c>
      <c r="F13" s="13">
        <v>435</v>
      </c>
      <c r="G13" s="13">
        <v>435</v>
      </c>
      <c r="H13" s="13">
        <v>435</v>
      </c>
      <c r="J13" s="12"/>
      <c r="K13" s="13"/>
      <c r="L13" s="13"/>
      <c r="M13" s="13"/>
      <c r="N13" s="13"/>
      <c r="O13" s="13"/>
      <c r="P13" s="13"/>
      <c r="Q13" s="13"/>
      <c r="R13" s="13"/>
      <c r="S13" s="13"/>
      <c r="T13" s="13"/>
      <c r="U13" s="13"/>
      <c r="V13" s="13"/>
      <c r="W13" s="13"/>
      <c r="X13" s="13"/>
      <c r="Y13" s="13"/>
    </row>
    <row r="14" spans="1:34">
      <c r="A14" s="1" t="s">
        <v>16</v>
      </c>
      <c r="B14" s="12" t="s">
        <v>53</v>
      </c>
      <c r="C14" s="13">
        <v>74.5</v>
      </c>
      <c r="D14" s="13">
        <v>74</v>
      </c>
      <c r="E14" s="13">
        <v>74</v>
      </c>
      <c r="F14" s="13">
        <v>73</v>
      </c>
      <c r="G14" s="13">
        <v>73</v>
      </c>
      <c r="H14" s="13">
        <v>73</v>
      </c>
      <c r="J14" s="12"/>
      <c r="K14" s="13"/>
      <c r="L14" s="13"/>
      <c r="M14" s="13"/>
      <c r="N14" s="13"/>
      <c r="O14" s="13"/>
      <c r="P14" s="13"/>
      <c r="Q14" s="13"/>
      <c r="R14" s="13"/>
      <c r="S14" s="13"/>
      <c r="T14" s="13"/>
      <c r="U14" s="13"/>
      <c r="V14" s="13"/>
      <c r="W14" s="13"/>
      <c r="X14" s="13"/>
      <c r="Y14" s="13"/>
    </row>
    <row r="15" spans="1:34">
      <c r="A15" s="1" t="s">
        <v>13</v>
      </c>
      <c r="B15" s="12" t="s">
        <v>54</v>
      </c>
      <c r="C15" s="13">
        <v>65</v>
      </c>
      <c r="D15" s="13">
        <v>65</v>
      </c>
      <c r="E15" s="13">
        <v>65</v>
      </c>
      <c r="F15" s="13">
        <v>65</v>
      </c>
      <c r="G15" s="13">
        <v>65</v>
      </c>
      <c r="H15" s="13">
        <v>65</v>
      </c>
      <c r="J15" s="12"/>
      <c r="K15" s="13"/>
      <c r="L15" s="13"/>
      <c r="M15" s="13"/>
      <c r="N15" s="13"/>
      <c r="O15" s="13"/>
      <c r="P15" s="13"/>
      <c r="Q15" s="13"/>
      <c r="R15" s="13"/>
      <c r="S15" s="13"/>
      <c r="T15" s="13"/>
      <c r="U15" s="13"/>
      <c r="V15" s="13"/>
      <c r="W15" s="13"/>
      <c r="X15" s="13"/>
      <c r="Y15" s="13"/>
    </row>
    <row r="16" spans="1:34">
      <c r="A16" s="1" t="s">
        <v>11</v>
      </c>
      <c r="B16" s="12" t="s">
        <v>55</v>
      </c>
      <c r="C16" s="13">
        <v>95</v>
      </c>
      <c r="D16" s="13">
        <v>112</v>
      </c>
      <c r="E16" s="13">
        <v>142</v>
      </c>
      <c r="F16" s="13">
        <v>157</v>
      </c>
      <c r="G16" s="13">
        <v>172</v>
      </c>
      <c r="H16" s="13">
        <v>202</v>
      </c>
      <c r="J16" s="12"/>
      <c r="K16" s="13"/>
      <c r="L16" s="13"/>
      <c r="M16" s="13"/>
      <c r="N16" s="13"/>
      <c r="O16" s="13"/>
      <c r="P16" s="13"/>
      <c r="Q16" s="13"/>
      <c r="R16" s="13"/>
      <c r="S16" s="13"/>
      <c r="T16" s="13"/>
      <c r="U16" s="13"/>
      <c r="V16" s="13"/>
      <c r="W16" s="13"/>
      <c r="X16" s="13"/>
      <c r="Y16" s="13"/>
    </row>
    <row r="17" spans="1:17">
      <c r="A17" s="1" t="s">
        <v>15</v>
      </c>
      <c r="B17" s="12" t="s">
        <v>56</v>
      </c>
      <c r="C17" s="13">
        <v>69.5</v>
      </c>
      <c r="D17" s="13">
        <v>70</v>
      </c>
      <c r="E17" s="13">
        <v>71</v>
      </c>
      <c r="F17" s="13">
        <v>72</v>
      </c>
      <c r="G17" s="13">
        <v>72</v>
      </c>
      <c r="H17" s="13">
        <v>72</v>
      </c>
    </row>
    <row r="18" spans="1:17">
      <c r="A18" s="1" t="s">
        <v>19</v>
      </c>
      <c r="B18" s="12" t="s">
        <v>57</v>
      </c>
      <c r="C18" s="13">
        <v>372</v>
      </c>
      <c r="D18" s="13">
        <v>375</v>
      </c>
      <c r="E18" s="13">
        <v>378</v>
      </c>
      <c r="F18" s="13">
        <v>384</v>
      </c>
      <c r="G18" s="13">
        <v>396</v>
      </c>
      <c r="H18" s="13">
        <v>413</v>
      </c>
      <c r="Q18" s="3"/>
    </row>
    <row r="19" spans="1:17">
      <c r="A19" s="1" t="s">
        <v>20</v>
      </c>
      <c r="B19" s="12" t="s">
        <v>58</v>
      </c>
      <c r="C19" s="13">
        <v>516</v>
      </c>
      <c r="D19" s="13">
        <v>534</v>
      </c>
      <c r="E19" s="13">
        <v>566</v>
      </c>
      <c r="F19" s="13">
        <v>586</v>
      </c>
      <c r="G19" s="13">
        <v>600</v>
      </c>
      <c r="H19" s="13">
        <v>629</v>
      </c>
      <c r="J19" s="6"/>
      <c r="K19" s="6"/>
      <c r="L19" s="6"/>
      <c r="M19" s="6"/>
      <c r="N19" s="8"/>
      <c r="O19" s="8"/>
      <c r="P19" s="3"/>
      <c r="Q19" s="3"/>
    </row>
    <row r="20" spans="1:17">
      <c r="A20" s="1" t="s">
        <v>21</v>
      </c>
      <c r="B20" s="12" t="s">
        <v>59</v>
      </c>
      <c r="C20" s="13">
        <v>395</v>
      </c>
      <c r="D20" s="13">
        <v>395</v>
      </c>
      <c r="E20" s="13">
        <v>395</v>
      </c>
      <c r="F20" s="13">
        <v>395</v>
      </c>
      <c r="G20" s="13">
        <v>395</v>
      </c>
      <c r="H20" s="13">
        <v>395</v>
      </c>
      <c r="J20" s="6"/>
      <c r="K20" s="6"/>
      <c r="L20" s="6"/>
      <c r="M20" s="6"/>
      <c r="N20" s="8"/>
      <c r="O20" s="8"/>
      <c r="P20" s="3"/>
      <c r="Q20" s="3"/>
    </row>
    <row r="21" spans="1:17">
      <c r="A21" s="1" t="s">
        <v>17</v>
      </c>
      <c r="B21" s="12" t="s">
        <v>60</v>
      </c>
      <c r="C21" s="13">
        <v>50</v>
      </c>
      <c r="D21" s="13">
        <v>50</v>
      </c>
      <c r="E21" s="13">
        <v>50</v>
      </c>
      <c r="F21" s="13">
        <v>45</v>
      </c>
      <c r="G21" s="13">
        <v>45</v>
      </c>
      <c r="H21" s="13">
        <v>45</v>
      </c>
      <c r="J21" s="6"/>
      <c r="K21" s="6"/>
      <c r="L21" s="6"/>
      <c r="M21" s="6"/>
      <c r="N21" s="8"/>
      <c r="O21" s="8"/>
      <c r="P21" s="3"/>
      <c r="Q21" s="3"/>
    </row>
    <row r="22" spans="1:17">
      <c r="A22" s="1" t="s">
        <v>31</v>
      </c>
      <c r="B22" s="12" t="s">
        <v>61</v>
      </c>
      <c r="C22" s="13">
        <v>597</v>
      </c>
      <c r="D22" s="13">
        <v>602</v>
      </c>
      <c r="E22" s="13">
        <v>607</v>
      </c>
      <c r="F22" s="13">
        <v>604</v>
      </c>
      <c r="G22" s="13">
        <v>621</v>
      </c>
      <c r="H22" s="13">
        <v>647</v>
      </c>
      <c r="J22" s="6"/>
      <c r="K22" s="6"/>
      <c r="L22" s="6"/>
      <c r="M22" s="6"/>
      <c r="N22" s="8"/>
      <c r="O22" s="8"/>
      <c r="P22" s="3"/>
      <c r="Q22" s="3"/>
    </row>
    <row r="23" spans="1:17">
      <c r="A23" s="1" t="s">
        <v>14</v>
      </c>
      <c r="B23" s="12" t="s">
        <v>62</v>
      </c>
      <c r="C23" s="13">
        <v>1024</v>
      </c>
      <c r="D23" s="13">
        <v>1029</v>
      </c>
      <c r="E23" s="13">
        <v>1033</v>
      </c>
      <c r="F23" s="13">
        <v>1031</v>
      </c>
      <c r="G23" s="13">
        <v>1048</v>
      </c>
      <c r="H23" s="13">
        <v>1073</v>
      </c>
      <c r="J23" s="6"/>
      <c r="K23" s="6"/>
      <c r="L23" s="6"/>
      <c r="M23" s="6"/>
      <c r="N23" s="8"/>
      <c r="O23" s="8"/>
      <c r="P23" s="3"/>
      <c r="Q23" s="3"/>
    </row>
    <row r="24" spans="1:17">
      <c r="A24" s="1" t="s">
        <v>18</v>
      </c>
      <c r="B24" s="12" t="s">
        <v>63</v>
      </c>
      <c r="C24" s="13">
        <v>740</v>
      </c>
      <c r="D24" s="13">
        <v>769</v>
      </c>
      <c r="E24" s="13">
        <v>795</v>
      </c>
      <c r="F24" s="13">
        <v>814</v>
      </c>
      <c r="G24" s="13">
        <v>831</v>
      </c>
      <c r="H24" s="13">
        <v>859</v>
      </c>
      <c r="J24" s="6"/>
      <c r="K24" s="6"/>
      <c r="L24" s="6"/>
      <c r="M24" s="6"/>
      <c r="N24" s="9"/>
      <c r="O24" s="9"/>
    </row>
    <row r="25" spans="1:17">
      <c r="A25" s="1" t="s">
        <v>32</v>
      </c>
      <c r="B25" s="1" t="s">
        <v>32</v>
      </c>
      <c r="C25" s="13">
        <v>1620</v>
      </c>
      <c r="D25" s="13">
        <v>1640</v>
      </c>
      <c r="E25" s="13">
        <v>1690</v>
      </c>
      <c r="F25" s="13">
        <v>1730</v>
      </c>
      <c r="G25" s="13">
        <v>1770</v>
      </c>
      <c r="H25" s="13">
        <v>1830</v>
      </c>
      <c r="J25" s="6"/>
      <c r="K25" s="6"/>
      <c r="L25" s="6"/>
      <c r="M25" s="6"/>
      <c r="N25" s="9"/>
      <c r="O25" s="9"/>
    </row>
    <row r="26" spans="1:17">
      <c r="A26" s="1" t="s">
        <v>22</v>
      </c>
      <c r="B26" s="13"/>
      <c r="C26" s="13"/>
      <c r="D26" s="13"/>
      <c r="E26" s="13"/>
      <c r="F26" s="13"/>
      <c r="G26" s="13"/>
      <c r="H26" s="13"/>
      <c r="J26" s="6"/>
      <c r="K26" s="6"/>
      <c r="L26" s="6"/>
      <c r="M26" s="6"/>
      <c r="N26" s="8"/>
      <c r="O26" s="8"/>
      <c r="P26" s="3"/>
      <c r="Q26" s="3"/>
    </row>
    <row r="27" spans="1:17">
      <c r="A27" s="1" t="s">
        <v>25</v>
      </c>
      <c r="C27" s="13"/>
      <c r="D27" s="13"/>
      <c r="E27" s="13"/>
      <c r="F27" s="13"/>
      <c r="G27" s="13"/>
      <c r="H27" s="13"/>
      <c r="I27" s="4"/>
      <c r="J27" s="5"/>
      <c r="K27" s="5"/>
      <c r="L27" s="5"/>
      <c r="M27" s="5"/>
      <c r="N27" s="3"/>
      <c r="O27" s="3"/>
      <c r="P27" s="3"/>
      <c r="Q27" s="3"/>
    </row>
    <row r="28" spans="1:17">
      <c r="A28" s="1" t="s">
        <v>23</v>
      </c>
      <c r="B28" s="13"/>
      <c r="C28" s="13"/>
      <c r="D28" s="13"/>
      <c r="E28" s="13"/>
      <c r="F28" s="13"/>
      <c r="G28" s="13"/>
      <c r="I28" s="4"/>
      <c r="J28" s="5"/>
      <c r="K28" s="5"/>
      <c r="L28" s="5"/>
      <c r="M28" s="5"/>
      <c r="N28" s="3"/>
      <c r="O28" s="3"/>
      <c r="P28" s="3"/>
      <c r="Q28" s="3"/>
    </row>
    <row r="29" spans="1:17">
      <c r="A29" s="1" t="s">
        <v>24</v>
      </c>
      <c r="B29" s="13"/>
      <c r="C29" s="13"/>
      <c r="D29" s="13"/>
      <c r="E29" s="13"/>
      <c r="F29" s="13"/>
      <c r="G29" s="13"/>
      <c r="I29" s="4"/>
      <c r="J29" s="5"/>
      <c r="K29" s="5"/>
      <c r="L29" s="5"/>
      <c r="M29" s="5"/>
    </row>
    <row r="30" spans="1:17">
      <c r="A30" s="1" t="s">
        <v>26</v>
      </c>
      <c r="B30" s="13"/>
      <c r="C30" s="1">
        <v>700</v>
      </c>
      <c r="D30" s="1">
        <v>700</v>
      </c>
      <c r="E30" s="1">
        <v>700</v>
      </c>
      <c r="F30" s="1">
        <v>700</v>
      </c>
      <c r="G30" s="1">
        <v>700</v>
      </c>
      <c r="H30" s="1">
        <v>700</v>
      </c>
      <c r="I30" s="4"/>
      <c r="J30" s="5"/>
      <c r="K30" s="5"/>
      <c r="L30" s="5"/>
      <c r="M30" s="5"/>
    </row>
    <row r="31" spans="1:17">
      <c r="A31" s="1" t="s">
        <v>27</v>
      </c>
      <c r="B31" s="13"/>
      <c r="C31" s="13">
        <v>45</v>
      </c>
      <c r="D31" s="13">
        <v>45</v>
      </c>
      <c r="E31" s="13">
        <v>45</v>
      </c>
      <c r="F31" s="13">
        <v>45</v>
      </c>
      <c r="G31" s="13">
        <v>45</v>
      </c>
      <c r="H31" s="13">
        <v>45</v>
      </c>
      <c r="I31" s="4"/>
      <c r="J31" s="5"/>
      <c r="K31" s="5"/>
      <c r="L31" s="5"/>
      <c r="M31" s="5"/>
    </row>
    <row r="32" spans="1:17">
      <c r="A32" s="1" t="s">
        <v>28</v>
      </c>
      <c r="B32" s="13"/>
      <c r="C32" s="1">
        <f>2.1*25.4</f>
        <v>53.339999999999996</v>
      </c>
      <c r="D32" s="1">
        <f t="shared" ref="D32:H32" si="0">2.1*25.4</f>
        <v>53.339999999999996</v>
      </c>
      <c r="E32" s="1">
        <f t="shared" si="0"/>
        <v>53.339999999999996</v>
      </c>
      <c r="F32" s="1">
        <f t="shared" si="0"/>
        <v>53.339999999999996</v>
      </c>
      <c r="G32" s="1">
        <f t="shared" si="0"/>
        <v>53.339999999999996</v>
      </c>
      <c r="H32" s="1">
        <f t="shared" si="0"/>
        <v>53.339999999999996</v>
      </c>
      <c r="J32" s="10"/>
      <c r="K32" s="7"/>
      <c r="L32" s="7"/>
      <c r="M32" s="7"/>
    </row>
    <row r="33" spans="1:13">
      <c r="A33" s="1" t="s">
        <v>29</v>
      </c>
      <c r="B33" s="13"/>
      <c r="C33" s="13">
        <f>C35</f>
        <v>157.47999999999999</v>
      </c>
      <c r="D33" s="13">
        <f>AVERAGE(D35,C36)</f>
        <v>162.56</v>
      </c>
      <c r="E33" s="13">
        <f t="shared" ref="E33:H33" si="1">AVERAGE(E35,D36)</f>
        <v>167.64000000000001</v>
      </c>
      <c r="F33" s="13">
        <f t="shared" si="1"/>
        <v>175.26</v>
      </c>
      <c r="G33" s="13">
        <f t="shared" si="1"/>
        <v>182.88</v>
      </c>
      <c r="H33" s="13">
        <f t="shared" si="1"/>
        <v>186.69</v>
      </c>
      <c r="J33" s="7"/>
      <c r="K33" s="7"/>
      <c r="L33" s="7"/>
      <c r="M33" s="7"/>
    </row>
    <row r="34" spans="1:13">
      <c r="A34" s="1" t="s">
        <v>30</v>
      </c>
      <c r="C34" s="13">
        <f>D33</f>
        <v>162.56</v>
      </c>
      <c r="D34" s="13">
        <f t="shared" ref="D34:G34" si="2">E33</f>
        <v>167.64000000000001</v>
      </c>
      <c r="E34" s="13">
        <f t="shared" si="2"/>
        <v>175.26</v>
      </c>
      <c r="F34" s="13">
        <f t="shared" si="2"/>
        <v>182.88</v>
      </c>
      <c r="G34" s="13">
        <f t="shared" si="2"/>
        <v>186.69</v>
      </c>
      <c r="H34" s="13">
        <f t="shared" ref="H34" si="3">H36</f>
        <v>193.04</v>
      </c>
      <c r="J34" s="7"/>
      <c r="K34" s="7"/>
      <c r="L34" s="7"/>
      <c r="M34" s="7"/>
    </row>
    <row r="35" spans="1:13">
      <c r="C35" s="1">
        <f>C37*2.54</f>
        <v>157.47999999999999</v>
      </c>
      <c r="D35" s="1">
        <f t="shared" ref="D35:H36" si="4">D37*2.54</f>
        <v>162.56</v>
      </c>
      <c r="E35" s="1">
        <f t="shared" si="4"/>
        <v>167.64000000000001</v>
      </c>
      <c r="F35" s="1">
        <f t="shared" si="4"/>
        <v>175.26</v>
      </c>
      <c r="G35" s="1">
        <f t="shared" si="4"/>
        <v>182.88</v>
      </c>
      <c r="H35" s="1">
        <f t="shared" si="4"/>
        <v>185.42000000000002</v>
      </c>
    </row>
    <row r="36" spans="1:13">
      <c r="C36" s="1">
        <f>C38*2.54</f>
        <v>162.56</v>
      </c>
      <c r="D36" s="1">
        <f t="shared" si="4"/>
        <v>167.64000000000001</v>
      </c>
      <c r="E36" s="1">
        <f t="shared" si="4"/>
        <v>175.26</v>
      </c>
      <c r="F36" s="1">
        <f t="shared" si="4"/>
        <v>182.88</v>
      </c>
      <c r="G36" s="1">
        <f t="shared" si="4"/>
        <v>187.96</v>
      </c>
      <c r="H36" s="1">
        <f t="shared" si="4"/>
        <v>193.04</v>
      </c>
    </row>
    <row r="37" spans="1:13">
      <c r="C37" s="1">
        <v>62</v>
      </c>
      <c r="D37" s="1">
        <v>64</v>
      </c>
      <c r="E37" s="1">
        <v>66</v>
      </c>
      <c r="F37" s="1">
        <v>69</v>
      </c>
      <c r="G37" s="1">
        <v>72</v>
      </c>
      <c r="H37" s="1">
        <v>73</v>
      </c>
    </row>
    <row r="38" spans="1:13">
      <c r="B38" s="14"/>
      <c r="C38" s="11">
        <v>64</v>
      </c>
      <c r="D38" s="1">
        <v>66</v>
      </c>
      <c r="E38" s="1">
        <v>69</v>
      </c>
      <c r="F38" s="1">
        <v>72</v>
      </c>
      <c r="G38" s="1">
        <v>74</v>
      </c>
      <c r="H38" s="1">
        <v>76</v>
      </c>
    </row>
    <row r="39" spans="1:13" ht="25">
      <c r="B39" s="14"/>
      <c r="C39" s="16" t="s">
        <v>43</v>
      </c>
      <c r="D39" s="16" t="s">
        <v>64</v>
      </c>
    </row>
    <row r="40" spans="1:13" ht="25">
      <c r="B40" s="14"/>
      <c r="C40" s="17" t="s">
        <v>44</v>
      </c>
      <c r="D40" s="17" t="s">
        <v>65</v>
      </c>
    </row>
    <row r="41" spans="1:13" ht="25">
      <c r="B41" s="14"/>
      <c r="C41" s="17" t="s">
        <v>45</v>
      </c>
      <c r="D41" s="17" t="s">
        <v>66</v>
      </c>
      <c r="E41" s="13"/>
      <c r="F41" s="13"/>
      <c r="G41" s="13"/>
    </row>
    <row r="42" spans="1:13" ht="25">
      <c r="B42" s="14"/>
      <c r="C42" s="17" t="s">
        <v>46</v>
      </c>
      <c r="D42" s="17" t="s">
        <v>67</v>
      </c>
      <c r="E42" s="13"/>
      <c r="F42" s="13"/>
      <c r="G42" s="13"/>
    </row>
    <row r="43" spans="1:13" ht="25">
      <c r="B43" s="14"/>
      <c r="C43" s="17" t="s">
        <v>47</v>
      </c>
      <c r="D43" s="17" t="s">
        <v>68</v>
      </c>
    </row>
    <row r="44" spans="1:13" ht="25">
      <c r="C44" s="17" t="s">
        <v>48</v>
      </c>
      <c r="D44" s="17" t="s">
        <v>69</v>
      </c>
    </row>
    <row r="45" spans="1:13" ht="25">
      <c r="C45" s="17" t="s">
        <v>49</v>
      </c>
      <c r="D45" s="17" t="s">
        <v>70</v>
      </c>
    </row>
    <row r="46" spans="1:13" ht="22">
      <c r="A46" s="21" t="s">
        <v>97</v>
      </c>
      <c r="C46" s="15"/>
    </row>
    <row r="47" spans="1:13">
      <c r="A47" s="21" t="s">
        <v>98</v>
      </c>
      <c r="C47" s="11"/>
    </row>
    <row r="48" spans="1:13" ht="22">
      <c r="A48" s="21" t="s">
        <v>99</v>
      </c>
      <c r="C48" s="15"/>
    </row>
    <row r="49" spans="3:3" ht="22">
      <c r="C49" s="15"/>
    </row>
    <row r="50" spans="3:3">
      <c r="C50" s="11"/>
    </row>
    <row r="51" spans="3:3" ht="22">
      <c r="C51" s="15"/>
    </row>
    <row r="52" spans="3:3" ht="22">
      <c r="C52" s="15"/>
    </row>
    <row r="53" spans="3:3">
      <c r="C53" s="11"/>
    </row>
    <row r="54" spans="3:3" ht="22">
      <c r="C54" s="15"/>
    </row>
    <row r="55" spans="3:3" ht="22">
      <c r="C55"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Rodeo Labs Flaanimal 6 Ti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A Walker</dc:creator>
  <cp:lastModifiedBy>Jeffrey A Walker</cp:lastModifiedBy>
  <dcterms:created xsi:type="dcterms:W3CDTF">2025-07-15T14:07:03Z</dcterms:created>
  <dcterms:modified xsi:type="dcterms:W3CDTF">2025-07-23T00:46:34Z</dcterms:modified>
</cp:coreProperties>
</file>