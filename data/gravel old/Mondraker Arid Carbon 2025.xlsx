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81E5D05-DF39-6448-9E70-522DF5A12A48}" xr6:coauthVersionLast="47" xr6:coauthVersionMax="47" xr10:uidLastSave="{00000000-0000-0000-0000-000000000000}"/>
  <bookViews>
    <workbookView xWindow="760" yWindow="2220" windowWidth="28040" windowHeight="14560" xr2:uid="{AE0F04AA-80E5-8247-9791-D6B95FAD9AB5}"/>
  </bookViews>
  <sheets>
    <sheet name="Mondraker Arid Carbon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5" i="1" s="1"/>
  <c r="F34" i="1"/>
  <c r="E35" i="1" s="1"/>
  <c r="G34" i="1"/>
  <c r="F35" i="1" s="1"/>
  <c r="D34" i="1"/>
  <c r="C35" i="1" s="1"/>
  <c r="G35" i="1"/>
  <c r="C34" i="1"/>
</calcChain>
</file>

<file path=xl/sharedStrings.xml><?xml version="1.0" encoding="utf-8"?>
<sst xmlns="http://schemas.openxmlformats.org/spreadsheetml/2006/main" count="103" uniqueCount="95">
  <si>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</si>
  <si>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</si>
  <si>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</si>
  <si>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</si>
  <si>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</si>
  <si>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</si>
  <si>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</si>
  <si>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</si>
  <si>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</si>
  <si>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</si>
  <si>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</si>
  <si>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</si>
  <si>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</si>
  <si>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</si>
  <si>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</si>
  <si>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</si>
  <si>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</si>
  <si>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</si>
  <si>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</si>
  <si>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</si>
  <si>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</si>
  <si>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</si>
  <si>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</si>
  <si>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</si>
  <si>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</si>
  <si>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</si>
  <si>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</si>
  <si>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</si>
  <si>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</si>
  <si>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</si>
  <si>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</si>
  <si>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</si>
  <si>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FRAME SIZE</t>
  </si>
  <si>
    <t>bb_height</t>
  </si>
  <si>
    <t>Mondraker</t>
  </si>
  <si>
    <t>Arid Carbon</t>
  </si>
  <si>
    <t>S</t>
  </si>
  <si>
    <t>M</t>
  </si>
  <si>
    <t>M/L</t>
  </si>
  <si>
    <t>L</t>
  </si>
  <si>
    <t>XL</t>
  </si>
  <si>
    <t>Seattube length</t>
  </si>
  <si>
    <t>Toptube length</t>
  </si>
  <si>
    <t>Bottom bracket drop</t>
  </si>
  <si>
    <t>Bottom bracket height</t>
  </si>
  <si>
    <t>Chainstay length</t>
  </si>
  <si>
    <t>Seat tube angle</t>
  </si>
  <si>
    <t>Effective seattube angle</t>
  </si>
  <si>
    <t>Headtube angle</t>
  </si>
  <si>
    <t>Fork Offset</t>
  </si>
  <si>
    <t>Wheelbase</t>
  </si>
  <si>
    <t>Headtube length</t>
  </si>
  <si>
    <t>Reach</t>
  </si>
  <si>
    <t>Stack</t>
  </si>
  <si>
    <t>Stem Length</t>
  </si>
  <si>
    <t>Fork Height</t>
  </si>
  <si>
    <t>actual_seat_tube_angle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</si>
  <si>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</si>
  <si>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</si>
  <si>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</si>
  <si>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</si>
  <si>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</si>
  <si>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</si>
  <si>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</si>
  <si>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</si>
  <si>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</si>
  <si>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</si>
  <si>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</si>
  <si>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</si>
  <si>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</si>
  <si>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</si>
  <si>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</si>
  <si>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</si>
  <si>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</si>
  <si>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</si>
  <si>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</si>
  <si>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</si>
  <si>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</si>
  <si>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</si>
  <si>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</si>
  <si>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</si>
  <si>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</si>
  <si>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</si>
  <si>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</si>
  <si>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internal storage</t>
  </si>
  <si>
    <t>no</t>
  </si>
  <si>
    <t>frame_weight</t>
  </si>
  <si>
    <t>a10:g35</t>
  </si>
  <si>
    <t>https://mondraker.com/us/en/2025-arid-carbon-rr-sl</t>
  </si>
  <si>
    <t>fork suspension</t>
  </si>
  <si>
    <t>stem suspension</t>
  </si>
  <si>
    <t>rear suspension</t>
  </si>
  <si>
    <t>700c width max</t>
  </si>
  <si>
    <t>ISO ASTM</t>
  </si>
  <si>
    <r>
      <t>t</t>
    </r>
    <r>
      <rPr>
        <u/>
        <sz val="14"/>
        <color theme="1"/>
        <rFont val="Futura Medium"/>
      </rPr>
      <t>hreaded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</si>
</sst>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"/>
      <family val="2"/>
    </font>
    <font>
      <u/>
      <sz val="14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37"/>
  <sheetViews>
    <sheetView tabSelected="1" topLeftCell="R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36.6640625" style="1" customWidth="1"/>
    <col min="3" max="5" width="11" style="1" bestFit="1" customWidth="1"/>
    <col min="6" max="6" width="14.83203125" style="1" customWidth="1"/>
    <col min="7" max="9" width="13.6640625" style="1" customWidth="1"/>
    <col min="10" max="10" width="19" style="1" customWidth="1"/>
    <col min="11" max="25" width="11" style="1" bestFit="1" customWidth="1"/>
    <col min="26" max="16384" width="10.83203125" style="1"/>
  </cols>
  <sheetData>
    <row r="1" spans="1:34" x14ac:dyDescent="0.3">
      <c r="A1" s="1" t="s">
        <v>0</v>
      </c>
      <c r="B1" s="1" t="s">
        <v>34</v>
      </c>
    </row>
    <row r="2" spans="1:34" x14ac:dyDescent="0.3">
      <c r="A2" s="1" t="s">
        <v>1</v>
      </c>
      <c r="B2" s="1" t="s">
        <v>35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45853</v>
      </c>
    </row>
    <row r="5" spans="1:34" x14ac:dyDescent="0.3">
      <c r="A5" s="1" t="s">
        <v>4</v>
      </c>
      <c r="B5" s="1" t="s">
        <v>88</v>
      </c>
    </row>
    <row r="6" spans="1:34" customFormat="1" ht="55" customHeight="1" x14ac:dyDescent="0.3">
      <c r="A6" s="6" t="s">
        <v>5</v>
      </c>
      <c r="B6" s="6" t="s">
        <v>57</v>
      </c>
      <c r="C6" s="6" t="s">
        <v>58</v>
      </c>
      <c r="D6" s="6" t="s">
        <v>92</v>
      </c>
      <c r="E6" s="6" t="s">
        <v>59</v>
      </c>
      <c r="F6" s="6" t="s">
        <v>60</v>
      </c>
      <c r="G6" s="6" t="s">
        <v>89</v>
      </c>
      <c r="H6" s="6" t="s">
        <v>90</v>
      </c>
      <c r="I6" s="6" t="s">
        <v>91</v>
      </c>
      <c r="J6" s="6" t="s">
        <v>61</v>
      </c>
      <c r="K6" s="6" t="s">
        <v>62</v>
      </c>
      <c r="L6" s="6" t="s">
        <v>63</v>
      </c>
      <c r="M6" s="6" t="s">
        <v>64</v>
      </c>
      <c r="N6" s="6" t="s">
        <v>65</v>
      </c>
      <c r="O6" s="6" t="s">
        <v>66</v>
      </c>
      <c r="P6" s="6" t="s">
        <v>67</v>
      </c>
      <c r="Q6" s="6" t="s">
        <v>68</v>
      </c>
      <c r="R6" s="6" t="s">
        <v>69</v>
      </c>
      <c r="S6" s="6" t="s">
        <v>70</v>
      </c>
      <c r="T6" s="6" t="s">
        <v>71</v>
      </c>
      <c r="U6" s="6" t="s">
        <v>72</v>
      </c>
      <c r="V6" s="6" t="s">
        <v>73</v>
      </c>
      <c r="W6" s="6" t="s">
        <v>74</v>
      </c>
      <c r="X6" s="6" t="s">
        <v>75</v>
      </c>
      <c r="Y6" s="6" t="s">
        <v>76</v>
      </c>
      <c r="Z6" s="6" t="s">
        <v>77</v>
      </c>
      <c r="AA6" s="6" t="s">
        <v>78</v>
      </c>
      <c r="AB6" s="7" t="s">
        <v>93</v>
      </c>
      <c r="AC6" s="6" t="s">
        <v>79</v>
      </c>
      <c r="AD6" s="6" t="s">
        <v>80</v>
      </c>
      <c r="AE6" s="6" t="s">
        <v>81</v>
      </c>
      <c r="AF6" s="6" t="s">
        <v>82</v>
      </c>
      <c r="AG6" s="6" t="s">
        <v>83</v>
      </c>
      <c r="AH6" s="6" t="s">
        <v>84</v>
      </c>
    </row>
    <row r="7" spans="1:34" x14ac:dyDescent="0.3">
      <c r="A7" s="1" t="s">
        <v>6</v>
      </c>
      <c r="B7" s="1" t="s">
        <v>7</v>
      </c>
      <c r="C7" s="1">
        <v>0</v>
      </c>
      <c r="D7" s="1">
        <v>50</v>
      </c>
      <c r="F7" s="1">
        <v>40</v>
      </c>
      <c r="G7" s="1" t="s">
        <v>85</v>
      </c>
      <c r="H7" s="1" t="s">
        <v>85</v>
      </c>
      <c r="I7" s="1" t="s">
        <v>85</v>
      </c>
      <c r="M7" s="1">
        <v>27.2</v>
      </c>
      <c r="Q7" s="1" t="s">
        <v>85</v>
      </c>
      <c r="R7" s="1">
        <v>46</v>
      </c>
      <c r="T7" s="1" t="s">
        <v>94</v>
      </c>
      <c r="U7" s="1">
        <v>2</v>
      </c>
      <c r="V7" s="1">
        <v>1</v>
      </c>
      <c r="W7" s="1" t="s">
        <v>7</v>
      </c>
      <c r="X7" s="1" t="s">
        <v>7</v>
      </c>
      <c r="Y7" s="1" t="s">
        <v>7</v>
      </c>
      <c r="Z7" s="1" t="s">
        <v>7</v>
      </c>
      <c r="AE7" s="1">
        <v>2199</v>
      </c>
      <c r="AF7" s="1">
        <v>3299</v>
      </c>
      <c r="AH7" s="1" t="s">
        <v>7</v>
      </c>
    </row>
    <row r="9" spans="1:34" x14ac:dyDescent="0.3">
      <c r="A9" s="1" t="s">
        <v>8</v>
      </c>
      <c r="B9" s="1" t="s">
        <v>87</v>
      </c>
    </row>
    <row r="10" spans="1:34" x14ac:dyDescent="0.3">
      <c r="A10" s="1" t="s">
        <v>9</v>
      </c>
      <c r="B10" s="4" t="s">
        <v>32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L10" s="3"/>
      <c r="M10" s="3"/>
      <c r="N10" s="3"/>
      <c r="O10" s="3"/>
      <c r="P10" s="3"/>
      <c r="Q10" s="3"/>
      <c r="R10" s="3"/>
    </row>
    <row r="11" spans="1:34" x14ac:dyDescent="0.3">
      <c r="A11" s="1" t="s">
        <v>10</v>
      </c>
      <c r="B11" s="5" t="s">
        <v>41</v>
      </c>
      <c r="C11" s="5">
        <v>410</v>
      </c>
      <c r="D11" s="5">
        <v>450</v>
      </c>
      <c r="E11" s="5">
        <v>480</v>
      </c>
      <c r="F11" s="5">
        <v>510</v>
      </c>
      <c r="G11" s="1">
        <v>540</v>
      </c>
      <c r="K11" s="3"/>
      <c r="L11" s="3"/>
      <c r="M11" s="3"/>
      <c r="N11" s="3"/>
      <c r="O11" s="3"/>
      <c r="P11" s="3"/>
      <c r="Q11" s="3"/>
      <c r="R11" s="3"/>
    </row>
    <row r="12" spans="1:34" x14ac:dyDescent="0.3">
      <c r="A12" s="1" t="s">
        <v>11</v>
      </c>
      <c r="B12" s="5" t="s">
        <v>42</v>
      </c>
      <c r="C12" s="5">
        <v>520</v>
      </c>
      <c r="D12" s="5">
        <v>550</v>
      </c>
      <c r="E12" s="5">
        <v>580</v>
      </c>
      <c r="F12" s="5">
        <v>600</v>
      </c>
      <c r="G12" s="1">
        <v>630</v>
      </c>
      <c r="K12" s="3"/>
      <c r="L12" s="3"/>
      <c r="M12" s="3"/>
      <c r="N12" s="3"/>
      <c r="O12" s="3"/>
      <c r="P12" s="3"/>
      <c r="Q12" s="3"/>
      <c r="R12" s="3"/>
    </row>
    <row r="13" spans="1:34" x14ac:dyDescent="0.3">
      <c r="A13" s="1" t="s">
        <v>14</v>
      </c>
      <c r="B13" s="5" t="s">
        <v>43</v>
      </c>
      <c r="C13" s="5">
        <v>75</v>
      </c>
      <c r="D13" s="5">
        <v>75</v>
      </c>
      <c r="E13" s="5">
        <v>75</v>
      </c>
      <c r="F13" s="5">
        <v>75</v>
      </c>
      <c r="G13" s="5">
        <v>75</v>
      </c>
      <c r="K13" s="3"/>
      <c r="L13" s="3"/>
      <c r="M13" s="3"/>
      <c r="N13" s="3"/>
      <c r="O13" s="3"/>
      <c r="P13" s="3"/>
      <c r="Q13" s="3"/>
      <c r="R13" s="3"/>
    </row>
    <row r="14" spans="1:34" x14ac:dyDescent="0.3">
      <c r="A14" s="1" t="s">
        <v>33</v>
      </c>
      <c r="B14" s="5" t="s">
        <v>44</v>
      </c>
      <c r="C14" s="5">
        <v>269</v>
      </c>
      <c r="D14" s="5">
        <v>269</v>
      </c>
      <c r="E14" s="5">
        <v>269</v>
      </c>
      <c r="F14" s="5">
        <v>269</v>
      </c>
      <c r="G14" s="1">
        <v>269</v>
      </c>
      <c r="K14" s="3"/>
      <c r="L14" s="3"/>
      <c r="M14" s="3"/>
      <c r="N14" s="3"/>
      <c r="O14" s="3"/>
      <c r="P14" s="3"/>
      <c r="Q14" s="3"/>
      <c r="R14" s="3"/>
    </row>
    <row r="15" spans="1:34" x14ac:dyDescent="0.3">
      <c r="A15" s="1" t="s">
        <v>13</v>
      </c>
      <c r="B15" s="5" t="s">
        <v>45</v>
      </c>
      <c r="C15" s="5">
        <v>425</v>
      </c>
      <c r="D15" s="5">
        <v>425</v>
      </c>
      <c r="E15" s="5">
        <v>425</v>
      </c>
      <c r="F15" s="5">
        <v>425</v>
      </c>
      <c r="G15" s="1">
        <v>425</v>
      </c>
      <c r="K15" s="3"/>
      <c r="L15" s="3"/>
      <c r="M15" s="3"/>
      <c r="N15" s="3"/>
      <c r="O15" s="3"/>
      <c r="P15" s="3"/>
      <c r="Q15" s="3"/>
      <c r="R15" s="3"/>
    </row>
    <row r="16" spans="1:34" x14ac:dyDescent="0.3">
      <c r="A16" s="1" t="s">
        <v>56</v>
      </c>
      <c r="B16" s="5" t="s">
        <v>46</v>
      </c>
      <c r="C16" s="5">
        <v>73</v>
      </c>
      <c r="D16" s="5">
        <v>73</v>
      </c>
      <c r="E16" s="5">
        <v>73</v>
      </c>
      <c r="F16" s="5">
        <v>73</v>
      </c>
      <c r="G16" s="1">
        <v>73</v>
      </c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1" t="s">
        <v>17</v>
      </c>
      <c r="B17" s="5" t="s">
        <v>47</v>
      </c>
      <c r="C17" s="5">
        <v>74</v>
      </c>
      <c r="D17" s="5">
        <v>74</v>
      </c>
      <c r="E17" s="5">
        <v>74</v>
      </c>
      <c r="F17" s="5">
        <v>74</v>
      </c>
      <c r="G17" s="1">
        <v>74</v>
      </c>
      <c r="K17" s="3"/>
      <c r="L17" s="3"/>
      <c r="M17" s="3"/>
      <c r="N17" s="3"/>
      <c r="O17" s="3"/>
      <c r="P17" s="3"/>
      <c r="Q17" s="3"/>
      <c r="R17" s="3"/>
    </row>
    <row r="18" spans="1:18" x14ac:dyDescent="0.3">
      <c r="A18" s="1" t="s">
        <v>16</v>
      </c>
      <c r="B18" s="5" t="s">
        <v>48</v>
      </c>
      <c r="C18" s="5">
        <v>70</v>
      </c>
      <c r="D18" s="5">
        <v>70</v>
      </c>
      <c r="E18" s="5">
        <v>70</v>
      </c>
      <c r="F18" s="5">
        <v>70</v>
      </c>
      <c r="G18" s="1">
        <v>70</v>
      </c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1" t="s">
        <v>18</v>
      </c>
      <c r="B19" s="5" t="s">
        <v>49</v>
      </c>
      <c r="C19" s="5">
        <v>45</v>
      </c>
      <c r="D19" s="5">
        <v>45</v>
      </c>
      <c r="E19" s="5">
        <v>45</v>
      </c>
      <c r="F19" s="5">
        <v>45</v>
      </c>
      <c r="G19" s="1">
        <v>45</v>
      </c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1" t="s">
        <v>15</v>
      </c>
      <c r="B20" s="5" t="s">
        <v>50</v>
      </c>
      <c r="C20" s="5">
        <v>1003</v>
      </c>
      <c r="D20" s="5">
        <v>1035</v>
      </c>
      <c r="E20" s="5">
        <v>1067</v>
      </c>
      <c r="F20" s="5">
        <v>1089</v>
      </c>
      <c r="G20" s="1">
        <v>1121</v>
      </c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1" t="s">
        <v>12</v>
      </c>
      <c r="B21" s="1" t="s">
        <v>51</v>
      </c>
      <c r="C21" s="1">
        <v>100</v>
      </c>
      <c r="D21" s="1">
        <v>125</v>
      </c>
      <c r="E21" s="1">
        <v>145</v>
      </c>
      <c r="F21" s="1">
        <v>175</v>
      </c>
      <c r="G21" s="1">
        <v>200</v>
      </c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1" t="s">
        <v>20</v>
      </c>
      <c r="B22" s="1" t="s">
        <v>52</v>
      </c>
      <c r="C22" s="1">
        <v>363</v>
      </c>
      <c r="D22" s="1">
        <v>386</v>
      </c>
      <c r="E22" s="1">
        <v>411</v>
      </c>
      <c r="F22" s="1">
        <v>423</v>
      </c>
      <c r="G22" s="1">
        <v>446</v>
      </c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1" t="s">
        <v>21</v>
      </c>
      <c r="B23" s="1" t="s">
        <v>53</v>
      </c>
      <c r="C23" s="1">
        <v>548</v>
      </c>
      <c r="D23" s="1">
        <v>572</v>
      </c>
      <c r="E23" s="1">
        <v>591</v>
      </c>
      <c r="F23" s="1">
        <v>619</v>
      </c>
      <c r="G23" s="1">
        <v>642</v>
      </c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1" t="s">
        <v>25</v>
      </c>
      <c r="B24" s="1" t="s">
        <v>54</v>
      </c>
      <c r="C24" s="1">
        <v>60</v>
      </c>
      <c r="D24" s="1">
        <v>70</v>
      </c>
      <c r="E24" s="1">
        <v>70</v>
      </c>
      <c r="F24" s="1">
        <v>80</v>
      </c>
      <c r="G24" s="1">
        <v>90</v>
      </c>
    </row>
    <row r="25" spans="1:18" x14ac:dyDescent="0.3">
      <c r="A25" s="1" t="s">
        <v>22</v>
      </c>
      <c r="B25" s="1" t="s">
        <v>55</v>
      </c>
      <c r="C25" s="1">
        <v>420</v>
      </c>
      <c r="D25" s="1">
        <v>420</v>
      </c>
      <c r="E25" s="1">
        <v>420</v>
      </c>
      <c r="F25" s="1">
        <v>420</v>
      </c>
      <c r="G25" s="1">
        <v>420</v>
      </c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1" t="s">
        <v>19</v>
      </c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1" t="s">
        <v>23</v>
      </c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1" t="s">
        <v>24</v>
      </c>
    </row>
    <row r="29" spans="1:18" x14ac:dyDescent="0.3">
      <c r="A29" s="1" t="s">
        <v>26</v>
      </c>
    </row>
    <row r="30" spans="1:18" x14ac:dyDescent="0.3">
      <c r="A30" s="1" t="s">
        <v>86</v>
      </c>
    </row>
    <row r="31" spans="1:18" x14ac:dyDescent="0.3">
      <c r="A31" s="1" t="s">
        <v>27</v>
      </c>
      <c r="C31" s="1">
        <v>700</v>
      </c>
      <c r="D31" s="1">
        <v>700</v>
      </c>
      <c r="E31" s="1">
        <v>700</v>
      </c>
      <c r="F31" s="1">
        <v>700</v>
      </c>
      <c r="G31" s="1">
        <v>700</v>
      </c>
    </row>
    <row r="32" spans="1:18" x14ac:dyDescent="0.3">
      <c r="A32" s="1" t="s">
        <v>28</v>
      </c>
      <c r="C32" s="1">
        <v>45</v>
      </c>
      <c r="D32" s="1">
        <v>45</v>
      </c>
      <c r="E32" s="1">
        <v>45</v>
      </c>
      <c r="F32" s="1">
        <v>45</v>
      </c>
      <c r="G32" s="1">
        <v>45</v>
      </c>
    </row>
    <row r="33" spans="1:7" x14ac:dyDescent="0.3">
      <c r="A33" s="1" t="s">
        <v>29</v>
      </c>
      <c r="C33" s="1">
        <v>50</v>
      </c>
      <c r="D33" s="1">
        <v>50</v>
      </c>
      <c r="E33" s="1">
        <v>50</v>
      </c>
      <c r="F33" s="1">
        <v>50</v>
      </c>
      <c r="G33" s="1">
        <v>50</v>
      </c>
    </row>
    <row r="34" spans="1:7" x14ac:dyDescent="0.3">
      <c r="A34" s="1" t="s">
        <v>30</v>
      </c>
      <c r="C34" s="1">
        <f>C36</f>
        <v>160</v>
      </c>
      <c r="D34" s="1">
        <f>AVERAGE(D36,C37)</f>
        <v>166.25</v>
      </c>
      <c r="E34" s="1">
        <f t="shared" ref="E34:F34" si="0">AVERAGE(E36,D37)</f>
        <v>175</v>
      </c>
      <c r="F34" s="1">
        <f t="shared" si="0"/>
        <v>183.75</v>
      </c>
      <c r="G34" s="1">
        <f>AVERAGE(G36,F37)</f>
        <v>191.25</v>
      </c>
    </row>
    <row r="35" spans="1:7" x14ac:dyDescent="0.3">
      <c r="A35" s="1" t="s">
        <v>31</v>
      </c>
      <c r="C35" s="1">
        <f>D34</f>
        <v>166.25</v>
      </c>
      <c r="D35" s="1">
        <f t="shared" ref="D35:E35" si="1">E34</f>
        <v>175</v>
      </c>
      <c r="E35" s="1">
        <f t="shared" si="1"/>
        <v>183.75</v>
      </c>
      <c r="F35" s="1">
        <f>G34</f>
        <v>191.25</v>
      </c>
      <c r="G35" s="1">
        <f t="shared" ref="G35" si="2">G37</f>
        <v>200</v>
      </c>
    </row>
    <row r="36" spans="1:7" x14ac:dyDescent="0.3">
      <c r="C36" s="1">
        <v>160</v>
      </c>
      <c r="D36" s="1">
        <v>165</v>
      </c>
      <c r="E36" s="1">
        <v>172.5</v>
      </c>
      <c r="F36" s="1">
        <v>182.5</v>
      </c>
      <c r="G36" s="1">
        <v>190</v>
      </c>
    </row>
    <row r="37" spans="1:7" x14ac:dyDescent="0.3">
      <c r="C37" s="1">
        <v>167.5</v>
      </c>
      <c r="D37" s="1">
        <v>177.5</v>
      </c>
      <c r="E37" s="1">
        <v>185</v>
      </c>
      <c r="F37" s="1">
        <v>192.5</v>
      </c>
      <c r="G37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Mondraker Arid Carbon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2025-07-23T00:46:27Z</dcterms:modified>
</cp:coreProperties>
</file>