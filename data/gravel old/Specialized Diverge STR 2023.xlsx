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DC152167-562A-C940-B1F4-93F3D3439D86}" xr6:coauthVersionLast="47" xr6:coauthVersionMax="47" xr10:uidLastSave="{00000000-0000-0000-0000-000000000000}"/>
  <bookViews>
    <workbookView xWindow="0" yWindow="500" windowWidth="28800" windowHeight="17500" xr2:uid="{AE0F04AA-80E5-8247-9791-D6B95FAD9AB5}"/>
  </bookViews>
  <sheets>
    <sheet name="Specialized Diverge STR 20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1" l="1"/>
  <c r="E36" i="1"/>
  <c r="D37" i="1" s="1"/>
  <c r="F36" i="1"/>
  <c r="E37" i="1" s="1"/>
  <c r="G36" i="1"/>
  <c r="F37" i="1" s="1"/>
  <c r="H36" i="1"/>
  <c r="G37" i="1" s="1"/>
  <c r="D36" i="1"/>
  <c r="C37" i="1" s="1"/>
  <c r="C36" i="1"/>
</calcChain>
</file>

<file path=xl/sharedStrings.xml><?xml version="1.0" encoding="utf-8"?>
<sst xmlns="http://schemas.openxmlformats.org/spreadsheetml/2006/main" count="107" uniqueCount="99">
  <si>
    <t>brand</t>
  </si>
  <si>
    <t>model</t>
  </si>
  <si>
    <t>model year</t>
  </si>
  <si>
    <t>input date</t>
  </si>
  <si>
    <t>URL</t>
  </si>
  <si>
    <t>material</t>
  </si>
  <si>
    <t>carbon</t>
  </si>
  <si>
    <t>measure range</t>
  </si>
  <si>
    <t>frame_size</t>
  </si>
  <si>
    <t>seat_tube_length</t>
  </si>
  <si>
    <t>top_tube_effective_length</t>
  </si>
  <si>
    <t>head_tube_length</t>
  </si>
  <si>
    <t>chainstay_length</t>
  </si>
  <si>
    <t>bottom_bracket_drop</t>
  </si>
  <si>
    <t>wheelbase</t>
  </si>
  <si>
    <t>head_tube_angle</t>
  </si>
  <si>
    <t>seat_tube_angle</t>
  </si>
  <si>
    <t>fork_offset_rake</t>
  </si>
  <si>
    <t>standover</t>
  </si>
  <si>
    <t>reach</t>
  </si>
  <si>
    <t>stack</t>
  </si>
  <si>
    <t>axle_crown</t>
  </si>
  <si>
    <t>trail</t>
  </si>
  <si>
    <t>handlebar_width</t>
  </si>
  <si>
    <t>stem_length</t>
  </si>
  <si>
    <t>crank_length</t>
  </si>
  <si>
    <t>wheel_size</t>
  </si>
  <si>
    <t>tire_width_spec</t>
  </si>
  <si>
    <t>tire_width_max</t>
  </si>
  <si>
    <t>rider_min</t>
  </si>
  <si>
    <t>rider_max</t>
  </si>
  <si>
    <t>Crank Length</t>
  </si>
  <si>
    <t>Handlebar Width</t>
  </si>
  <si>
    <t>Stem Length</t>
  </si>
  <si>
    <t>Saddle Width</t>
  </si>
  <si>
    <t>Seatpost Length</t>
  </si>
  <si>
    <t>Stack</t>
  </si>
  <si>
    <t>Reach</t>
  </si>
  <si>
    <t>Head Tube Length</t>
  </si>
  <si>
    <t>Head Tube Angle</t>
  </si>
  <si>
    <t>BB Height</t>
  </si>
  <si>
    <t>BB Drop</t>
  </si>
  <si>
    <t>Trail</t>
  </si>
  <si>
    <t>Fork Length, Full</t>
  </si>
  <si>
    <t>Fork Rake/Offset</t>
  </si>
  <si>
    <t>Front Center</t>
  </si>
  <si>
    <t>Chainstay Length</t>
  </si>
  <si>
    <t>Wheelbase</t>
  </si>
  <si>
    <t>Top Tube Length, Horizontal</t>
  </si>
  <si>
    <t>Bike Standover Height</t>
  </si>
  <si>
    <t>Seat Tube Length</t>
  </si>
  <si>
    <t>Seat Tube Angle</t>
  </si>
  <si>
    <t>Specialized</t>
  </si>
  <si>
    <t>front_center</t>
  </si>
  <si>
    <t>saddle_width</t>
  </si>
  <si>
    <t>seatpost_length</t>
  </si>
  <si>
    <t>bb_height</t>
  </si>
  <si>
    <t>Diverge STR</t>
  </si>
  <si>
    <t>https://www.specialized.com/us/en/diverge-str-pro/p/200577?color=335116-200577</t>
  </si>
  <si>
    <t>no</t>
  </si>
  <si>
    <t>udh</t>
  </si>
  <si>
    <t>dropout</t>
  </si>
  <si>
    <t>700c width max</t>
  </si>
  <si>
    <t>650B tire max</t>
  </si>
  <si>
    <t>suspension corrected</t>
  </si>
  <si>
    <t>fork suspension</t>
  </si>
  <si>
    <t>stem suspension</t>
  </si>
  <si>
    <t>rear suspension</t>
  </si>
  <si>
    <t>rear axle</t>
  </si>
  <si>
    <t>front axle</t>
  </si>
  <si>
    <t>q-factor</t>
  </si>
  <si>
    <t>seatpost diameter</t>
  </si>
  <si>
    <t>routing shifter</t>
  </si>
  <si>
    <t>routing dropper</t>
  </si>
  <si>
    <t>routing dynamo</t>
  </si>
  <si>
    <t>front derailleur</t>
  </si>
  <si>
    <t>chainring 1</t>
  </si>
  <si>
    <t>chainring 2</t>
  </si>
  <si>
    <t>bottom bracket</t>
  </si>
  <si>
    <t>mounts inner</t>
  </si>
  <si>
    <t>mounts under</t>
  </si>
  <si>
    <t>mounts top</t>
  </si>
  <si>
    <t>mounts fork</t>
  </si>
  <si>
    <t>mounts fender rear</t>
  </si>
  <si>
    <t>mounts fender front</t>
  </si>
  <si>
    <t>mounts rack</t>
  </si>
  <si>
    <t>ISO ASTM</t>
  </si>
  <si>
    <t>rotor max front</t>
  </si>
  <si>
    <t>rotor max rear</t>
  </si>
  <si>
    <t>frameset</t>
  </si>
  <si>
    <t>base build</t>
  </si>
  <si>
    <t>currency</t>
  </si>
  <si>
    <t>internal storage</t>
  </si>
  <si>
    <t>a10:h37</t>
  </si>
  <si>
    <t>yes</t>
  </si>
  <si>
    <t>integrated</t>
  </si>
  <si>
    <t>fork</t>
  </si>
  <si>
    <t>us</t>
  </si>
  <si>
    <t>threaded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</si>
</sst>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sz val="14"/>
      <color theme="1"/>
      <name val="Futura Medium"/>
    </font>
    <font>
      <sz val="14"/>
      <color rgb="FF333333"/>
      <name val="Futura Medium"/>
    </font>
    <font>
      <sz val="16"/>
      <color rgb="FF000000"/>
      <name val="Arial"/>
      <family val="2"/>
    </font>
    <font>
      <sz val="21"/>
      <color rgb="FF003764"/>
      <name val="Arial"/>
      <family val="2"/>
    </font>
    <font>
      <b/>
      <sz val="18"/>
      <color rgb="FF1D1D1D"/>
      <name val="Arial Black"/>
      <family val="2"/>
    </font>
    <font>
      <sz val="16"/>
      <color rgb="FF1D1D1D"/>
      <name val="Helvetica Neue"/>
      <family val="2"/>
    </font>
    <font>
      <b/>
      <sz val="12"/>
      <color rgb="FF1D1D1D"/>
      <name val="Arial Black"/>
      <family val="2"/>
    </font>
    <font>
      <sz val="12"/>
      <color rgb="FF1D1D1D"/>
      <name val="Helvetica Neue"/>
      <family val="2"/>
    </font>
    <font>
      <sz val="14"/>
      <name val="Futura Medium"/>
    </font>
    <font>
      <b/>
      <sz val="12"/>
      <color rgb="FF252525"/>
      <name val="Helvetica"/>
      <family val="2"/>
    </font>
    <font>
      <sz val="12"/>
      <color rgb="FF252525"/>
      <name val="Helvetica"/>
      <family val="2"/>
    </font>
    <font>
      <sz val="14"/>
      <color rgb="FF000000"/>
      <name val="Futura Medium"/>
    </font>
    <font>
      <b/>
      <sz val="14"/>
      <color rgb="FF252525"/>
      <name val="Futura Medium"/>
    </font>
    <font>
      <sz val="14"/>
      <color rgb="FF252525"/>
      <name val="Futura Medium"/>
    </font>
    <font>
      <sz val="14"/>
      <color theme="1"/>
      <name val="Futura"/>
      <family val="2"/>
    </font>
    <font>
      <sz val="14"/>
      <color rgb="FF000000"/>
      <name val="Futura Medium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" fontId="9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/>
    <xf numFmtId="0" fontId="1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15</xdr:row>
      <xdr:rowOff>0</xdr:rowOff>
    </xdr:from>
    <xdr:to>
      <xdr:col>10</xdr:col>
      <xdr:colOff>304800</xdr:colOff>
      <xdr:row>16</xdr:row>
      <xdr:rowOff>50800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A9806B01-3305-7492-9366-C1DE2DF3E7E7}"/>
            </a:ext>
          </a:extLst>
        </xdr:cNvPr>
        <xdr:cNvSpPr>
          <a:spLocks noChangeAspect="1" noChangeArrowheads="1"/>
        </xdr:cNvSpPr>
      </xdr:nvSpPr>
      <xdr:spPr bwMode="auto">
        <a:xfrm>
          <a:off x="1135380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304800</xdr:colOff>
      <xdr:row>20</xdr:row>
      <xdr:rowOff>50800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AD1E69C1-6629-2ADF-72BF-C1EDA2F9D993}"/>
            </a:ext>
          </a:extLst>
        </xdr:cNvPr>
        <xdr:cNvSpPr>
          <a:spLocks noChangeAspect="1" noChangeArrowheads="1"/>
        </xdr:cNvSpPr>
      </xdr:nvSpPr>
      <xdr:spPr bwMode="auto">
        <a:xfrm>
          <a:off x="12192000" y="49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1562100</xdr:colOff>
      <xdr:row>40</xdr:row>
      <xdr:rowOff>76200</xdr:rowOff>
    </xdr:from>
    <xdr:to>
      <xdr:col>13</xdr:col>
      <xdr:colOff>88900</xdr:colOff>
      <xdr:row>65</xdr:row>
      <xdr:rowOff>114300</xdr:rowOff>
    </xdr:to>
    <xdr:pic>
      <xdr:nvPicPr>
        <xdr:cNvPr id="3" name="Picture 2" descr="Geometry">
          <a:extLst>
            <a:ext uri="{FF2B5EF4-FFF2-40B4-BE49-F238E27FC236}">
              <a16:creationId xmlns:a16="http://schemas.microsoft.com/office/drawing/2014/main" id="{0A5C721E-6A00-833F-E966-020B24053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7300" y="10071100"/>
          <a:ext cx="11137900" cy="683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532297</xdr:colOff>
      <xdr:row>14</xdr:row>
      <xdr:rowOff>76200</xdr:rowOff>
    </xdr:from>
    <xdr:to>
      <xdr:col>14</xdr:col>
      <xdr:colOff>330199</xdr:colOff>
      <xdr:row>75</xdr:row>
      <xdr:rowOff>50800</xdr:rowOff>
    </xdr:to>
    <xdr:pic>
      <xdr:nvPicPr>
        <xdr:cNvPr id="4" name="Picture 3" descr="Size Chart">
          <a:extLst>
            <a:ext uri="{FF2B5EF4-FFF2-40B4-BE49-F238E27FC236}">
              <a16:creationId xmlns:a16="http://schemas.microsoft.com/office/drawing/2014/main" id="{C61362CB-812D-2D71-B160-E331E7C1E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2397" y="3632200"/>
          <a:ext cx="5068402" cy="1604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AF885-3999-4E4F-8F92-5857EF0F7F08}">
  <dimension ref="A1:AH45"/>
  <sheetViews>
    <sheetView tabSelected="1" topLeftCell="E1" workbookViewId="0">
      <selection activeCell="T7" sqref="T7"/>
    </sheetView>
  </sheetViews>
  <sheetFormatPr baseColWidth="10" defaultRowHeight="20" x14ac:dyDescent="0.3"/>
  <cols>
    <col min="1" max="1" width="29.33203125" style="1" bestFit="1" customWidth="1"/>
    <col min="2" max="2" width="31.83203125" style="1" customWidth="1"/>
    <col min="3" max="5" width="11" style="1" bestFit="1" customWidth="1"/>
    <col min="6" max="9" width="14.1640625" style="1" customWidth="1"/>
    <col min="10" max="24" width="11" style="1" bestFit="1" customWidth="1"/>
    <col min="25" max="16384" width="10.83203125" style="1"/>
  </cols>
  <sheetData>
    <row r="1" spans="1:34" x14ac:dyDescent="0.3">
      <c r="A1" s="1" t="s">
        <v>0</v>
      </c>
      <c r="B1" s="1" t="s">
        <v>52</v>
      </c>
    </row>
    <row r="2" spans="1:34" x14ac:dyDescent="0.3">
      <c r="A2" s="1" t="s">
        <v>1</v>
      </c>
      <c r="B2" s="1" t="s">
        <v>57</v>
      </c>
    </row>
    <row r="3" spans="1:34" x14ac:dyDescent="0.3">
      <c r="A3" s="1" t="s">
        <v>2</v>
      </c>
      <c r="B3" s="1">
        <v>2023</v>
      </c>
    </row>
    <row r="4" spans="1:34" x14ac:dyDescent="0.3">
      <c r="A4" s="1" t="s">
        <v>3</v>
      </c>
      <c r="B4" s="2">
        <v>45855</v>
      </c>
    </row>
    <row r="5" spans="1:34" x14ac:dyDescent="0.3">
      <c r="A5" s="1" t="s">
        <v>4</v>
      </c>
      <c r="B5" s="1" t="s">
        <v>58</v>
      </c>
    </row>
    <row r="6" spans="1:34" customFormat="1" ht="55" customHeight="1" x14ac:dyDescent="0.3">
      <c r="A6" s="17" t="s">
        <v>5</v>
      </c>
      <c r="B6" s="17" t="s">
        <v>60</v>
      </c>
      <c r="C6" s="17" t="s">
        <v>61</v>
      </c>
      <c r="D6" s="17" t="s">
        <v>62</v>
      </c>
      <c r="E6" s="17" t="s">
        <v>63</v>
      </c>
      <c r="F6" s="17" t="s">
        <v>64</v>
      </c>
      <c r="G6" s="17" t="s">
        <v>65</v>
      </c>
      <c r="H6" s="17" t="s">
        <v>66</v>
      </c>
      <c r="I6" s="17" t="s">
        <v>67</v>
      </c>
      <c r="J6" s="17" t="s">
        <v>68</v>
      </c>
      <c r="K6" s="17" t="s">
        <v>69</v>
      </c>
      <c r="L6" s="17" t="s">
        <v>70</v>
      </c>
      <c r="M6" s="17" t="s">
        <v>71</v>
      </c>
      <c r="N6" s="17" t="s">
        <v>72</v>
      </c>
      <c r="O6" s="17" t="s">
        <v>73</v>
      </c>
      <c r="P6" s="17" t="s">
        <v>74</v>
      </c>
      <c r="Q6" s="17" t="s">
        <v>75</v>
      </c>
      <c r="R6" s="17" t="s">
        <v>76</v>
      </c>
      <c r="S6" s="17" t="s">
        <v>77</v>
      </c>
      <c r="T6" s="17" t="s">
        <v>78</v>
      </c>
      <c r="U6" s="17" t="s">
        <v>79</v>
      </c>
      <c r="V6" s="17" t="s">
        <v>80</v>
      </c>
      <c r="W6" s="17" t="s">
        <v>81</v>
      </c>
      <c r="X6" s="17" t="s">
        <v>82</v>
      </c>
      <c r="Y6" s="17" t="s">
        <v>83</v>
      </c>
      <c r="Z6" s="17" t="s">
        <v>84</v>
      </c>
      <c r="AA6" s="17" t="s">
        <v>85</v>
      </c>
      <c r="AB6" s="18" t="s">
        <v>86</v>
      </c>
      <c r="AC6" s="17" t="s">
        <v>87</v>
      </c>
      <c r="AD6" s="17" t="s">
        <v>88</v>
      </c>
      <c r="AE6" s="17" t="s">
        <v>89</v>
      </c>
      <c r="AF6" s="17" t="s">
        <v>90</v>
      </c>
      <c r="AG6" s="17" t="s">
        <v>91</v>
      </c>
      <c r="AH6" s="19" t="s">
        <v>92</v>
      </c>
    </row>
    <row r="7" spans="1:34" x14ac:dyDescent="0.3">
      <c r="A7" s="1" t="s">
        <v>6</v>
      </c>
      <c r="B7" s="1" t="s">
        <v>59</v>
      </c>
      <c r="D7" s="1">
        <v>47</v>
      </c>
      <c r="E7" s="1">
        <v>2.1</v>
      </c>
      <c r="G7" s="1" t="s">
        <v>95</v>
      </c>
      <c r="I7" s="1" t="s">
        <v>94</v>
      </c>
      <c r="Q7" s="1" t="s">
        <v>59</v>
      </c>
      <c r="R7" s="1">
        <v>46</v>
      </c>
      <c r="T7" s="1" t="s">
        <v>98</v>
      </c>
      <c r="U7" s="1">
        <v>2</v>
      </c>
      <c r="V7" s="1">
        <v>1</v>
      </c>
      <c r="W7" s="1" t="s">
        <v>94</v>
      </c>
      <c r="X7" s="1" t="s">
        <v>94</v>
      </c>
      <c r="Y7" s="1" t="s">
        <v>59</v>
      </c>
      <c r="Z7" s="1" t="s">
        <v>59</v>
      </c>
      <c r="AA7" s="1" t="s">
        <v>96</v>
      </c>
      <c r="AF7" s="1">
        <v>4199</v>
      </c>
      <c r="AG7" s="1" t="s">
        <v>97</v>
      </c>
      <c r="AH7" s="1" t="s">
        <v>94</v>
      </c>
    </row>
    <row r="9" spans="1:34" x14ac:dyDescent="0.3">
      <c r="A9" s="1" t="s">
        <v>7</v>
      </c>
      <c r="B9" s="1" t="s">
        <v>93</v>
      </c>
    </row>
    <row r="10" spans="1:34" x14ac:dyDescent="0.3">
      <c r="A10" s="1" t="s">
        <v>8</v>
      </c>
      <c r="B10" s="1" t="s">
        <v>8</v>
      </c>
      <c r="C10" s="1">
        <v>49</v>
      </c>
      <c r="D10" s="15">
        <v>52</v>
      </c>
      <c r="E10" s="15">
        <v>54</v>
      </c>
      <c r="F10" s="15">
        <v>56</v>
      </c>
      <c r="G10" s="15">
        <v>58</v>
      </c>
      <c r="H10" s="15">
        <v>61</v>
      </c>
      <c r="J10" s="12"/>
      <c r="K10" s="12"/>
      <c r="L10" s="12"/>
      <c r="M10" s="12"/>
      <c r="N10" s="12"/>
      <c r="O10" s="12"/>
      <c r="P10"/>
      <c r="Q10" s="3"/>
    </row>
    <row r="11" spans="1:34" x14ac:dyDescent="0.3">
      <c r="A11" s="1" t="s">
        <v>25</v>
      </c>
      <c r="B11" s="16" t="s">
        <v>31</v>
      </c>
      <c r="C11" s="16">
        <v>165</v>
      </c>
      <c r="D11" s="16">
        <v>170</v>
      </c>
      <c r="E11" s="16">
        <v>172.5</v>
      </c>
      <c r="F11" s="16">
        <v>172.5</v>
      </c>
      <c r="G11" s="16">
        <v>175</v>
      </c>
      <c r="H11" s="16">
        <v>175</v>
      </c>
      <c r="J11" s="13"/>
      <c r="K11" s="13"/>
      <c r="L11" s="13"/>
      <c r="M11" s="13"/>
      <c r="N11" s="13"/>
      <c r="O11" s="13"/>
      <c r="P11" s="13"/>
      <c r="Q11" s="3"/>
    </row>
    <row r="12" spans="1:34" x14ac:dyDescent="0.3">
      <c r="A12" s="1" t="s">
        <v>23</v>
      </c>
      <c r="B12" s="16" t="s">
        <v>32</v>
      </c>
      <c r="C12" s="16">
        <v>380</v>
      </c>
      <c r="D12" s="16">
        <v>400</v>
      </c>
      <c r="E12" s="16">
        <v>420</v>
      </c>
      <c r="F12" s="16">
        <v>420</v>
      </c>
      <c r="G12" s="16">
        <v>440</v>
      </c>
      <c r="H12" s="16">
        <v>440</v>
      </c>
      <c r="J12" s="13"/>
      <c r="K12" s="13"/>
      <c r="L12" s="13"/>
      <c r="M12" s="13"/>
      <c r="N12" s="13"/>
      <c r="O12" s="13"/>
      <c r="P12" s="13"/>
      <c r="Q12" s="3"/>
    </row>
    <row r="13" spans="1:34" x14ac:dyDescent="0.3">
      <c r="A13" s="1" t="s">
        <v>24</v>
      </c>
      <c r="B13" s="16" t="s">
        <v>33</v>
      </c>
      <c r="C13" s="16">
        <v>60</v>
      </c>
      <c r="D13" s="16">
        <v>70</v>
      </c>
      <c r="E13" s="16">
        <v>80</v>
      </c>
      <c r="F13" s="16">
        <v>90</v>
      </c>
      <c r="G13" s="16">
        <v>100</v>
      </c>
      <c r="H13" s="16">
        <v>100</v>
      </c>
      <c r="J13" s="13"/>
      <c r="K13" s="13"/>
      <c r="L13" s="13"/>
      <c r="M13" s="13"/>
      <c r="N13" s="13"/>
      <c r="O13" s="13"/>
      <c r="P13" s="13"/>
      <c r="Q13" s="3"/>
    </row>
    <row r="14" spans="1:34" x14ac:dyDescent="0.3">
      <c r="A14" s="1" t="s">
        <v>54</v>
      </c>
      <c r="B14" s="16" t="s">
        <v>34</v>
      </c>
      <c r="C14" s="16">
        <v>155</v>
      </c>
      <c r="D14" s="16">
        <v>155</v>
      </c>
      <c r="E14" s="16">
        <v>143</v>
      </c>
      <c r="F14" s="16">
        <v>143</v>
      </c>
      <c r="G14" s="16">
        <v>143</v>
      </c>
      <c r="H14" s="16">
        <v>143</v>
      </c>
      <c r="J14" s="13"/>
      <c r="K14" s="13"/>
      <c r="L14" s="13"/>
      <c r="M14" s="13"/>
      <c r="N14" s="13"/>
      <c r="O14" s="13"/>
      <c r="P14" s="13"/>
      <c r="Q14" s="3"/>
    </row>
    <row r="15" spans="1:34" x14ac:dyDescent="0.3">
      <c r="A15" s="1" t="s">
        <v>55</v>
      </c>
      <c r="B15" s="16" t="s">
        <v>35</v>
      </c>
      <c r="C15" s="16">
        <v>350</v>
      </c>
      <c r="D15" s="16">
        <v>350</v>
      </c>
      <c r="E15" s="16">
        <v>350</v>
      </c>
      <c r="F15" s="16">
        <v>350</v>
      </c>
      <c r="G15" s="16">
        <v>350</v>
      </c>
      <c r="H15" s="16">
        <v>350</v>
      </c>
      <c r="J15" s="13"/>
      <c r="K15" s="13"/>
      <c r="L15" s="13"/>
      <c r="M15" s="13"/>
      <c r="N15" s="13"/>
      <c r="O15" s="13"/>
      <c r="P15" s="13"/>
      <c r="Q15" s="3"/>
    </row>
    <row r="16" spans="1:34" x14ac:dyDescent="0.3">
      <c r="A16" s="1" t="s">
        <v>56</v>
      </c>
      <c r="B16" s="16" t="s">
        <v>40</v>
      </c>
      <c r="C16" s="16">
        <v>270</v>
      </c>
      <c r="D16" s="16">
        <v>265</v>
      </c>
      <c r="E16" s="16">
        <v>265</v>
      </c>
      <c r="F16" s="16">
        <v>265</v>
      </c>
      <c r="G16" s="16">
        <v>265</v>
      </c>
      <c r="H16" s="16">
        <v>265</v>
      </c>
      <c r="J16" s="13"/>
      <c r="K16" s="13"/>
      <c r="L16" s="13"/>
      <c r="M16" s="13"/>
      <c r="N16" s="13"/>
      <c r="O16" s="13"/>
      <c r="P16" s="13"/>
      <c r="Q16" s="3"/>
    </row>
    <row r="17" spans="1:19" x14ac:dyDescent="0.3">
      <c r="A17" s="1" t="s">
        <v>16</v>
      </c>
      <c r="B17" s="16" t="s">
        <v>51</v>
      </c>
      <c r="C17" s="16">
        <v>74.5</v>
      </c>
      <c r="D17" s="16">
        <v>74.25</v>
      </c>
      <c r="E17" s="16">
        <v>74</v>
      </c>
      <c r="F17" s="16">
        <v>74</v>
      </c>
      <c r="G17" s="16">
        <v>74</v>
      </c>
      <c r="H17" s="16">
        <v>74</v>
      </c>
      <c r="J17" s="13"/>
      <c r="K17" s="13"/>
      <c r="L17" s="13"/>
      <c r="M17" s="13"/>
      <c r="N17" s="13"/>
      <c r="O17" s="13"/>
      <c r="P17" s="13"/>
      <c r="Q17" s="3"/>
    </row>
    <row r="18" spans="1:19" x14ac:dyDescent="0.3">
      <c r="A18" s="1" t="s">
        <v>21</v>
      </c>
      <c r="B18" s="16" t="s">
        <v>43</v>
      </c>
      <c r="C18" s="16">
        <v>390</v>
      </c>
      <c r="D18" s="16">
        <v>390</v>
      </c>
      <c r="E18" s="16">
        <v>390</v>
      </c>
      <c r="F18" s="16">
        <v>390</v>
      </c>
      <c r="G18" s="16">
        <v>390</v>
      </c>
      <c r="H18" s="16">
        <v>390</v>
      </c>
      <c r="J18" s="13"/>
      <c r="K18" s="13"/>
      <c r="L18" s="13"/>
      <c r="M18" s="13"/>
      <c r="N18" s="13"/>
      <c r="O18" s="13"/>
      <c r="P18" s="13"/>
      <c r="Q18" s="10"/>
      <c r="R18" s="10"/>
      <c r="S18" s="10"/>
    </row>
    <row r="19" spans="1:19" x14ac:dyDescent="0.3">
      <c r="A19" s="1" t="s">
        <v>19</v>
      </c>
      <c r="B19" s="16" t="s">
        <v>37</v>
      </c>
      <c r="C19" s="16">
        <v>365</v>
      </c>
      <c r="D19" s="16">
        <v>374</v>
      </c>
      <c r="E19" s="16">
        <v>383</v>
      </c>
      <c r="F19" s="16">
        <v>392</v>
      </c>
      <c r="G19" s="16">
        <v>401</v>
      </c>
      <c r="H19" s="16">
        <v>410</v>
      </c>
      <c r="J19" s="13"/>
      <c r="K19" s="13"/>
      <c r="L19" s="13"/>
      <c r="M19" s="13"/>
      <c r="N19" s="13"/>
      <c r="O19" s="13"/>
      <c r="P19" s="13"/>
      <c r="Q19" s="10"/>
      <c r="R19" s="10"/>
      <c r="S19" s="10"/>
    </row>
    <row r="20" spans="1:19" x14ac:dyDescent="0.3">
      <c r="A20" s="1" t="s">
        <v>9</v>
      </c>
      <c r="B20" s="16" t="s">
        <v>50</v>
      </c>
      <c r="C20" s="16">
        <v>390</v>
      </c>
      <c r="D20" s="16">
        <v>430</v>
      </c>
      <c r="E20" s="16">
        <v>470</v>
      </c>
      <c r="F20" s="16">
        <v>500</v>
      </c>
      <c r="G20" s="16">
        <v>530</v>
      </c>
      <c r="H20" s="16">
        <v>560</v>
      </c>
      <c r="J20" s="13"/>
      <c r="K20" s="13"/>
      <c r="L20" s="13"/>
      <c r="M20" s="13"/>
      <c r="N20" s="13"/>
      <c r="O20" s="13"/>
      <c r="P20" s="13"/>
      <c r="Q20" s="10"/>
      <c r="R20" s="10"/>
      <c r="S20" s="10"/>
    </row>
    <row r="21" spans="1:19" x14ac:dyDescent="0.3">
      <c r="A21" s="1" t="s">
        <v>20</v>
      </c>
      <c r="B21" s="16" t="s">
        <v>36</v>
      </c>
      <c r="C21" s="16">
        <v>569</v>
      </c>
      <c r="D21" s="16">
        <v>576</v>
      </c>
      <c r="E21" s="16">
        <v>593</v>
      </c>
      <c r="F21" s="16">
        <v>609</v>
      </c>
      <c r="G21" s="16">
        <v>633</v>
      </c>
      <c r="H21" s="16">
        <v>659</v>
      </c>
      <c r="J21" s="13"/>
      <c r="K21" s="13"/>
      <c r="L21" s="13"/>
      <c r="M21" s="13"/>
      <c r="N21" s="13"/>
      <c r="O21" s="13"/>
      <c r="P21" s="13"/>
      <c r="Q21" s="10"/>
      <c r="R21" s="10"/>
      <c r="S21" s="10"/>
    </row>
    <row r="22" spans="1:19" x14ac:dyDescent="0.3">
      <c r="A22" s="1" t="s">
        <v>14</v>
      </c>
      <c r="B22" s="16" t="s">
        <v>47</v>
      </c>
      <c r="C22" s="16">
        <v>1023</v>
      </c>
      <c r="D22" s="16">
        <v>1027</v>
      </c>
      <c r="E22" s="16">
        <v>1034</v>
      </c>
      <c r="F22" s="16">
        <v>1044</v>
      </c>
      <c r="G22" s="16">
        <v>1060</v>
      </c>
      <c r="H22" s="16">
        <v>1078</v>
      </c>
      <c r="J22" s="13"/>
      <c r="K22" s="13"/>
      <c r="L22" s="13"/>
      <c r="M22" s="13"/>
      <c r="N22" s="13"/>
      <c r="O22" s="13"/>
      <c r="P22" s="13"/>
      <c r="Q22" s="10"/>
      <c r="R22" s="10"/>
      <c r="S22" s="10"/>
    </row>
    <row r="23" spans="1:19" x14ac:dyDescent="0.3">
      <c r="A23" s="1" t="s">
        <v>10</v>
      </c>
      <c r="B23" s="16" t="s">
        <v>48</v>
      </c>
      <c r="C23" s="16">
        <v>527</v>
      </c>
      <c r="D23" s="16">
        <v>556</v>
      </c>
      <c r="E23" s="16">
        <v>570</v>
      </c>
      <c r="F23" s="16">
        <v>586</v>
      </c>
      <c r="G23" s="16">
        <v>602</v>
      </c>
      <c r="H23" s="16">
        <v>540</v>
      </c>
      <c r="J23" s="13"/>
      <c r="K23" s="13"/>
      <c r="L23" s="13"/>
      <c r="M23" s="13"/>
      <c r="N23" s="13"/>
      <c r="O23" s="13"/>
      <c r="P23" s="13"/>
      <c r="Q23" s="10"/>
      <c r="R23" s="10"/>
      <c r="S23" s="10"/>
    </row>
    <row r="24" spans="1:19" x14ac:dyDescent="0.3">
      <c r="A24" s="1" t="s">
        <v>22</v>
      </c>
      <c r="B24" s="16" t="s">
        <v>42</v>
      </c>
      <c r="C24" s="16">
        <v>69</v>
      </c>
      <c r="D24" s="16">
        <v>66</v>
      </c>
      <c r="E24" s="16">
        <v>61</v>
      </c>
      <c r="F24" s="16">
        <v>57</v>
      </c>
      <c r="G24" s="16">
        <v>57</v>
      </c>
      <c r="H24" s="16">
        <v>57</v>
      </c>
      <c r="J24" s="13"/>
      <c r="K24" s="13"/>
      <c r="L24" s="13"/>
      <c r="M24" s="13"/>
      <c r="N24" s="13"/>
      <c r="O24" s="13"/>
      <c r="P24" s="13"/>
      <c r="Q24" s="10"/>
      <c r="R24" s="10"/>
      <c r="S24" s="10"/>
    </row>
    <row r="25" spans="1:19" x14ac:dyDescent="0.3">
      <c r="A25" s="1" t="s">
        <v>18</v>
      </c>
      <c r="B25" s="16" t="s">
        <v>49</v>
      </c>
      <c r="C25" s="16">
        <v>704</v>
      </c>
      <c r="D25" s="16">
        <v>730</v>
      </c>
      <c r="E25" s="16">
        <v>753</v>
      </c>
      <c r="F25" s="16">
        <v>778</v>
      </c>
      <c r="G25" s="16">
        <v>804</v>
      </c>
      <c r="H25" s="16">
        <v>833</v>
      </c>
      <c r="J25" s="13"/>
      <c r="K25" s="13"/>
      <c r="L25" s="13"/>
      <c r="M25" s="13"/>
      <c r="N25" s="13"/>
      <c r="O25" s="13"/>
      <c r="P25" s="13"/>
      <c r="Q25" s="10"/>
      <c r="R25" s="10"/>
      <c r="S25" s="10"/>
    </row>
    <row r="26" spans="1:19" x14ac:dyDescent="0.3">
      <c r="A26" s="1" t="s">
        <v>15</v>
      </c>
      <c r="B26" s="16" t="s">
        <v>39</v>
      </c>
      <c r="C26" s="16">
        <v>70</v>
      </c>
      <c r="D26" s="16">
        <v>70.5</v>
      </c>
      <c r="E26" s="16">
        <v>71.25</v>
      </c>
      <c r="F26" s="16">
        <v>71.75</v>
      </c>
      <c r="G26" s="16">
        <v>71.75</v>
      </c>
      <c r="H26" s="16">
        <v>71.75</v>
      </c>
      <c r="J26" s="13"/>
      <c r="K26" s="13"/>
      <c r="L26" s="13"/>
      <c r="M26" s="13"/>
      <c r="N26" s="13"/>
      <c r="O26" s="13"/>
      <c r="P26" s="13"/>
      <c r="Q26" s="10"/>
      <c r="R26" s="10"/>
      <c r="S26" s="10"/>
    </row>
    <row r="27" spans="1:19" x14ac:dyDescent="0.3">
      <c r="A27" s="1" t="s">
        <v>17</v>
      </c>
      <c r="B27" s="16" t="s">
        <v>44</v>
      </c>
      <c r="C27" s="16">
        <v>55</v>
      </c>
      <c r="D27" s="16">
        <v>55</v>
      </c>
      <c r="E27" s="16">
        <v>55</v>
      </c>
      <c r="F27" s="16">
        <v>55</v>
      </c>
      <c r="G27" s="16">
        <v>55</v>
      </c>
      <c r="H27" s="16">
        <v>55</v>
      </c>
      <c r="J27" s="13"/>
      <c r="K27" s="13"/>
      <c r="L27" s="13"/>
      <c r="M27" s="13"/>
      <c r="N27" s="13"/>
      <c r="O27" s="13"/>
      <c r="P27" s="13"/>
      <c r="Q27" s="10"/>
      <c r="R27" s="10"/>
      <c r="S27" s="10"/>
    </row>
    <row r="28" spans="1:19" x14ac:dyDescent="0.3">
      <c r="A28" s="1" t="s">
        <v>11</v>
      </c>
      <c r="B28" s="16" t="s">
        <v>38</v>
      </c>
      <c r="C28" s="16">
        <v>100</v>
      </c>
      <c r="D28" s="16">
        <v>100</v>
      </c>
      <c r="E28" s="16">
        <v>115</v>
      </c>
      <c r="F28" s="16">
        <v>130</v>
      </c>
      <c r="G28" s="16">
        <v>155</v>
      </c>
      <c r="H28" s="16">
        <v>182</v>
      </c>
      <c r="J28" s="13"/>
      <c r="K28" s="13"/>
      <c r="L28" s="13"/>
      <c r="M28" s="13"/>
      <c r="N28" s="13"/>
      <c r="O28" s="13"/>
      <c r="P28" s="13"/>
      <c r="Q28" s="10"/>
      <c r="R28" s="10"/>
      <c r="S28" s="10"/>
    </row>
    <row r="29" spans="1:19" x14ac:dyDescent="0.3">
      <c r="A29" s="1" t="s">
        <v>13</v>
      </c>
      <c r="B29" s="16" t="s">
        <v>41</v>
      </c>
      <c r="C29" s="16">
        <v>80</v>
      </c>
      <c r="D29" s="16">
        <v>85</v>
      </c>
      <c r="E29" s="16">
        <v>85</v>
      </c>
      <c r="F29" s="16">
        <v>85</v>
      </c>
      <c r="G29" s="16">
        <v>85</v>
      </c>
      <c r="H29" s="16">
        <v>85</v>
      </c>
      <c r="J29" s="13"/>
      <c r="K29" s="13"/>
      <c r="L29" s="13"/>
      <c r="M29" s="13"/>
      <c r="N29" s="13"/>
      <c r="O29" s="13"/>
      <c r="P29" s="13"/>
      <c r="Q29" s="10"/>
      <c r="R29" s="10"/>
      <c r="S29" s="10"/>
    </row>
    <row r="30" spans="1:19" x14ac:dyDescent="0.3">
      <c r="A30" s="1" t="s">
        <v>53</v>
      </c>
      <c r="B30" s="16" t="s">
        <v>45</v>
      </c>
      <c r="C30" s="16">
        <v>607</v>
      </c>
      <c r="D30" s="16">
        <v>612</v>
      </c>
      <c r="E30" s="16">
        <v>619</v>
      </c>
      <c r="F30" s="16">
        <v>629</v>
      </c>
      <c r="G30" s="16">
        <v>645</v>
      </c>
      <c r="H30" s="16">
        <v>663</v>
      </c>
      <c r="J30" s="13"/>
      <c r="K30" s="13"/>
      <c r="L30" s="13"/>
      <c r="M30" s="13"/>
      <c r="N30" s="13"/>
      <c r="O30" s="13"/>
      <c r="P30" s="13"/>
      <c r="Q30" s="10"/>
      <c r="R30" s="10"/>
      <c r="S30" s="10"/>
    </row>
    <row r="31" spans="1:19" x14ac:dyDescent="0.3">
      <c r="A31" s="1" t="s">
        <v>12</v>
      </c>
      <c r="B31" s="16" t="s">
        <v>46</v>
      </c>
      <c r="C31" s="16">
        <v>429</v>
      </c>
      <c r="D31" s="16">
        <v>429</v>
      </c>
      <c r="E31" s="16">
        <v>429</v>
      </c>
      <c r="F31" s="16">
        <v>429</v>
      </c>
      <c r="G31" s="16">
        <v>429</v>
      </c>
      <c r="H31" s="16">
        <v>429</v>
      </c>
      <c r="J31" s="13"/>
      <c r="K31" s="13"/>
      <c r="L31" s="13"/>
      <c r="M31" s="13"/>
      <c r="N31" s="13"/>
      <c r="O31" s="13"/>
      <c r="P31" s="13"/>
      <c r="Q31" s="10"/>
      <c r="R31" s="10"/>
      <c r="S31" s="10"/>
    </row>
    <row r="32" spans="1:19" x14ac:dyDescent="0.3">
      <c r="A32" s="1" t="s">
        <v>8</v>
      </c>
      <c r="B32" s="16"/>
      <c r="C32" s="16"/>
      <c r="D32" s="16"/>
      <c r="E32" s="16"/>
      <c r="F32" s="16"/>
      <c r="G32" s="16"/>
      <c r="H32" s="16"/>
      <c r="I32"/>
      <c r="J32"/>
      <c r="K32"/>
      <c r="L32"/>
      <c r="M32"/>
      <c r="N32"/>
      <c r="O32"/>
      <c r="P32"/>
      <c r="Q32" s="10"/>
      <c r="R32" s="10"/>
      <c r="S32" s="10"/>
    </row>
    <row r="33" spans="1:19" x14ac:dyDescent="0.3">
      <c r="A33" s="1" t="s">
        <v>26</v>
      </c>
      <c r="B33" s="14"/>
      <c r="C33" s="1">
        <v>700</v>
      </c>
      <c r="D33" s="1">
        <v>700</v>
      </c>
      <c r="E33" s="1">
        <v>700</v>
      </c>
      <c r="F33" s="1">
        <v>700</v>
      </c>
      <c r="G33" s="1">
        <v>700</v>
      </c>
      <c r="H33" s="1">
        <v>700</v>
      </c>
      <c r="J33"/>
      <c r="K33" s="11"/>
      <c r="L33" s="11"/>
      <c r="M33" s="11"/>
      <c r="N33" s="10"/>
      <c r="O33" s="10"/>
      <c r="P33" s="10"/>
      <c r="Q33" s="10"/>
      <c r="R33" s="10"/>
      <c r="S33" s="10"/>
    </row>
    <row r="34" spans="1:19" x14ac:dyDescent="0.3">
      <c r="A34" s="1" t="s">
        <v>27</v>
      </c>
      <c r="B34" s="14"/>
      <c r="C34" s="1">
        <v>42</v>
      </c>
      <c r="D34" s="1">
        <v>42</v>
      </c>
      <c r="E34" s="1">
        <v>42</v>
      </c>
      <c r="F34" s="1">
        <v>42</v>
      </c>
      <c r="G34" s="1">
        <v>42</v>
      </c>
      <c r="H34" s="1">
        <v>42</v>
      </c>
      <c r="J34" s="11"/>
      <c r="K34" s="11"/>
      <c r="L34" s="11"/>
      <c r="M34" s="11"/>
      <c r="N34" s="10"/>
      <c r="O34" s="10"/>
      <c r="P34" s="10"/>
      <c r="Q34" s="10"/>
      <c r="R34" s="10"/>
      <c r="S34" s="10"/>
    </row>
    <row r="35" spans="1:19" x14ac:dyDescent="0.3">
      <c r="A35" s="1" t="s">
        <v>28</v>
      </c>
      <c r="B35" s="14"/>
      <c r="C35" s="14">
        <v>47</v>
      </c>
      <c r="D35" s="14">
        <v>47</v>
      </c>
      <c r="E35" s="14">
        <v>47</v>
      </c>
      <c r="F35" s="14">
        <v>47</v>
      </c>
      <c r="G35" s="14">
        <v>47</v>
      </c>
      <c r="H35" s="14">
        <v>47</v>
      </c>
      <c r="J35" s="11"/>
      <c r="K35" s="11"/>
      <c r="L35" s="11"/>
      <c r="M35" s="11"/>
      <c r="N35" s="10"/>
      <c r="O35" s="10"/>
      <c r="P35" s="10"/>
      <c r="Q35" s="10"/>
      <c r="R35" s="10"/>
      <c r="S35" s="10"/>
    </row>
    <row r="36" spans="1:19" x14ac:dyDescent="0.3">
      <c r="A36" s="1" t="s">
        <v>29</v>
      </c>
      <c r="C36" s="1">
        <f>C38</f>
        <v>152</v>
      </c>
      <c r="D36" s="1">
        <f>AVERAGE(D38,C39)</f>
        <v>163</v>
      </c>
      <c r="E36" s="1">
        <f t="shared" ref="E36:H36" si="0">AVERAGE(E38,D39)</f>
        <v>170</v>
      </c>
      <c r="F36" s="1">
        <f t="shared" si="0"/>
        <v>176.5</v>
      </c>
      <c r="G36" s="1">
        <f t="shared" si="0"/>
        <v>180</v>
      </c>
      <c r="H36" s="1">
        <f t="shared" si="0"/>
        <v>188</v>
      </c>
      <c r="J36" s="10"/>
      <c r="K36" s="10"/>
      <c r="L36" s="10"/>
      <c r="M36" s="10"/>
      <c r="N36" s="10"/>
      <c r="O36" s="10"/>
      <c r="P36" s="10"/>
      <c r="Q36" s="10"/>
      <c r="R36" s="10"/>
      <c r="S36" s="10"/>
    </row>
    <row r="37" spans="1:19" x14ac:dyDescent="0.3">
      <c r="A37" s="1" t="s">
        <v>30</v>
      </c>
      <c r="C37" s="1">
        <f>D36</f>
        <v>163</v>
      </c>
      <c r="D37" s="1">
        <f t="shared" ref="D37:G37" si="1">E36</f>
        <v>170</v>
      </c>
      <c r="E37" s="1">
        <f t="shared" si="1"/>
        <v>176.5</v>
      </c>
      <c r="F37" s="1">
        <f t="shared" si="1"/>
        <v>180</v>
      </c>
      <c r="G37" s="1">
        <f t="shared" si="1"/>
        <v>188</v>
      </c>
      <c r="H37" s="1">
        <f>H39</f>
        <v>196</v>
      </c>
      <c r="J37" s="10"/>
      <c r="K37" s="10"/>
      <c r="L37" s="10"/>
      <c r="M37" s="10"/>
      <c r="N37" s="10"/>
      <c r="O37" s="10"/>
      <c r="P37" s="10"/>
      <c r="Q37" s="10"/>
      <c r="R37" s="10"/>
      <c r="S37" s="10"/>
    </row>
    <row r="38" spans="1:19" x14ac:dyDescent="0.3">
      <c r="C38" s="14">
        <v>152</v>
      </c>
      <c r="D38" s="14">
        <v>163</v>
      </c>
      <c r="E38" s="14">
        <v>170</v>
      </c>
      <c r="F38" s="14">
        <v>175</v>
      </c>
      <c r="G38" s="14">
        <v>180</v>
      </c>
      <c r="H38" s="14">
        <v>188</v>
      </c>
    </row>
    <row r="39" spans="1:19" x14ac:dyDescent="0.3">
      <c r="C39" s="1">
        <v>163</v>
      </c>
      <c r="D39" s="1">
        <v>170</v>
      </c>
      <c r="E39" s="1">
        <v>178</v>
      </c>
      <c r="F39" s="1">
        <v>180</v>
      </c>
      <c r="G39" s="1">
        <v>188</v>
      </c>
      <c r="H39" s="1">
        <v>196</v>
      </c>
    </row>
    <row r="40" spans="1:19" ht="30" x14ac:dyDescent="0.45">
      <c r="B40" s="5"/>
      <c r="K40" s="6"/>
      <c r="L40"/>
      <c r="M40"/>
      <c r="N40"/>
      <c r="O40"/>
      <c r="P40"/>
    </row>
    <row r="41" spans="1:19" ht="27" x14ac:dyDescent="0.3">
      <c r="B41" s="5"/>
      <c r="K41" s="7"/>
      <c r="L41"/>
      <c r="M41"/>
      <c r="N41"/>
      <c r="O41"/>
      <c r="P41"/>
    </row>
    <row r="42" spans="1:19" ht="27" x14ac:dyDescent="0.3">
      <c r="B42" s="5"/>
      <c r="K42" s="8"/>
      <c r="L42" s="8"/>
      <c r="M42" s="8"/>
      <c r="N42" s="8"/>
      <c r="O42" s="8"/>
      <c r="P42" s="8"/>
    </row>
    <row r="43" spans="1:19" ht="27" x14ac:dyDescent="0.3">
      <c r="B43" s="5"/>
      <c r="C43" s="4"/>
      <c r="D43" s="4"/>
      <c r="E43" s="4"/>
      <c r="F43" s="4"/>
      <c r="G43" s="4"/>
      <c r="K43" s="8"/>
      <c r="L43" s="9"/>
      <c r="M43" s="9"/>
      <c r="N43" s="9"/>
      <c r="O43" s="9"/>
      <c r="P43" s="9"/>
    </row>
    <row r="44" spans="1:19" ht="27" x14ac:dyDescent="0.3">
      <c r="B44" s="5"/>
      <c r="C44" s="4"/>
      <c r="D44" s="4"/>
      <c r="E44" s="4"/>
      <c r="F44" s="4"/>
      <c r="G44" s="4"/>
      <c r="K44" s="8"/>
      <c r="L44" s="9"/>
      <c r="M44" s="9"/>
      <c r="N44" s="9"/>
      <c r="O44" s="9"/>
      <c r="P44" s="9"/>
    </row>
    <row r="45" spans="1:19" ht="27" x14ac:dyDescent="0.3">
      <c r="B45" s="5"/>
      <c r="K45" s="8"/>
      <c r="L45" s="9"/>
      <c r="M45" s="9"/>
      <c r="N45" s="9"/>
      <c r="O45" s="9"/>
      <c r="P45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Specialized Diverge STR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A Walker</dc:creator>
  <cp:lastModifiedBy>Jeffrey A Walker</cp:lastModifiedBy>
  <dcterms:created xsi:type="dcterms:W3CDTF">2025-07-15T14:07:03Z</dcterms:created>
  <dcterms:modified xsi:type="dcterms:W3CDTF">2025-07-23T00:51:16Z</dcterms:modified>
</cp:coreProperties>
</file>