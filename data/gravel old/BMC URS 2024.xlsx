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FFC20EE-A902-674F-BE4A-D5665BD7FFBE}" xr6:coauthVersionLast="47" xr6:coauthVersionMax="47" xr10:uidLastSave="{00000000-0000-0000-0000-000000000000}"/>
  <bookViews>
    <workbookView xWindow="0" yWindow="860" windowWidth="28040" windowHeight="14560" xr2:uid="{AE0F04AA-80E5-8247-9791-D6B95FAD9AB5}"/>
  </bookViews>
  <sheets>
    <sheet name="BMC URS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D39" i="1" s="1"/>
  <c r="F38" i="1"/>
  <c r="E39" i="1" s="1"/>
  <c r="G38" i="1"/>
  <c r="F39" i="1" s="1"/>
  <c r="D38" i="1"/>
  <c r="C39" i="1" s="1"/>
  <c r="G39" i="1"/>
  <c r="C38" i="1"/>
</calcChain>
</file>

<file path=xl/sharedStrings.xml><?xml version="1.0" encoding="utf-8"?>
<sst xmlns="http://schemas.openxmlformats.org/spreadsheetml/2006/main" count="155" uniqueCount="140">
  <si>
    <t>brand</t>
  </si>
  <si>
    <t>model</t>
  </si>
  <si>
    <t>model year</t>
  </si>
  <si>
    <t>input date</t>
  </si>
  <si>
    <t>URL</t>
  </si>
  <si>
    <t>material</t>
  </si>
  <si>
    <t>carbon</t>
  </si>
  <si>
    <t>yes</t>
  </si>
  <si>
    <t>measure range</t>
  </si>
  <si>
    <t>frame_size</t>
  </si>
  <si>
    <t>seat_tube_length</t>
  </si>
  <si>
    <t>top_tube_effective_length</t>
  </si>
  <si>
    <t>head_tube_length</t>
  </si>
  <si>
    <t>chainstay_length</t>
  </si>
  <si>
    <t>bottom_bracket_drop</t>
  </si>
  <si>
    <t>wheelbase</t>
  </si>
  <si>
    <t>head_tube_angle</t>
  </si>
  <si>
    <t>seat_tube_angle</t>
  </si>
  <si>
    <t>fork_offset_rake</t>
  </si>
  <si>
    <t>standover</t>
  </si>
  <si>
    <t>reach</t>
  </si>
  <si>
    <t>stack</t>
  </si>
  <si>
    <t>axle_crown</t>
  </si>
  <si>
    <t>trail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</si>
  <si>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</si>
  <si>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</si>
  <si>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</si>
  <si>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</si>
  <si>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</si>
  <si>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</si>
  <si>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</si>
  <si>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</si>
  <si>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L</t>
  </si>
  <si>
    <t>front_center</t>
  </si>
  <si>
    <t>Size</t>
  </si>
  <si>
    <t>XS</t>
  </si>
  <si>
    <t>S</t>
  </si>
  <si>
    <t>M</t>
  </si>
  <si>
    <t>XL</t>
  </si>
  <si>
    <t>Rider Height</t>
  </si>
  <si>
    <t>&lt;167</t>
  </si>
  <si>
    <t>165-170</t>
  </si>
  <si>
    <t>168-178</t>
  </si>
  <si>
    <t>176-188</t>
  </si>
  <si>
    <t>&gt;188</t>
  </si>
  <si>
    <t>Reach</t>
  </si>
  <si>
    <t>Stack</t>
  </si>
  <si>
    <t>Bar Drop</t>
  </si>
  <si>
    <t>Bar Reach</t>
  </si>
  <si>
    <t>Bar Width</t>
  </si>
  <si>
    <t>390/459</t>
  </si>
  <si>
    <t>410/479</t>
  </si>
  <si>
    <t>430/499</t>
  </si>
  <si>
    <t>BB Drop</t>
  </si>
  <si>
    <t>Crank Length</t>
  </si>
  <si>
    <t>Fork Length</t>
  </si>
  <si>
    <t>Fork Rake</t>
  </si>
  <si>
    <t>Front Center</t>
  </si>
  <si>
    <t>Head Tube</t>
  </si>
  <si>
    <t>Head Tube Angle</t>
  </si>
  <si>
    <t>Rear Center</t>
  </si>
  <si>
    <t>Seat Angle</t>
  </si>
  <si>
    <t>Seat Tube</t>
  </si>
  <si>
    <t>Seatpost Length</t>
  </si>
  <si>
    <t>Seatpost Offset</t>
  </si>
  <si>
    <t>Standover Height</t>
  </si>
  <si>
    <t>Stem Angle</t>
  </si>
  <si>
    <t>Stem Length</t>
  </si>
  <si>
    <t>Top Tube</t>
  </si>
  <si>
    <t>Trail</t>
  </si>
  <si>
    <t>Wheelbase</t>
  </si>
  <si>
    <t>Stack MM</t>
  </si>
  <si>
    <t>Reach MM (reach)</t>
  </si>
  <si>
    <t>Seat Tube MM (st)</t>
  </si>
  <si>
    <t>Top Tube MM (tt)</t>
  </si>
  <si>
    <t>Head Tube MM (ht)</t>
  </si>
  <si>
    <t>Seat Tube Angle (sa)</t>
  </si>
  <si>
    <t>Head Angle (ha)</t>
  </si>
  <si>
    <t>Rear Center MM (rc)</t>
  </si>
  <si>
    <t>Front Center MM (fc)</t>
  </si>
  <si>
    <t>Wheelbase MM (wb)</t>
  </si>
  <si>
    <t>BB Drop MM (drop)</t>
  </si>
  <si>
    <t>Fork Length MM (fl)</t>
  </si>
  <si>
    <t>Fork Rake MM (fr)</t>
  </si>
  <si>
    <t>Trail MM (trail)</t>
  </si>
  <si>
    <t>Crank Length MM</t>
  </si>
  <si>
    <t>Stem Length MM</t>
  </si>
  <si>
    <t>Bar Width MM</t>
  </si>
  <si>
    <t>Bar Drop MM</t>
  </si>
  <si>
    <t>Bar Reach MM</t>
  </si>
  <si>
    <t>Standover Height mm</t>
  </si>
  <si>
    <t>Seatpost Length MM</t>
  </si>
  <si>
    <t>2022 model</t>
  </si>
  <si>
    <t>BMC</t>
  </si>
  <si>
    <t>URS</t>
  </si>
  <si>
    <t>bar_drop</t>
  </si>
  <si>
    <t>bar_reach</t>
  </si>
  <si>
    <t>seatpost_length</t>
  </si>
  <si>
    <t>seatpost_offset</t>
  </si>
  <si>
    <t>stem_angle</t>
  </si>
  <si>
    <t>udh</t>
  </si>
  <si>
    <t>dropout</t>
  </si>
  <si>
    <t>650B tire max</t>
  </si>
  <si>
    <t>suspension corrected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</si>
  <si>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</si>
  <si>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</si>
  <si>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</si>
  <si>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</si>
  <si>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</si>
  <si>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</si>
  <si>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</si>
  <si>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</si>
  <si>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</si>
  <si>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</si>
  <si>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</si>
  <si>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</si>
  <si>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</si>
  <si>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</si>
  <si>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</si>
  <si>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</si>
  <si>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</si>
  <si>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</si>
  <si>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rotor max front</t>
  </si>
  <si>
    <t>rotor max rear</t>
  </si>
  <si>
    <t>frameset</t>
  </si>
  <si>
    <t>base build</t>
  </si>
  <si>
    <t>currency</t>
  </si>
  <si>
    <t>internal storage</t>
  </si>
  <si>
    <t>ASTM 2</t>
  </si>
  <si>
    <t>ISO ASTM</t>
  </si>
  <si>
    <t>https://us.bmc-switzerland.com/pages/platform/platform-urs</t>
  </si>
  <si>
    <t>us</t>
  </si>
  <si>
    <t>rear suspension</t>
  </si>
  <si>
    <t>stem suspension</t>
  </si>
  <si>
    <t>fork suspension</t>
  </si>
  <si>
    <t>frame_weight</t>
  </si>
  <si>
    <t>a10:g39</t>
  </si>
  <si>
    <t>700c width max</t>
  </si>
  <si>
    <t>no</t>
  </si>
  <si>
    <t>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</si>
</sst>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333333"/>
      <name val="Futura Medium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sz val="14"/>
      <color rgb="FF353535"/>
      <name val="Futura Medium"/>
    </font>
    <font>
      <b/>
      <sz val="14"/>
      <color rgb="FF353535"/>
      <name val="Futura Medium"/>
    </font>
    <font>
      <sz val="14"/>
      <color theme="1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5" fillId="0" borderId="0" xfId="0" applyNumberFormat="1" applyFont="1"/>
    <xf numFmtId="164" fontId="5" fillId="0" borderId="0" xfId="0" applyNumberFormat="1" applyFont="1"/>
    <xf numFmtId="1" fontId="1" fillId="0" borderId="0" xfId="0" applyNumberFormat="1" applyFont="1"/>
    <xf numFmtId="0" fontId="6" fillId="0" borderId="0" xfId="0" applyFont="1"/>
    <xf numFmtId="0" fontId="1" fillId="0" borderId="0" xfId="0" applyFont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85-3999-4E4F-8F92-5857EF0F7F08}">
  <dimension ref="A1:AH43"/>
  <sheetViews>
    <sheetView tabSelected="1" topLeftCell="L1" workbookViewId="0">
      <selection activeCell="T7" sqref="T7"/>
    </sheetView>
  </sheetViews>
  <sheetFormatPr baseColWidth="10" defaultRowHeight="20" x14ac:dyDescent="0.3"/>
  <cols>
    <col min="1" max="1" width="29.33203125" style="1" bestFit="1" customWidth="1"/>
    <col min="2" max="2" width="21" style="1" customWidth="1"/>
    <col min="3" max="5" width="11" style="1" bestFit="1" customWidth="1"/>
    <col min="6" max="6" width="13" style="1" customWidth="1"/>
    <col min="7" max="8" width="13.5" style="1" customWidth="1"/>
    <col min="9" max="9" width="13.33203125" style="1" customWidth="1"/>
    <col min="10" max="10" width="10.83203125" style="1"/>
    <col min="11" max="25" width="11" style="1" bestFit="1" customWidth="1"/>
    <col min="26" max="16384" width="10.83203125" style="1"/>
  </cols>
  <sheetData>
    <row r="1" spans="1:34" x14ac:dyDescent="0.3">
      <c r="A1" s="1" t="s">
        <v>0</v>
      </c>
      <c r="B1" s="1" t="s">
        <v>93</v>
      </c>
    </row>
    <row r="2" spans="1:34" x14ac:dyDescent="0.3">
      <c r="A2" s="1" t="s">
        <v>1</v>
      </c>
      <c r="B2" s="1" t="s">
        <v>94</v>
      </c>
    </row>
    <row r="3" spans="1:34" x14ac:dyDescent="0.3">
      <c r="A3" s="1" t="s">
        <v>2</v>
      </c>
      <c r="B3" s="1">
        <v>2024</v>
      </c>
    </row>
    <row r="4" spans="1:34" x14ac:dyDescent="0.3">
      <c r="A4" s="1" t="s">
        <v>3</v>
      </c>
      <c r="B4" s="2">
        <v>45853</v>
      </c>
    </row>
    <row r="5" spans="1:34" x14ac:dyDescent="0.3">
      <c r="A5" s="1" t="s">
        <v>4</v>
      </c>
      <c r="B5" s="1" t="s">
        <v>130</v>
      </c>
    </row>
    <row r="6" spans="1:34" customFormat="1" ht="55" customHeight="1" x14ac:dyDescent="0.3">
      <c r="A6" s="11" t="s">
        <v>5</v>
      </c>
      <c r="B6" s="11" t="s">
        <v>100</v>
      </c>
      <c r="C6" s="11" t="s">
        <v>101</v>
      </c>
      <c r="D6" s="11" t="s">
        <v>137</v>
      </c>
      <c r="E6" s="11" t="s">
        <v>102</v>
      </c>
      <c r="F6" s="11" t="s">
        <v>103</v>
      </c>
      <c r="G6" s="11" t="s">
        <v>134</v>
      </c>
      <c r="H6" s="11" t="s">
        <v>133</v>
      </c>
      <c r="I6" s="11" t="s">
        <v>132</v>
      </c>
      <c r="J6" s="11" t="s">
        <v>104</v>
      </c>
      <c r="K6" s="11" t="s">
        <v>105</v>
      </c>
      <c r="L6" s="11" t="s">
        <v>106</v>
      </c>
      <c r="M6" s="11" t="s">
        <v>107</v>
      </c>
      <c r="N6" s="11" t="s">
        <v>108</v>
      </c>
      <c r="O6" s="11" t="s">
        <v>109</v>
      </c>
      <c r="P6" s="11" t="s">
        <v>110</v>
      </c>
      <c r="Q6" s="11" t="s">
        <v>111</v>
      </c>
      <c r="R6" s="11" t="s">
        <v>112</v>
      </c>
      <c r="S6" s="11" t="s">
        <v>113</v>
      </c>
      <c r="T6" s="11" t="s">
        <v>114</v>
      </c>
      <c r="U6" s="11" t="s">
        <v>115</v>
      </c>
      <c r="V6" s="11" t="s">
        <v>116</v>
      </c>
      <c r="W6" s="11" t="s">
        <v>117</v>
      </c>
      <c r="X6" s="11" t="s">
        <v>118</v>
      </c>
      <c r="Y6" s="11" t="s">
        <v>119</v>
      </c>
      <c r="Z6" s="11" t="s">
        <v>120</v>
      </c>
      <c r="AA6" s="11" t="s">
        <v>121</v>
      </c>
      <c r="AB6" s="12" t="s">
        <v>129</v>
      </c>
      <c r="AC6" s="11" t="s">
        <v>122</v>
      </c>
      <c r="AD6" s="11" t="s">
        <v>123</v>
      </c>
      <c r="AE6" s="11" t="s">
        <v>124</v>
      </c>
      <c r="AF6" s="11" t="s">
        <v>125</v>
      </c>
      <c r="AG6" s="11" t="s">
        <v>126</v>
      </c>
      <c r="AH6" s="11" t="s">
        <v>127</v>
      </c>
    </row>
    <row r="7" spans="1:34" x14ac:dyDescent="0.3">
      <c r="A7" s="1" t="s">
        <v>6</v>
      </c>
      <c r="B7" s="1" t="s">
        <v>7</v>
      </c>
      <c r="C7" s="1">
        <v>0</v>
      </c>
      <c r="D7" s="1">
        <v>47</v>
      </c>
      <c r="P7" s="1" t="s">
        <v>7</v>
      </c>
      <c r="Q7" s="1" t="s">
        <v>138</v>
      </c>
      <c r="T7" s="1" t="s">
        <v>139</v>
      </c>
      <c r="U7" s="1">
        <v>2</v>
      </c>
      <c r="V7" s="1">
        <v>1</v>
      </c>
      <c r="W7" s="1">
        <v>1</v>
      </c>
      <c r="X7" s="1" t="s">
        <v>7</v>
      </c>
      <c r="Y7" s="1" t="s">
        <v>7</v>
      </c>
      <c r="Z7" s="1" t="s">
        <v>7</v>
      </c>
      <c r="AA7" s="1" t="s">
        <v>7</v>
      </c>
      <c r="AB7" s="1" t="s">
        <v>128</v>
      </c>
      <c r="AC7" s="1">
        <v>180</v>
      </c>
      <c r="AF7" s="1">
        <v>3649</v>
      </c>
      <c r="AG7" s="1" t="s">
        <v>131</v>
      </c>
      <c r="AH7" s="1" t="s">
        <v>7</v>
      </c>
    </row>
    <row r="9" spans="1:34" x14ac:dyDescent="0.3">
      <c r="A9" s="1" t="s">
        <v>8</v>
      </c>
      <c r="B9" s="1" t="s">
        <v>136</v>
      </c>
      <c r="J9" s="1" t="s">
        <v>92</v>
      </c>
    </row>
    <row r="10" spans="1:34" ht="22" x14ac:dyDescent="0.3">
      <c r="A10" s="1" t="s">
        <v>9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32</v>
      </c>
      <c r="G10" s="4" t="s">
        <v>38</v>
      </c>
      <c r="H10" s="4"/>
      <c r="I10" s="3"/>
      <c r="K10" s="10" t="s">
        <v>36</v>
      </c>
      <c r="L10" s="10" t="s">
        <v>37</v>
      </c>
      <c r="M10" s="10" t="s">
        <v>32</v>
      </c>
      <c r="N10" s="10" t="s">
        <v>38</v>
      </c>
      <c r="O10" s="3"/>
      <c r="P10" s="3"/>
      <c r="Q10" s="3"/>
      <c r="R10" s="3"/>
    </row>
    <row r="11" spans="1:34" ht="22" x14ac:dyDescent="0.3">
      <c r="A11" s="1" t="s">
        <v>20</v>
      </c>
      <c r="B11" s="5" t="s">
        <v>45</v>
      </c>
      <c r="C11" s="5">
        <v>390</v>
      </c>
      <c r="D11" s="5">
        <v>400</v>
      </c>
      <c r="E11" s="5">
        <v>410</v>
      </c>
      <c r="F11" s="5">
        <v>420</v>
      </c>
      <c r="G11" s="5">
        <v>430</v>
      </c>
      <c r="H11" s="5"/>
      <c r="I11" s="3"/>
      <c r="J11" s="6" t="s">
        <v>71</v>
      </c>
      <c r="K11" s="7">
        <v>538</v>
      </c>
      <c r="L11" s="7">
        <v>569</v>
      </c>
      <c r="M11" s="7">
        <v>603</v>
      </c>
      <c r="N11" s="7">
        <v>641</v>
      </c>
      <c r="O11" s="3"/>
      <c r="P11" s="3"/>
      <c r="Q11" s="3"/>
      <c r="R11" s="3"/>
    </row>
    <row r="12" spans="1:34" ht="22" x14ac:dyDescent="0.3">
      <c r="A12" s="1" t="s">
        <v>21</v>
      </c>
      <c r="B12" s="5" t="s">
        <v>46</v>
      </c>
      <c r="C12" s="5">
        <v>560</v>
      </c>
      <c r="D12" s="5">
        <v>560</v>
      </c>
      <c r="E12" s="5">
        <v>580</v>
      </c>
      <c r="F12" s="5">
        <v>610</v>
      </c>
      <c r="G12" s="5">
        <v>640</v>
      </c>
      <c r="H12" s="5"/>
      <c r="I12" s="3"/>
      <c r="J12" s="6" t="s">
        <v>72</v>
      </c>
      <c r="K12" s="7">
        <v>403</v>
      </c>
      <c r="L12" s="7">
        <v>415</v>
      </c>
      <c r="M12" s="7">
        <v>419</v>
      </c>
      <c r="N12" s="7">
        <v>429</v>
      </c>
      <c r="O12" s="3"/>
      <c r="P12" s="3"/>
      <c r="Q12" s="3"/>
      <c r="R12" s="3"/>
    </row>
    <row r="13" spans="1:34" ht="22" x14ac:dyDescent="0.3">
      <c r="A13" s="1" t="s">
        <v>95</v>
      </c>
      <c r="B13" s="5" t="s">
        <v>47</v>
      </c>
      <c r="C13" s="5">
        <v>115</v>
      </c>
      <c r="D13" s="5">
        <v>115</v>
      </c>
      <c r="E13" s="5">
        <v>115</v>
      </c>
      <c r="F13" s="5">
        <v>115</v>
      </c>
      <c r="G13" s="5">
        <v>115</v>
      </c>
      <c r="H13" s="5"/>
      <c r="I13" s="3"/>
      <c r="J13" s="6" t="s">
        <v>73</v>
      </c>
      <c r="K13" s="7">
        <v>431</v>
      </c>
      <c r="L13" s="7">
        <v>459</v>
      </c>
      <c r="M13" s="7">
        <v>492</v>
      </c>
      <c r="N13" s="7">
        <v>527</v>
      </c>
      <c r="O13" s="3"/>
      <c r="P13" s="3"/>
      <c r="Q13" s="3"/>
      <c r="R13" s="3"/>
    </row>
    <row r="14" spans="1:34" ht="22" x14ac:dyDescent="0.3">
      <c r="A14" s="1" t="s">
        <v>96</v>
      </c>
      <c r="B14" s="5" t="s">
        <v>48</v>
      </c>
      <c r="C14" s="5">
        <v>70</v>
      </c>
      <c r="D14" s="5">
        <v>70</v>
      </c>
      <c r="E14" s="5">
        <v>70</v>
      </c>
      <c r="F14" s="5">
        <v>70</v>
      </c>
      <c r="G14" s="5">
        <v>70</v>
      </c>
      <c r="H14" s="5"/>
      <c r="I14" s="3"/>
      <c r="J14" s="6" t="s">
        <v>74</v>
      </c>
      <c r="K14" s="7">
        <v>557</v>
      </c>
      <c r="L14" s="7">
        <v>578</v>
      </c>
      <c r="M14" s="7">
        <v>591</v>
      </c>
      <c r="N14" s="7">
        <v>612</v>
      </c>
      <c r="O14" s="3"/>
      <c r="P14" s="3"/>
      <c r="Q14" s="3"/>
      <c r="R14" s="3"/>
    </row>
    <row r="15" spans="1:34" ht="22" x14ac:dyDescent="0.3">
      <c r="A15" s="1" t="s">
        <v>14</v>
      </c>
      <c r="B15" s="5" t="s">
        <v>53</v>
      </c>
      <c r="C15" s="5">
        <v>76</v>
      </c>
      <c r="D15" s="5">
        <v>76</v>
      </c>
      <c r="E15" s="5">
        <v>76</v>
      </c>
      <c r="F15" s="5">
        <v>76</v>
      </c>
      <c r="G15" s="5">
        <v>76</v>
      </c>
      <c r="H15" s="5"/>
      <c r="I15" s="3"/>
      <c r="J15" s="6" t="s">
        <v>75</v>
      </c>
      <c r="K15" s="7">
        <v>113</v>
      </c>
      <c r="L15" s="7">
        <v>146</v>
      </c>
      <c r="M15" s="7">
        <v>172</v>
      </c>
      <c r="N15" s="7">
        <v>207</v>
      </c>
      <c r="O15" s="3"/>
      <c r="P15" s="3"/>
      <c r="Q15" s="3"/>
      <c r="R15" s="3"/>
    </row>
    <row r="16" spans="1:34" ht="22" x14ac:dyDescent="0.3">
      <c r="A16" s="1" t="s">
        <v>26</v>
      </c>
      <c r="B16" s="5" t="s">
        <v>54</v>
      </c>
      <c r="C16" s="5">
        <v>170</v>
      </c>
      <c r="D16" s="5">
        <v>170</v>
      </c>
      <c r="E16" s="5">
        <v>172.5</v>
      </c>
      <c r="F16" s="5">
        <v>172.5</v>
      </c>
      <c r="G16" s="5">
        <v>175</v>
      </c>
      <c r="H16" s="5"/>
      <c r="I16" s="3"/>
      <c r="J16" s="6" t="s">
        <v>76</v>
      </c>
      <c r="K16" s="7">
        <v>74</v>
      </c>
      <c r="L16" s="7">
        <v>74</v>
      </c>
      <c r="M16" s="7">
        <v>74</v>
      </c>
      <c r="N16" s="7">
        <v>74</v>
      </c>
      <c r="O16" s="3"/>
      <c r="P16" s="3"/>
      <c r="Q16" s="3"/>
      <c r="R16" s="3"/>
    </row>
    <row r="17" spans="1:18" ht="22" x14ac:dyDescent="0.3">
      <c r="A17" s="1" t="s">
        <v>22</v>
      </c>
      <c r="B17" s="5" t="s">
        <v>55</v>
      </c>
      <c r="C17" s="5">
        <v>405</v>
      </c>
      <c r="D17" s="5">
        <v>405</v>
      </c>
      <c r="E17" s="5">
        <v>415</v>
      </c>
      <c r="F17" s="5">
        <v>415</v>
      </c>
      <c r="G17" s="5">
        <v>415</v>
      </c>
      <c r="H17" s="5"/>
      <c r="J17" s="6" t="s">
        <v>77</v>
      </c>
      <c r="K17" s="7">
        <v>70</v>
      </c>
      <c r="L17" s="7">
        <v>70</v>
      </c>
      <c r="M17" s="7">
        <v>70</v>
      </c>
      <c r="N17" s="7">
        <v>70</v>
      </c>
      <c r="O17" s="3"/>
      <c r="P17" s="3"/>
      <c r="Q17" s="3"/>
      <c r="R17" s="3"/>
    </row>
    <row r="18" spans="1:18" ht="22" x14ac:dyDescent="0.3">
      <c r="A18" s="1" t="s">
        <v>18</v>
      </c>
      <c r="B18" s="5" t="s">
        <v>56</v>
      </c>
      <c r="C18" s="5">
        <v>50</v>
      </c>
      <c r="D18" s="5">
        <v>50</v>
      </c>
      <c r="E18" s="5">
        <v>45</v>
      </c>
      <c r="F18" s="5">
        <v>45</v>
      </c>
      <c r="G18" s="5">
        <v>45</v>
      </c>
      <c r="H18" s="5"/>
      <c r="J18" s="6" t="s">
        <v>78</v>
      </c>
      <c r="K18" s="7">
        <v>425</v>
      </c>
      <c r="L18" s="7">
        <v>425</v>
      </c>
      <c r="M18" s="7">
        <v>425</v>
      </c>
      <c r="N18" s="7">
        <v>425</v>
      </c>
      <c r="O18" s="3"/>
      <c r="P18" s="3"/>
      <c r="Q18" s="3"/>
      <c r="R18" s="3"/>
    </row>
    <row r="19" spans="1:18" ht="22" x14ac:dyDescent="0.3">
      <c r="A19" s="1" t="s">
        <v>33</v>
      </c>
      <c r="B19" s="5" t="s">
        <v>57</v>
      </c>
      <c r="C19" s="5">
        <v>633</v>
      </c>
      <c r="D19" s="5">
        <v>643</v>
      </c>
      <c r="E19" s="5">
        <v>651</v>
      </c>
      <c r="F19" s="5">
        <v>672</v>
      </c>
      <c r="G19" s="5">
        <v>693</v>
      </c>
      <c r="H19" s="5"/>
      <c r="J19" s="6" t="s">
        <v>79</v>
      </c>
      <c r="K19" s="7">
        <v>625</v>
      </c>
      <c r="L19" s="7">
        <v>648</v>
      </c>
      <c r="M19" s="7">
        <v>665</v>
      </c>
      <c r="N19" s="7">
        <v>700</v>
      </c>
      <c r="O19" s="3"/>
      <c r="P19" s="3"/>
      <c r="Q19" s="3"/>
      <c r="R19" s="3"/>
    </row>
    <row r="20" spans="1:18" ht="22" x14ac:dyDescent="0.3">
      <c r="A20" s="1" t="s">
        <v>12</v>
      </c>
      <c r="B20" s="5" t="s">
        <v>58</v>
      </c>
      <c r="C20" s="5">
        <v>133</v>
      </c>
      <c r="D20" s="5">
        <v>133</v>
      </c>
      <c r="E20" s="5">
        <v>140</v>
      </c>
      <c r="F20" s="5">
        <v>172</v>
      </c>
      <c r="G20" s="5">
        <v>204</v>
      </c>
      <c r="H20" s="5"/>
      <c r="J20" s="6" t="s">
        <v>80</v>
      </c>
      <c r="K20" s="7">
        <v>1041</v>
      </c>
      <c r="L20" s="7">
        <v>1064</v>
      </c>
      <c r="M20" s="7">
        <v>1081</v>
      </c>
      <c r="N20" s="7">
        <v>1105</v>
      </c>
      <c r="O20" s="3"/>
      <c r="P20" s="3"/>
      <c r="Q20" s="3"/>
      <c r="R20" s="3"/>
    </row>
    <row r="21" spans="1:18" ht="22" x14ac:dyDescent="0.3">
      <c r="A21" s="1" t="s">
        <v>16</v>
      </c>
      <c r="B21" s="5" t="s">
        <v>59</v>
      </c>
      <c r="C21" s="5">
        <v>69</v>
      </c>
      <c r="D21" s="5">
        <v>69</v>
      </c>
      <c r="E21" s="5">
        <v>69.5</v>
      </c>
      <c r="F21" s="5">
        <v>69.5</v>
      </c>
      <c r="G21" s="5">
        <v>69.5</v>
      </c>
      <c r="H21" s="5"/>
      <c r="J21" s="6" t="s">
        <v>81</v>
      </c>
      <c r="K21" s="7">
        <v>69</v>
      </c>
      <c r="L21" s="7">
        <v>69</v>
      </c>
      <c r="M21" s="7">
        <v>69</v>
      </c>
      <c r="N21" s="7">
        <v>69</v>
      </c>
      <c r="O21" s="3"/>
      <c r="P21" s="3"/>
      <c r="Q21" s="3"/>
      <c r="R21" s="3"/>
    </row>
    <row r="22" spans="1:18" ht="22" x14ac:dyDescent="0.3">
      <c r="A22" s="1" t="s">
        <v>13</v>
      </c>
      <c r="B22" s="5" t="s">
        <v>60</v>
      </c>
      <c r="C22" s="5">
        <v>430</v>
      </c>
      <c r="D22" s="5">
        <v>430</v>
      </c>
      <c r="E22" s="5">
        <v>430</v>
      </c>
      <c r="F22" s="5">
        <v>430</v>
      </c>
      <c r="G22" s="5">
        <v>430</v>
      </c>
      <c r="H22" s="5"/>
      <c r="J22" s="6" t="s">
        <v>82</v>
      </c>
      <c r="K22" s="7">
        <v>407</v>
      </c>
      <c r="L22" s="7">
        <v>407</v>
      </c>
      <c r="M22" s="7">
        <v>407</v>
      </c>
      <c r="N22" s="7">
        <v>407</v>
      </c>
      <c r="O22" s="3"/>
      <c r="P22" s="3"/>
      <c r="Q22" s="3"/>
      <c r="R22" s="3"/>
    </row>
    <row r="23" spans="1:18" ht="22" x14ac:dyDescent="0.3">
      <c r="A23" s="1" t="s">
        <v>17</v>
      </c>
      <c r="B23" s="5" t="s">
        <v>61</v>
      </c>
      <c r="C23" s="5">
        <v>74.5</v>
      </c>
      <c r="D23" s="5">
        <v>74.5</v>
      </c>
      <c r="E23" s="5">
        <v>74.5</v>
      </c>
      <c r="F23" s="5">
        <v>74.5</v>
      </c>
      <c r="G23" s="5">
        <v>74.5</v>
      </c>
      <c r="H23" s="5"/>
      <c r="J23" s="6" t="s">
        <v>83</v>
      </c>
      <c r="K23" s="7">
        <v>45</v>
      </c>
      <c r="L23" s="7">
        <v>45</v>
      </c>
      <c r="M23" s="7">
        <v>45</v>
      </c>
      <c r="N23" s="7">
        <v>45</v>
      </c>
      <c r="O23" s="3"/>
      <c r="P23" s="3"/>
      <c r="Q23" s="3"/>
      <c r="R23" s="3"/>
    </row>
    <row r="24" spans="1:18" ht="22" x14ac:dyDescent="0.3">
      <c r="A24" s="1" t="s">
        <v>10</v>
      </c>
      <c r="B24" s="5" t="s">
        <v>62</v>
      </c>
      <c r="C24" s="5">
        <v>430</v>
      </c>
      <c r="D24" s="5">
        <v>445</v>
      </c>
      <c r="E24" s="5">
        <v>475</v>
      </c>
      <c r="F24" s="5">
        <v>505</v>
      </c>
      <c r="G24" s="5">
        <v>540</v>
      </c>
      <c r="H24" s="5"/>
      <c r="J24" s="6" t="s">
        <v>84</v>
      </c>
      <c r="K24" s="7">
        <v>77</v>
      </c>
      <c r="L24" s="7">
        <v>77</v>
      </c>
      <c r="M24" s="7">
        <v>77</v>
      </c>
      <c r="N24" s="7">
        <v>77</v>
      </c>
    </row>
    <row r="25" spans="1:18" ht="22" x14ac:dyDescent="0.3">
      <c r="A25" s="1" t="s">
        <v>97</v>
      </c>
      <c r="B25" s="5" t="s">
        <v>63</v>
      </c>
      <c r="C25" s="5">
        <v>310</v>
      </c>
      <c r="D25" s="5">
        <v>360</v>
      </c>
      <c r="E25" s="5">
        <v>360</v>
      </c>
      <c r="F25" s="5">
        <v>360</v>
      </c>
      <c r="G25" s="5">
        <v>360</v>
      </c>
      <c r="H25" s="5"/>
      <c r="J25" s="6" t="s">
        <v>85</v>
      </c>
      <c r="K25" s="8">
        <v>170</v>
      </c>
      <c r="L25" s="8">
        <v>172.5</v>
      </c>
      <c r="M25" s="8">
        <v>172.5</v>
      </c>
      <c r="N25" s="8">
        <v>175</v>
      </c>
      <c r="O25" s="3"/>
      <c r="P25" s="3"/>
      <c r="Q25" s="3"/>
      <c r="R25" s="3"/>
    </row>
    <row r="26" spans="1:18" ht="22" x14ac:dyDescent="0.3">
      <c r="A26" s="1" t="s">
        <v>98</v>
      </c>
      <c r="B26" s="5" t="s">
        <v>64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/>
      <c r="J26" s="6" t="s">
        <v>86</v>
      </c>
      <c r="K26" s="7">
        <v>70</v>
      </c>
      <c r="L26" s="7">
        <v>70</v>
      </c>
      <c r="M26" s="7">
        <v>80</v>
      </c>
      <c r="N26" s="7">
        <v>90</v>
      </c>
      <c r="O26" s="3"/>
      <c r="P26" s="3"/>
      <c r="Q26" s="3"/>
      <c r="R26" s="3"/>
    </row>
    <row r="27" spans="1:18" ht="22" x14ac:dyDescent="0.3">
      <c r="A27" s="1" t="s">
        <v>19</v>
      </c>
      <c r="B27" s="5" t="s">
        <v>65</v>
      </c>
      <c r="C27" s="5">
        <v>727</v>
      </c>
      <c r="D27" s="5">
        <v>735</v>
      </c>
      <c r="E27" s="5">
        <v>758</v>
      </c>
      <c r="F27" s="5">
        <v>778</v>
      </c>
      <c r="G27" s="5">
        <v>795</v>
      </c>
      <c r="H27" s="5"/>
      <c r="J27" s="6" t="s">
        <v>87</v>
      </c>
      <c r="K27" s="7">
        <v>420</v>
      </c>
      <c r="L27" s="7">
        <v>420</v>
      </c>
      <c r="M27" s="7">
        <v>440</v>
      </c>
      <c r="N27" s="7">
        <v>440</v>
      </c>
      <c r="O27" s="3"/>
      <c r="P27" s="3"/>
      <c r="Q27" s="3"/>
      <c r="R27" s="3"/>
    </row>
    <row r="28" spans="1:18" ht="22" x14ac:dyDescent="0.3">
      <c r="A28" s="1" t="s">
        <v>24</v>
      </c>
      <c r="B28" s="5"/>
      <c r="C28" s="5"/>
      <c r="D28" s="5"/>
      <c r="E28" s="5"/>
      <c r="F28" s="5"/>
      <c r="G28" s="5"/>
      <c r="H28" s="5"/>
      <c r="J28" s="6" t="s">
        <v>88</v>
      </c>
      <c r="K28" s="7">
        <v>120</v>
      </c>
      <c r="L28" s="7">
        <v>120</v>
      </c>
      <c r="M28" s="7">
        <v>120</v>
      </c>
      <c r="N28" s="7">
        <v>120</v>
      </c>
    </row>
    <row r="29" spans="1:18" ht="22" x14ac:dyDescent="0.3">
      <c r="A29" s="1" t="s">
        <v>99</v>
      </c>
      <c r="B29" s="5" t="s">
        <v>66</v>
      </c>
      <c r="C29" s="5">
        <v>-8</v>
      </c>
      <c r="D29" s="5">
        <v>-8</v>
      </c>
      <c r="E29" s="5">
        <v>-8</v>
      </c>
      <c r="F29" s="5">
        <v>-8</v>
      </c>
      <c r="G29" s="5">
        <v>-8</v>
      </c>
      <c r="H29" s="5"/>
      <c r="J29" s="6" t="s">
        <v>89</v>
      </c>
      <c r="K29" s="7">
        <v>80</v>
      </c>
      <c r="L29" s="7">
        <v>80</v>
      </c>
      <c r="M29" s="7">
        <v>80</v>
      </c>
      <c r="N29" s="7">
        <v>80</v>
      </c>
    </row>
    <row r="30" spans="1:18" ht="22" x14ac:dyDescent="0.3">
      <c r="A30" s="1" t="s">
        <v>25</v>
      </c>
      <c r="B30" s="5" t="s">
        <v>67</v>
      </c>
      <c r="C30" s="5">
        <v>70</v>
      </c>
      <c r="D30" s="5">
        <v>70</v>
      </c>
      <c r="E30" s="5">
        <v>70</v>
      </c>
      <c r="F30" s="5">
        <v>80</v>
      </c>
      <c r="G30" s="5">
        <v>90</v>
      </c>
      <c r="H30" s="5"/>
      <c r="J30" s="6" t="s">
        <v>90</v>
      </c>
      <c r="K30" s="7">
        <v>748</v>
      </c>
      <c r="L30" s="7">
        <v>778</v>
      </c>
      <c r="M30" s="7">
        <v>810</v>
      </c>
      <c r="N30" s="7">
        <v>846</v>
      </c>
    </row>
    <row r="31" spans="1:18" ht="22" x14ac:dyDescent="0.3">
      <c r="A31" s="1" t="s">
        <v>11</v>
      </c>
      <c r="B31" s="5" t="s">
        <v>68</v>
      </c>
      <c r="C31" s="5">
        <v>545</v>
      </c>
      <c r="D31" s="5">
        <v>555</v>
      </c>
      <c r="E31" s="5">
        <v>571</v>
      </c>
      <c r="F31" s="5">
        <v>589</v>
      </c>
      <c r="G31" s="5">
        <v>607</v>
      </c>
      <c r="H31" s="5"/>
      <c r="J31" s="6" t="s">
        <v>91</v>
      </c>
      <c r="K31" s="7">
        <v>330</v>
      </c>
      <c r="L31" s="7">
        <v>380</v>
      </c>
      <c r="M31" s="7">
        <v>430</v>
      </c>
      <c r="N31" s="7">
        <v>430</v>
      </c>
    </row>
    <row r="32" spans="1:18" ht="22" x14ac:dyDescent="0.3">
      <c r="A32" s="1" t="s">
        <v>23</v>
      </c>
      <c r="B32" s="5" t="s">
        <v>69</v>
      </c>
      <c r="C32" s="5">
        <v>84</v>
      </c>
      <c r="D32" s="5">
        <v>84</v>
      </c>
      <c r="E32" s="5">
        <v>86</v>
      </c>
      <c r="F32" s="5">
        <v>86</v>
      </c>
      <c r="G32" s="5">
        <v>86</v>
      </c>
      <c r="H32" s="5"/>
      <c r="J32" s="1" t="s">
        <v>27</v>
      </c>
      <c r="K32" s="9">
        <v>700</v>
      </c>
      <c r="L32" s="9">
        <v>700</v>
      </c>
      <c r="M32" s="9">
        <v>700</v>
      </c>
      <c r="N32" s="9">
        <v>700</v>
      </c>
    </row>
    <row r="33" spans="1:14" ht="22" x14ac:dyDescent="0.3">
      <c r="A33" s="1" t="s">
        <v>15</v>
      </c>
      <c r="B33" s="5" t="s">
        <v>70</v>
      </c>
      <c r="C33" s="5">
        <v>1052</v>
      </c>
      <c r="D33" s="5">
        <v>1062</v>
      </c>
      <c r="E33" s="5">
        <v>1070</v>
      </c>
      <c r="F33" s="5">
        <v>1091</v>
      </c>
      <c r="G33" s="5">
        <v>1112</v>
      </c>
      <c r="H33" s="5"/>
      <c r="J33" s="1" t="s">
        <v>28</v>
      </c>
      <c r="K33" s="9">
        <v>40</v>
      </c>
      <c r="L33" s="9">
        <v>40</v>
      </c>
      <c r="M33" s="9">
        <v>40</v>
      </c>
      <c r="N33" s="9">
        <v>40</v>
      </c>
    </row>
    <row r="34" spans="1:14" ht="22" x14ac:dyDescent="0.3">
      <c r="A34" s="1" t="s">
        <v>135</v>
      </c>
      <c r="B34" s="5"/>
      <c r="C34" s="5"/>
      <c r="D34" s="5"/>
      <c r="E34" s="5"/>
      <c r="F34" s="5"/>
      <c r="G34" s="5"/>
      <c r="J34" s="1" t="s">
        <v>29</v>
      </c>
      <c r="K34" s="9">
        <v>42</v>
      </c>
      <c r="L34" s="9">
        <v>42</v>
      </c>
      <c r="M34" s="9">
        <v>42</v>
      </c>
      <c r="N34" s="9">
        <v>42</v>
      </c>
    </row>
    <row r="35" spans="1:14" x14ac:dyDescent="0.3">
      <c r="A35" s="1" t="s">
        <v>27</v>
      </c>
      <c r="C35" s="1">
        <v>700</v>
      </c>
      <c r="D35" s="1">
        <v>700</v>
      </c>
      <c r="E35" s="1">
        <v>700</v>
      </c>
      <c r="F35" s="1">
        <v>700</v>
      </c>
      <c r="G35" s="1">
        <v>700</v>
      </c>
    </row>
    <row r="36" spans="1:14" x14ac:dyDescent="0.3">
      <c r="A36" s="1" t="s">
        <v>28</v>
      </c>
      <c r="C36" s="1">
        <v>44</v>
      </c>
      <c r="D36" s="1">
        <v>44</v>
      </c>
      <c r="E36" s="1">
        <v>44</v>
      </c>
      <c r="F36" s="1">
        <v>44</v>
      </c>
      <c r="G36" s="1">
        <v>44</v>
      </c>
    </row>
    <row r="37" spans="1:14" x14ac:dyDescent="0.3">
      <c r="A37" s="1" t="s">
        <v>29</v>
      </c>
      <c r="C37" s="1">
        <v>47</v>
      </c>
      <c r="D37" s="1">
        <v>47</v>
      </c>
      <c r="E37" s="1">
        <v>47</v>
      </c>
      <c r="F37" s="1">
        <v>47</v>
      </c>
      <c r="G37" s="1">
        <v>47</v>
      </c>
    </row>
    <row r="38" spans="1:14" x14ac:dyDescent="0.3">
      <c r="A38" s="1" t="s">
        <v>30</v>
      </c>
      <c r="C38" s="1">
        <f>C40</f>
        <v>160</v>
      </c>
      <c r="D38" s="1">
        <f>AVERAGE(D40,C41)</f>
        <v>166</v>
      </c>
      <c r="E38" s="1">
        <f t="shared" ref="E38:F38" si="0">AVERAGE(E40,D41)</f>
        <v>169</v>
      </c>
      <c r="F38" s="1">
        <f t="shared" si="0"/>
        <v>177</v>
      </c>
      <c r="G38" s="1">
        <f>AVERAGE(G40,F41)</f>
        <v>188</v>
      </c>
    </row>
    <row r="39" spans="1:14" x14ac:dyDescent="0.3">
      <c r="A39" s="1" t="s">
        <v>31</v>
      </c>
      <c r="C39" s="1">
        <f>D38</f>
        <v>166</v>
      </c>
      <c r="D39" s="1">
        <f t="shared" ref="D39:E39" si="1">E38</f>
        <v>169</v>
      </c>
      <c r="E39" s="1">
        <f t="shared" si="1"/>
        <v>177</v>
      </c>
      <c r="F39" s="1">
        <f>G38</f>
        <v>188</v>
      </c>
      <c r="G39" s="1">
        <f t="shared" ref="G39" si="2">G41</f>
        <v>200</v>
      </c>
    </row>
    <row r="40" spans="1:14" x14ac:dyDescent="0.3">
      <c r="C40" s="1">
        <v>160</v>
      </c>
      <c r="D40" s="1">
        <v>165</v>
      </c>
      <c r="E40" s="1">
        <v>168</v>
      </c>
      <c r="F40" s="1">
        <v>176</v>
      </c>
      <c r="G40" s="1">
        <v>188</v>
      </c>
    </row>
    <row r="41" spans="1:14" ht="22" x14ac:dyDescent="0.3">
      <c r="C41" s="1">
        <v>167</v>
      </c>
      <c r="D41" s="1">
        <v>170</v>
      </c>
      <c r="E41" s="1">
        <v>178</v>
      </c>
      <c r="F41" s="1">
        <v>188</v>
      </c>
      <c r="G41" s="1">
        <v>200</v>
      </c>
      <c r="H41" s="5"/>
    </row>
    <row r="42" spans="1:14" ht="22" x14ac:dyDescent="0.3">
      <c r="B42" s="5" t="s">
        <v>39</v>
      </c>
      <c r="C42" s="5" t="s">
        <v>40</v>
      </c>
      <c r="D42" s="5" t="s">
        <v>41</v>
      </c>
      <c r="E42" s="5" t="s">
        <v>42</v>
      </c>
      <c r="F42" s="5" t="s">
        <v>43</v>
      </c>
      <c r="G42" s="5" t="s">
        <v>44</v>
      </c>
      <c r="H42" s="5"/>
    </row>
    <row r="43" spans="1:14" ht="22" x14ac:dyDescent="0.3">
      <c r="B43" s="5" t="s">
        <v>49</v>
      </c>
      <c r="C43" s="5" t="s">
        <v>50</v>
      </c>
      <c r="D43" s="5" t="s">
        <v>51</v>
      </c>
      <c r="E43" s="5" t="s">
        <v>51</v>
      </c>
      <c r="F43" s="5" t="s">
        <v>52</v>
      </c>
      <c r="G43" s="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BMC URS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2025-07-15T14:07:03Z</dcterms:created>
  <dcterms:modified xsi:type="dcterms:W3CDTF">2025-07-23T00:50:08Z</dcterms:modified>
</cp:coreProperties>
</file>