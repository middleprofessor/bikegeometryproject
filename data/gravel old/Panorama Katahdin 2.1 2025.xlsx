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A582656-7D29-2E4F-A72C-F4260FFC0307}" xr6:coauthVersionLast="47" xr6:coauthVersionMax="47" xr10:uidLastSave="{00000000-0000-0000-0000-000000000000}"/>
  <bookViews>
    <workbookView xWindow="320" yWindow="500" windowWidth="27120" windowHeight="16600" xr2:uid="{AE0F04AA-80E5-8247-9791-D6B95FAD9AB5}"/>
  </bookViews>
  <sheets>
    <sheet name="Panorama Katahdin 2.1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D34" i="1"/>
  <c r="E34" i="1"/>
  <c r="D33" i="1"/>
  <c r="E33" i="1"/>
  <c r="C33" i="1"/>
  <c r="D32" i="1"/>
  <c r="E32" i="1"/>
  <c r="C32" i="1"/>
</calcChain>
</file>

<file path=xl/sharedStrings.xml><?xml version="1.0" encoding="utf-8"?>
<sst xmlns="http://schemas.openxmlformats.org/spreadsheetml/2006/main" count="113" uniqueCount="99">
  <si>
    <t>brand</t>
  </si>
  <si>
    <t>model</t>
  </si>
  <si>
    <t>model year</t>
  </si>
  <si>
    <t>input date</t>
  </si>
  <si>
    <t>URL</t>
  </si>
  <si>
    <t>material</t>
  </si>
  <si>
    <t>carbon</t>
  </si>
  <si>
    <t>measure range</t>
  </si>
  <si>
    <t>frame_size</t>
  </si>
  <si>
    <t>seat_tube_length</t>
  </si>
  <si>
    <t>top_tube_effective_length</t>
  </si>
  <si>
    <t>head_tube_length</t>
  </si>
  <si>
    <t>chainstay_length</t>
  </si>
  <si>
    <t>bottom_bracket_drop</t>
  </si>
  <si>
    <t>wheelbase</t>
  </si>
  <si>
    <t>head_tube_angle</t>
  </si>
  <si>
    <t>seat_tube_angle</t>
  </si>
  <si>
    <t>fork_offset_rake</t>
  </si>
  <si>
    <t>standover</t>
  </si>
  <si>
    <t>reach</t>
  </si>
  <si>
    <t>stack</t>
  </si>
  <si>
    <t>axle_crown</t>
  </si>
  <si>
    <t>trail</t>
  </si>
  <si>
    <t>handlebar_width</t>
  </si>
  <si>
    <t>stem_length</t>
  </si>
  <si>
    <t>crank_length</t>
  </si>
  <si>
    <t>wheel_size</t>
  </si>
  <si>
    <t>tire_width_spec</t>
  </si>
  <si>
    <t>tire_width_max</t>
  </si>
  <si>
    <t>rider_min</t>
  </si>
  <si>
    <t>rider_max</t>
  </si>
  <si>
    <t>front_center</t>
  </si>
  <si>
    <t>Panorama</t>
  </si>
  <si>
    <t>Katahdin 2.1</t>
  </si>
  <si>
    <t>SMALL</t>
  </si>
  <si>
    <t>MEDIUM</t>
  </si>
  <si>
    <t>LARGE</t>
  </si>
  <si>
    <t>5’4’’ – 5’7’’</t>
  </si>
  <si>
    <t>5’7’’ – 5’10’’</t>
  </si>
  <si>
    <t>5’10’’ – 6’2’’</t>
  </si>
  <si>
    <t>STANDOVER HEIGHT</t>
  </si>
  <si>
    <t>HEAD TUBE ANGLE</t>
  </si>
  <si>
    <t>SEAT TUBE ANGLE</t>
  </si>
  <si>
    <t>STACK</t>
  </si>
  <si>
    <t>REACH</t>
  </si>
  <si>
    <t>HEAD TUBE LENGTH</t>
  </si>
  <si>
    <t>SEAT TUBE LENGTH</t>
  </si>
  <si>
    <t>HORIZONTAL TOP TUBE LENGTH</t>
  </si>
  <si>
    <t>CHAINSTAY LENGTH</t>
  </si>
  <si>
    <t>BB DROP</t>
  </si>
  <si>
    <t>FORK RAKE/OFFSET</t>
  </si>
  <si>
    <t>WHEELBASE</t>
  </si>
  <si>
    <t>TRAIL</t>
  </si>
  <si>
    <t>STEM LENGTH</t>
  </si>
  <si>
    <t>https://www.panoramacycles.com/products/katahdin?srsltid=AfmBOop1jlBVkZpWpr10mC77of8X-gOEri-bMwZUK9kr11vLMwjMXwJ0</t>
  </si>
  <si>
    <t>fork only. Rear max is 50</t>
  </si>
  <si>
    <t>MÉDIUM</t>
  </si>
  <si>
    <t>GRANDEUR DU CYCLISTE APPROXIMATIVE</t>
  </si>
  <si>
    <t>yes</t>
  </si>
  <si>
    <t>udh</t>
  </si>
  <si>
    <t>dropout</t>
  </si>
  <si>
    <t>650B tire max</t>
  </si>
  <si>
    <t>suspension corrected</t>
  </si>
  <si>
    <t>rear axle</t>
  </si>
  <si>
    <t>front axle</t>
  </si>
  <si>
    <t>q-factor</t>
  </si>
  <si>
    <t>seatpost diameter</t>
  </si>
  <si>
    <t>routing shifter</t>
  </si>
  <si>
    <t>routing dropper</t>
  </si>
  <si>
    <t>chainring 1</t>
  </si>
  <si>
    <t>chainring 2</t>
  </si>
  <si>
    <t>bottom bracket</t>
  </si>
  <si>
    <t>mounts inner</t>
  </si>
  <si>
    <t>mounts under</t>
  </si>
  <si>
    <t>mounts top</t>
  </si>
  <si>
    <t>mounts fork</t>
  </si>
  <si>
    <t>mounts fender rear</t>
  </si>
  <si>
    <t>mounts fender front</t>
  </si>
  <si>
    <t>mounts rack</t>
  </si>
  <si>
    <t>rotor max front</t>
  </si>
  <si>
    <t>rotor max rear</t>
  </si>
  <si>
    <t>frameset</t>
  </si>
  <si>
    <t>currency</t>
  </si>
  <si>
    <t>internal</t>
  </si>
  <si>
    <t>us</t>
  </si>
  <si>
    <t>routing dynamo</t>
  </si>
  <si>
    <t>50/34</t>
  </si>
  <si>
    <t>frame_weight</t>
  </si>
  <si>
    <t>no</t>
  </si>
  <si>
    <t>front derailleur</t>
  </si>
  <si>
    <t>base build</t>
  </si>
  <si>
    <t>fork suspension</t>
  </si>
  <si>
    <t>stem suspension</t>
  </si>
  <si>
    <t>rear suspension</t>
  </si>
  <si>
    <t>internal storage</t>
  </si>
  <si>
    <t>a10:e34</t>
  </si>
  <si>
    <t>700c width max</t>
  </si>
  <si>
    <t>ISO ASTM</t>
  </si>
  <si>
    <t>threaded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</si>
</sst>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  <font>
      <sz val="14"/>
      <color rgb="FF333333"/>
      <name val="Futura Medium"/>
    </font>
    <font>
      <sz val="16"/>
      <color rgb="FF000000"/>
      <name val="Arial"/>
      <family val="2"/>
    </font>
    <font>
      <sz val="21"/>
      <color rgb="FF003764"/>
      <name val="Arial"/>
      <family val="2"/>
    </font>
    <font>
      <b/>
      <sz val="18"/>
      <color rgb="FF1D1D1D"/>
      <name val="Arial Black"/>
      <family val="2"/>
    </font>
    <font>
      <sz val="16"/>
      <color rgb="FF1D1D1D"/>
      <name val="Helvetica Neue"/>
      <family val="2"/>
    </font>
    <font>
      <b/>
      <sz val="12"/>
      <color rgb="FF1D1D1D"/>
      <name val="Arial Black"/>
      <family val="2"/>
    </font>
    <font>
      <sz val="12"/>
      <color rgb="FF1D1D1D"/>
      <name val="Helvetica Neue"/>
      <family val="2"/>
    </font>
    <font>
      <sz val="14"/>
      <name val="Futura Medium"/>
    </font>
    <font>
      <b/>
      <sz val="12"/>
      <color rgb="FF252525"/>
      <name val="Helvetica"/>
      <family val="2"/>
    </font>
    <font>
      <sz val="12"/>
      <color rgb="FF252525"/>
      <name val="Helvetica"/>
      <family val="2"/>
    </font>
    <font>
      <sz val="14"/>
      <color rgb="FF000000"/>
      <name val="Futura Medium"/>
    </font>
    <font>
      <b/>
      <sz val="14"/>
      <color rgb="FF252525"/>
      <name val="Futura Medium"/>
    </font>
    <font>
      <sz val="14"/>
      <color rgb="FF252525"/>
      <name val="Futura Medium"/>
    </font>
    <font>
      <b/>
      <sz val="15"/>
      <color rgb="FF182321"/>
      <name val="Arial"/>
      <family val="2"/>
    </font>
    <font>
      <sz val="15"/>
      <color rgb="FF182321"/>
      <name val="Arial"/>
      <family val="2"/>
    </font>
    <font>
      <sz val="14"/>
      <color rgb="FF000000"/>
      <name val="Futura Medium"/>
      <charset val="1"/>
    </font>
    <font>
      <b/>
      <sz val="14"/>
      <color theme="1"/>
      <name val="Futura Medium"/>
    </font>
    <font>
      <sz val="14"/>
      <color theme="1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15</xdr:row>
      <xdr:rowOff>0</xdr:rowOff>
    </xdr:from>
    <xdr:to>
      <xdr:col>10</xdr:col>
      <xdr:colOff>304800</xdr:colOff>
      <xdr:row>16</xdr:row>
      <xdr:rowOff>50800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A9806B01-3305-7492-9366-C1DE2DF3E7E7}"/>
            </a:ext>
          </a:extLst>
        </xdr:cNvPr>
        <xdr:cNvSpPr>
          <a:spLocks noChangeAspect="1" noChangeArrowheads="1"/>
        </xdr:cNvSpPr>
      </xdr:nvSpPr>
      <xdr:spPr bwMode="auto">
        <a:xfrm>
          <a:off x="1135380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304800</xdr:colOff>
      <xdr:row>20</xdr:row>
      <xdr:rowOff>50800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AD1E69C1-6629-2ADF-72BF-C1EDA2F9D993}"/>
            </a:ext>
          </a:extLst>
        </xdr:cNvPr>
        <xdr:cNvSpPr>
          <a:spLocks noChangeAspect="1" noChangeArrowheads="1"/>
        </xdr:cNvSpPr>
      </xdr:nvSpPr>
      <xdr:spPr bwMode="auto">
        <a:xfrm>
          <a:off x="121920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F885-3999-4E4F-8F92-5857EF0F7F08}">
  <dimension ref="A1:AH46"/>
  <sheetViews>
    <sheetView tabSelected="1" topLeftCell="Q1" workbookViewId="0">
      <selection activeCell="T7" sqref="T7"/>
    </sheetView>
  </sheetViews>
  <sheetFormatPr baseColWidth="10" defaultRowHeight="20" x14ac:dyDescent="0.3"/>
  <cols>
    <col min="1" max="1" width="29.33203125" style="1" bestFit="1" customWidth="1"/>
    <col min="2" max="2" width="31.83203125" style="1" customWidth="1"/>
    <col min="3" max="5" width="12.5" style="1" customWidth="1"/>
    <col min="6" max="6" width="15" style="1" customWidth="1"/>
    <col min="7" max="9" width="16" style="1" customWidth="1"/>
    <col min="10" max="28" width="12.5" style="1" customWidth="1"/>
    <col min="29" max="16384" width="10.83203125" style="1"/>
  </cols>
  <sheetData>
    <row r="1" spans="1:34" x14ac:dyDescent="0.3">
      <c r="A1" s="1" t="s">
        <v>0</v>
      </c>
      <c r="B1" s="1" t="s">
        <v>32</v>
      </c>
    </row>
    <row r="2" spans="1:34" x14ac:dyDescent="0.3">
      <c r="A2" s="1" t="s">
        <v>1</v>
      </c>
      <c r="B2" s="1" t="s">
        <v>33</v>
      </c>
    </row>
    <row r="3" spans="1:34" x14ac:dyDescent="0.3">
      <c r="A3" s="1" t="s">
        <v>2</v>
      </c>
      <c r="B3" s="1">
        <v>2025</v>
      </c>
    </row>
    <row r="4" spans="1:34" x14ac:dyDescent="0.3">
      <c r="A4" s="1" t="s">
        <v>3</v>
      </c>
      <c r="B4" s="2">
        <v>45855</v>
      </c>
    </row>
    <row r="5" spans="1:34" x14ac:dyDescent="0.3">
      <c r="A5" s="1" t="s">
        <v>4</v>
      </c>
      <c r="B5" s="1" t="s">
        <v>54</v>
      </c>
    </row>
    <row r="6" spans="1:34" s="19" customFormat="1" ht="44" customHeight="1" x14ac:dyDescent="0.3">
      <c r="A6" s="19" t="s">
        <v>5</v>
      </c>
      <c r="B6" s="19" t="s">
        <v>59</v>
      </c>
      <c r="C6" s="19" t="s">
        <v>60</v>
      </c>
      <c r="D6" s="19" t="s">
        <v>96</v>
      </c>
      <c r="E6" s="19" t="s">
        <v>61</v>
      </c>
      <c r="F6" s="19" t="s">
        <v>62</v>
      </c>
      <c r="G6" s="19" t="s">
        <v>91</v>
      </c>
      <c r="H6" s="19" t="s">
        <v>92</v>
      </c>
      <c r="I6" s="19" t="s">
        <v>93</v>
      </c>
      <c r="J6" s="19" t="s">
        <v>63</v>
      </c>
      <c r="K6" s="19" t="s">
        <v>64</v>
      </c>
      <c r="L6" s="19" t="s">
        <v>65</v>
      </c>
      <c r="M6" s="19" t="s">
        <v>66</v>
      </c>
      <c r="N6" s="19" t="s">
        <v>67</v>
      </c>
      <c r="O6" s="19" t="s">
        <v>68</v>
      </c>
      <c r="P6" s="20" t="s">
        <v>85</v>
      </c>
      <c r="Q6" s="19" t="s">
        <v>89</v>
      </c>
      <c r="R6" s="19" t="s">
        <v>69</v>
      </c>
      <c r="S6" s="19" t="s">
        <v>70</v>
      </c>
      <c r="T6" s="19" t="s">
        <v>71</v>
      </c>
      <c r="U6" s="19" t="s">
        <v>72</v>
      </c>
      <c r="V6" s="19" t="s">
        <v>73</v>
      </c>
      <c r="W6" s="19" t="s">
        <v>74</v>
      </c>
      <c r="X6" s="19" t="s">
        <v>75</v>
      </c>
      <c r="Y6" s="19" t="s">
        <v>76</v>
      </c>
      <c r="Z6" s="19" t="s">
        <v>77</v>
      </c>
      <c r="AA6" s="19" t="s">
        <v>78</v>
      </c>
      <c r="AB6" s="23" t="s">
        <v>97</v>
      </c>
      <c r="AC6" s="19" t="s">
        <v>79</v>
      </c>
      <c r="AD6" s="19" t="s">
        <v>80</v>
      </c>
      <c r="AE6" s="19" t="s">
        <v>81</v>
      </c>
      <c r="AF6" s="19" t="s">
        <v>90</v>
      </c>
      <c r="AG6" s="19" t="s">
        <v>82</v>
      </c>
      <c r="AH6" s="20" t="s">
        <v>94</v>
      </c>
    </row>
    <row r="7" spans="1:34" x14ac:dyDescent="0.3">
      <c r="A7" s="1" t="s">
        <v>6</v>
      </c>
      <c r="B7" s="1" t="s">
        <v>58</v>
      </c>
      <c r="C7" s="1">
        <v>0</v>
      </c>
      <c r="D7" s="1">
        <v>50</v>
      </c>
      <c r="F7" s="1" t="s">
        <v>88</v>
      </c>
      <c r="G7" s="1" t="s">
        <v>88</v>
      </c>
      <c r="H7" s="1" t="s">
        <v>88</v>
      </c>
      <c r="I7" s="1" t="s">
        <v>88</v>
      </c>
      <c r="J7" s="1">
        <v>142</v>
      </c>
      <c r="K7" s="1">
        <v>100</v>
      </c>
      <c r="M7" s="1">
        <v>27.2</v>
      </c>
      <c r="N7" s="1" t="s">
        <v>83</v>
      </c>
      <c r="O7" s="1" t="s">
        <v>83</v>
      </c>
      <c r="P7" s="21" t="s">
        <v>58</v>
      </c>
      <c r="Q7" s="1" t="s">
        <v>58</v>
      </c>
      <c r="R7" s="1">
        <v>46</v>
      </c>
      <c r="S7" s="1" t="s">
        <v>86</v>
      </c>
      <c r="T7" s="1" t="s">
        <v>98</v>
      </c>
      <c r="U7" s="1">
        <v>2</v>
      </c>
      <c r="V7" s="1">
        <v>1</v>
      </c>
      <c r="W7" s="1">
        <v>1</v>
      </c>
      <c r="Y7" s="1" t="s">
        <v>58</v>
      </c>
      <c r="Z7" s="1" t="s">
        <v>58</v>
      </c>
      <c r="AA7" s="1" t="s">
        <v>58</v>
      </c>
      <c r="AB7" s="1" t="s">
        <v>58</v>
      </c>
      <c r="AC7" s="1">
        <v>160</v>
      </c>
      <c r="AD7" s="1">
        <v>160</v>
      </c>
      <c r="AE7" s="1">
        <v>1899</v>
      </c>
      <c r="AF7" s="1">
        <v>3299</v>
      </c>
      <c r="AG7" s="1" t="s">
        <v>84</v>
      </c>
      <c r="AH7" s="22" t="s">
        <v>88</v>
      </c>
    </row>
    <row r="9" spans="1:34" x14ac:dyDescent="0.3">
      <c r="A9" s="1" t="s">
        <v>7</v>
      </c>
      <c r="B9" s="1" t="s">
        <v>95</v>
      </c>
    </row>
    <row r="10" spans="1:34" x14ac:dyDescent="0.3">
      <c r="A10" s="1" t="s">
        <v>8</v>
      </c>
      <c r="B10" s="1" t="s">
        <v>8</v>
      </c>
      <c r="C10" s="1" t="s">
        <v>34</v>
      </c>
      <c r="D10" s="15" t="s">
        <v>35</v>
      </c>
      <c r="E10" s="15" t="s">
        <v>36</v>
      </c>
      <c r="F10" s="15"/>
      <c r="G10" s="15"/>
      <c r="H10" s="15"/>
      <c r="J10" s="12"/>
      <c r="K10" s="12"/>
      <c r="L10" s="12"/>
      <c r="M10" s="12"/>
      <c r="N10" s="12"/>
      <c r="O10" s="12"/>
      <c r="P10"/>
      <c r="Q10" s="3"/>
    </row>
    <row r="11" spans="1:34" x14ac:dyDescent="0.3">
      <c r="A11" s="1" t="s">
        <v>18</v>
      </c>
      <c r="B11" s="1" t="s">
        <v>40</v>
      </c>
      <c r="C11" s="1">
        <v>745</v>
      </c>
      <c r="D11" s="1">
        <v>770</v>
      </c>
      <c r="E11" s="1">
        <v>790</v>
      </c>
      <c r="F11" s="16"/>
      <c r="G11" s="16"/>
      <c r="H11" s="16"/>
      <c r="J11" s="13"/>
      <c r="K11" s="13"/>
      <c r="L11" s="13"/>
      <c r="M11" s="13"/>
      <c r="N11" s="13"/>
      <c r="O11" s="13"/>
      <c r="P11" s="13"/>
      <c r="Q11" s="3"/>
    </row>
    <row r="12" spans="1:34" x14ac:dyDescent="0.3">
      <c r="A12" s="1" t="s">
        <v>15</v>
      </c>
      <c r="B12" s="16" t="s">
        <v>41</v>
      </c>
      <c r="C12" s="16">
        <v>70</v>
      </c>
      <c r="D12" s="16">
        <v>70</v>
      </c>
      <c r="E12" s="16">
        <v>70</v>
      </c>
      <c r="F12" s="16"/>
      <c r="G12" s="16"/>
      <c r="H12" s="16"/>
      <c r="J12" s="13"/>
      <c r="K12" s="13"/>
      <c r="L12" s="13"/>
      <c r="M12" s="13"/>
      <c r="N12" s="13"/>
      <c r="O12" s="13"/>
      <c r="P12" s="13"/>
      <c r="Q12" s="3"/>
    </row>
    <row r="13" spans="1:34" x14ac:dyDescent="0.3">
      <c r="A13" s="1" t="s">
        <v>16</v>
      </c>
      <c r="B13" s="16" t="s">
        <v>42</v>
      </c>
      <c r="C13" s="16">
        <v>74</v>
      </c>
      <c r="D13" s="16">
        <v>74</v>
      </c>
      <c r="E13" s="16">
        <v>74</v>
      </c>
      <c r="F13" s="16"/>
      <c r="G13" s="16"/>
      <c r="H13" s="16"/>
      <c r="J13" s="13"/>
      <c r="K13" s="13"/>
      <c r="L13" s="13"/>
      <c r="M13" s="13"/>
      <c r="N13" s="13"/>
      <c r="O13" s="13"/>
      <c r="P13" s="13"/>
      <c r="Q13" s="3"/>
    </row>
    <row r="14" spans="1:34" x14ac:dyDescent="0.3">
      <c r="A14" s="1" t="s">
        <v>20</v>
      </c>
      <c r="B14" s="16" t="s">
        <v>43</v>
      </c>
      <c r="C14" s="16">
        <v>573</v>
      </c>
      <c r="D14" s="16">
        <v>591</v>
      </c>
      <c r="E14" s="16">
        <v>611</v>
      </c>
      <c r="F14" s="16"/>
      <c r="G14" s="16"/>
      <c r="H14" s="16"/>
      <c r="J14" s="13"/>
      <c r="K14" s="13"/>
      <c r="L14" s="13"/>
      <c r="M14" s="13"/>
      <c r="N14" s="13"/>
      <c r="O14" s="13"/>
      <c r="P14" s="13"/>
      <c r="Q14" s="3"/>
    </row>
    <row r="15" spans="1:34" x14ac:dyDescent="0.3">
      <c r="A15" s="1" t="s">
        <v>19</v>
      </c>
      <c r="B15" s="16" t="s">
        <v>44</v>
      </c>
      <c r="C15" s="16">
        <v>382</v>
      </c>
      <c r="D15" s="16">
        <v>393</v>
      </c>
      <c r="E15" s="16">
        <v>400</v>
      </c>
      <c r="F15" s="16"/>
      <c r="G15" s="16"/>
      <c r="H15" s="16"/>
      <c r="J15" s="13"/>
      <c r="K15" s="13"/>
      <c r="L15" s="13"/>
      <c r="M15" s="13"/>
      <c r="N15" s="13"/>
      <c r="O15" s="13"/>
      <c r="P15" s="13"/>
      <c r="Q15" s="3"/>
    </row>
    <row r="16" spans="1:34" x14ac:dyDescent="0.3">
      <c r="A16" s="1" t="s">
        <v>11</v>
      </c>
      <c r="B16" s="16" t="s">
        <v>45</v>
      </c>
      <c r="C16" s="16">
        <v>145</v>
      </c>
      <c r="D16" s="16">
        <v>165</v>
      </c>
      <c r="E16" s="16">
        <v>185</v>
      </c>
      <c r="F16" s="16"/>
      <c r="G16" s="16"/>
      <c r="H16" s="16"/>
      <c r="J16" s="13"/>
      <c r="K16" s="13"/>
      <c r="L16" s="13"/>
      <c r="M16" s="13"/>
      <c r="N16" s="13"/>
      <c r="O16" s="13"/>
      <c r="P16" s="13"/>
      <c r="Q16" s="3"/>
    </row>
    <row r="17" spans="1:19" x14ac:dyDescent="0.3">
      <c r="A17" s="1" t="s">
        <v>9</v>
      </c>
      <c r="B17" s="16" t="s">
        <v>46</v>
      </c>
      <c r="C17" s="16">
        <v>450</v>
      </c>
      <c r="D17" s="16">
        <v>480</v>
      </c>
      <c r="E17" s="16">
        <v>510</v>
      </c>
      <c r="F17" s="16"/>
      <c r="G17" s="16"/>
      <c r="H17" s="16"/>
      <c r="J17" s="13"/>
      <c r="K17" s="13"/>
      <c r="L17" s="13"/>
      <c r="M17" s="13"/>
      <c r="N17" s="13"/>
      <c r="O17" s="13"/>
      <c r="P17" s="13"/>
      <c r="Q17" s="3"/>
    </row>
    <row r="18" spans="1:19" x14ac:dyDescent="0.3">
      <c r="A18" s="1" t="s">
        <v>10</v>
      </c>
      <c r="B18" s="16" t="s">
        <v>47</v>
      </c>
      <c r="C18" s="16">
        <v>546</v>
      </c>
      <c r="D18" s="16">
        <v>562</v>
      </c>
      <c r="E18" s="16">
        <v>575</v>
      </c>
      <c r="F18" s="16"/>
      <c r="G18" s="16"/>
      <c r="H18" s="16"/>
      <c r="J18" s="13"/>
      <c r="K18" s="13"/>
      <c r="L18" s="13"/>
      <c r="M18" s="13"/>
      <c r="N18" s="13"/>
      <c r="O18" s="13"/>
      <c r="P18" s="13"/>
      <c r="Q18" s="10"/>
      <c r="R18" s="10"/>
      <c r="S18" s="10"/>
    </row>
    <row r="19" spans="1:19" x14ac:dyDescent="0.3">
      <c r="A19" s="1" t="s">
        <v>12</v>
      </c>
      <c r="B19" s="16" t="s">
        <v>48</v>
      </c>
      <c r="C19" s="16">
        <v>432</v>
      </c>
      <c r="D19" s="16">
        <v>432</v>
      </c>
      <c r="E19" s="16">
        <v>432</v>
      </c>
      <c r="F19" s="16"/>
      <c r="G19" s="16"/>
      <c r="H19" s="16"/>
      <c r="J19" s="13"/>
      <c r="K19" s="13"/>
      <c r="L19" s="13"/>
      <c r="M19" s="13"/>
      <c r="N19" s="13"/>
      <c r="O19" s="13"/>
      <c r="P19" s="13"/>
      <c r="Q19" s="10"/>
      <c r="R19" s="10"/>
      <c r="S19" s="10"/>
    </row>
    <row r="20" spans="1:19" x14ac:dyDescent="0.3">
      <c r="A20" s="1" t="s">
        <v>13</v>
      </c>
      <c r="B20" s="16" t="s">
        <v>49</v>
      </c>
      <c r="C20" s="16">
        <v>75</v>
      </c>
      <c r="D20" s="16">
        <v>75</v>
      </c>
      <c r="E20" s="16">
        <v>75</v>
      </c>
      <c r="F20" s="16"/>
      <c r="G20" s="16"/>
      <c r="H20" s="16"/>
      <c r="J20" s="13"/>
      <c r="K20" s="13"/>
      <c r="L20" s="13"/>
      <c r="M20" s="13"/>
      <c r="N20" s="13"/>
      <c r="O20" s="13"/>
      <c r="P20" s="13"/>
      <c r="Q20" s="10"/>
      <c r="R20" s="10"/>
      <c r="S20" s="10"/>
    </row>
    <row r="21" spans="1:19" x14ac:dyDescent="0.3">
      <c r="A21" s="1" t="s">
        <v>17</v>
      </c>
      <c r="B21" s="16" t="s">
        <v>50</v>
      </c>
      <c r="C21" s="16">
        <v>55</v>
      </c>
      <c r="D21" s="16">
        <v>55</v>
      </c>
      <c r="E21" s="16">
        <v>55</v>
      </c>
      <c r="F21" s="16"/>
      <c r="G21" s="16"/>
      <c r="H21" s="16"/>
      <c r="J21" s="13"/>
      <c r="K21" s="13"/>
      <c r="L21" s="13"/>
      <c r="M21" s="13"/>
      <c r="N21" s="13"/>
      <c r="O21" s="13"/>
      <c r="P21" s="13"/>
      <c r="Q21" s="10"/>
      <c r="R21" s="10"/>
      <c r="S21" s="10"/>
    </row>
    <row r="22" spans="1:19" x14ac:dyDescent="0.3">
      <c r="A22" s="1" t="s">
        <v>14</v>
      </c>
      <c r="B22" s="16" t="s">
        <v>51</v>
      </c>
      <c r="C22" s="16">
        <v>1040</v>
      </c>
      <c r="D22" s="16">
        <v>1057</v>
      </c>
      <c r="E22" s="16">
        <v>1072</v>
      </c>
      <c r="F22" s="16"/>
      <c r="G22" s="16"/>
      <c r="H22" s="16"/>
      <c r="J22" s="13"/>
      <c r="K22" s="13"/>
      <c r="L22" s="13"/>
      <c r="M22" s="13"/>
      <c r="N22" s="13"/>
      <c r="O22" s="13"/>
      <c r="P22" s="13"/>
      <c r="Q22" s="10"/>
      <c r="R22" s="10"/>
      <c r="S22" s="10"/>
    </row>
    <row r="23" spans="1:19" x14ac:dyDescent="0.3">
      <c r="A23" s="1" t="s">
        <v>22</v>
      </c>
      <c r="B23" s="16" t="s">
        <v>52</v>
      </c>
      <c r="C23" s="16">
        <v>71</v>
      </c>
      <c r="D23" s="16">
        <v>71</v>
      </c>
      <c r="E23" s="16">
        <v>71</v>
      </c>
      <c r="F23" s="16"/>
      <c r="G23" s="16"/>
      <c r="H23" s="16"/>
      <c r="J23" s="13"/>
      <c r="K23" s="13"/>
      <c r="L23" s="13"/>
      <c r="M23" s="13"/>
      <c r="N23" s="13"/>
      <c r="O23" s="13"/>
      <c r="P23" s="13"/>
      <c r="Q23" s="10"/>
      <c r="R23" s="10"/>
      <c r="S23" s="10"/>
    </row>
    <row r="24" spans="1:19" x14ac:dyDescent="0.3">
      <c r="A24" s="1" t="s">
        <v>24</v>
      </c>
      <c r="B24" s="16" t="s">
        <v>53</v>
      </c>
      <c r="C24" s="16">
        <v>70</v>
      </c>
      <c r="D24" s="16">
        <v>80</v>
      </c>
      <c r="E24" s="16">
        <v>90</v>
      </c>
      <c r="F24" s="16"/>
      <c r="G24" s="16"/>
      <c r="H24" s="16"/>
      <c r="J24" s="13"/>
      <c r="K24" s="13"/>
      <c r="L24" s="13"/>
      <c r="M24" s="13"/>
      <c r="N24" s="13"/>
      <c r="O24" s="13"/>
      <c r="P24" s="13"/>
      <c r="Q24" s="10"/>
      <c r="R24" s="10"/>
      <c r="S24" s="10"/>
    </row>
    <row r="25" spans="1:19" x14ac:dyDescent="0.3">
      <c r="A25" s="1" t="s">
        <v>25</v>
      </c>
      <c r="B25" s="16"/>
      <c r="C25" s="16"/>
      <c r="D25" s="16"/>
      <c r="E25" s="16"/>
      <c r="F25" s="16"/>
      <c r="G25" s="16"/>
      <c r="H25" s="16"/>
      <c r="J25" s="13"/>
      <c r="K25" s="13"/>
      <c r="L25" s="13"/>
      <c r="M25" s="13"/>
      <c r="N25" s="13"/>
      <c r="O25" s="13"/>
      <c r="P25" s="13"/>
      <c r="Q25" s="10"/>
      <c r="R25" s="10"/>
      <c r="S25" s="10"/>
    </row>
    <row r="26" spans="1:19" x14ac:dyDescent="0.3">
      <c r="A26" s="1" t="s">
        <v>23</v>
      </c>
      <c r="C26" s="16"/>
      <c r="D26" s="16"/>
      <c r="E26" s="16"/>
      <c r="F26" s="16"/>
      <c r="G26" s="16"/>
      <c r="H26" s="16"/>
      <c r="J26" s="13"/>
      <c r="K26" s="13"/>
      <c r="L26" s="13"/>
      <c r="M26" s="13"/>
      <c r="N26" s="13"/>
      <c r="O26" s="13"/>
      <c r="P26" s="13"/>
      <c r="Q26" s="10"/>
      <c r="R26" s="10"/>
      <c r="S26" s="10"/>
    </row>
    <row r="27" spans="1:19" x14ac:dyDescent="0.3">
      <c r="A27" s="1" t="s">
        <v>21</v>
      </c>
      <c r="C27" s="16"/>
      <c r="D27" s="16"/>
      <c r="E27" s="16"/>
      <c r="F27" s="16"/>
      <c r="G27" s="16"/>
      <c r="H27" s="16"/>
      <c r="J27" s="13"/>
      <c r="K27" s="13"/>
      <c r="L27" s="13"/>
      <c r="M27" s="13"/>
      <c r="N27" s="13"/>
      <c r="O27" s="13"/>
      <c r="P27" s="13"/>
      <c r="Q27" s="10"/>
      <c r="R27" s="10"/>
      <c r="S27" s="10"/>
    </row>
    <row r="28" spans="1:19" x14ac:dyDescent="0.3">
      <c r="A28" s="1" t="s">
        <v>31</v>
      </c>
      <c r="B28" s="16"/>
      <c r="C28" s="16"/>
      <c r="D28" s="16"/>
      <c r="E28" s="16"/>
      <c r="F28" s="16"/>
      <c r="G28" s="16"/>
      <c r="H28" s="16"/>
      <c r="J28" s="13"/>
      <c r="K28" s="13"/>
      <c r="L28" s="13"/>
      <c r="M28" s="13"/>
      <c r="N28" s="13"/>
      <c r="O28" s="13"/>
      <c r="P28" s="13"/>
      <c r="Q28" s="10"/>
      <c r="R28" s="10"/>
      <c r="S28" s="10"/>
    </row>
    <row r="29" spans="1:19" x14ac:dyDescent="0.3">
      <c r="A29" s="1" t="s">
        <v>87</v>
      </c>
      <c r="B29" s="16"/>
      <c r="C29" s="16"/>
      <c r="D29" s="16"/>
      <c r="E29" s="16">
        <v>1350</v>
      </c>
      <c r="F29" s="16"/>
      <c r="G29" s="16"/>
      <c r="H29" s="16"/>
      <c r="J29" s="13"/>
      <c r="K29" s="13"/>
      <c r="L29" s="13"/>
      <c r="M29" s="13"/>
      <c r="N29" s="13"/>
      <c r="O29" s="13"/>
      <c r="P29" s="13"/>
      <c r="Q29" s="10"/>
      <c r="R29" s="10"/>
      <c r="S29" s="10"/>
    </row>
    <row r="30" spans="1:19" x14ac:dyDescent="0.3">
      <c r="A30" s="1" t="s">
        <v>26</v>
      </c>
      <c r="C30" s="16">
        <v>700</v>
      </c>
      <c r="D30" s="16">
        <v>700</v>
      </c>
      <c r="E30" s="16">
        <v>700</v>
      </c>
      <c r="F30" s="16"/>
      <c r="G30" s="16"/>
      <c r="H30" s="16"/>
      <c r="J30" s="13"/>
      <c r="K30" s="13"/>
      <c r="L30" s="13"/>
      <c r="M30" s="13"/>
      <c r="N30" s="13"/>
      <c r="O30" s="13"/>
      <c r="P30" s="13"/>
      <c r="Q30" s="10"/>
      <c r="R30" s="10"/>
      <c r="S30" s="10"/>
    </row>
    <row r="31" spans="1:19" x14ac:dyDescent="0.3">
      <c r="A31" s="1" t="s">
        <v>27</v>
      </c>
      <c r="C31" s="16">
        <v>45</v>
      </c>
      <c r="D31" s="16">
        <v>45</v>
      </c>
      <c r="E31" s="16">
        <v>45</v>
      </c>
      <c r="F31" s="16"/>
      <c r="G31" s="16"/>
      <c r="H31" s="16"/>
      <c r="J31" s="13"/>
      <c r="K31" s="13"/>
      <c r="L31" s="13"/>
      <c r="M31" s="13"/>
      <c r="N31" s="13"/>
      <c r="O31" s="13"/>
      <c r="P31" s="13"/>
      <c r="Q31" s="10"/>
      <c r="R31" s="10"/>
      <c r="S31" s="10"/>
    </row>
    <row r="32" spans="1:19" x14ac:dyDescent="0.3">
      <c r="A32" s="1" t="s">
        <v>28</v>
      </c>
      <c r="C32" s="16">
        <f>2.25*25.4</f>
        <v>57.15</v>
      </c>
      <c r="D32" s="16">
        <f t="shared" ref="D32:E32" si="0">2.25*25.4</f>
        <v>57.15</v>
      </c>
      <c r="E32" s="16">
        <f t="shared" si="0"/>
        <v>57.15</v>
      </c>
      <c r="F32" s="16" t="s">
        <v>55</v>
      </c>
      <c r="G32" s="16"/>
      <c r="H32" s="16"/>
      <c r="J32" s="13"/>
      <c r="K32" s="13"/>
      <c r="L32" s="13"/>
      <c r="M32" s="13"/>
      <c r="N32" s="13"/>
      <c r="O32" s="13"/>
      <c r="P32" s="13"/>
      <c r="Q32" s="10"/>
      <c r="R32" s="10"/>
      <c r="S32" s="10"/>
    </row>
    <row r="33" spans="1:19" x14ac:dyDescent="0.3">
      <c r="A33" s="1" t="s">
        <v>29</v>
      </c>
      <c r="B33" s="14"/>
      <c r="C33" s="1">
        <f>C35*2.54</f>
        <v>162.56</v>
      </c>
      <c r="D33" s="1">
        <f t="shared" ref="D33:E34" si="1">D35*2.54</f>
        <v>170.18</v>
      </c>
      <c r="E33" s="1">
        <f t="shared" si="1"/>
        <v>177.8</v>
      </c>
      <c r="I33"/>
      <c r="J33"/>
      <c r="K33"/>
      <c r="L33"/>
      <c r="M33"/>
      <c r="N33"/>
      <c r="O33"/>
      <c r="P33"/>
      <c r="Q33" s="10"/>
      <c r="R33" s="10"/>
      <c r="S33" s="10"/>
    </row>
    <row r="34" spans="1:19" x14ac:dyDescent="0.3">
      <c r="A34" s="1" t="s">
        <v>30</v>
      </c>
      <c r="B34" s="14"/>
      <c r="C34" s="1">
        <f>C36*2.54</f>
        <v>170.18</v>
      </c>
      <c r="D34" s="1">
        <f t="shared" si="1"/>
        <v>177.8</v>
      </c>
      <c r="E34" s="1">
        <f t="shared" si="1"/>
        <v>187.96</v>
      </c>
      <c r="J34"/>
      <c r="K34" s="11"/>
      <c r="L34" s="11"/>
      <c r="M34" s="11"/>
      <c r="N34" s="10"/>
      <c r="O34" s="10"/>
      <c r="P34" s="10"/>
      <c r="Q34" s="10"/>
      <c r="R34" s="10"/>
      <c r="S34" s="10"/>
    </row>
    <row r="35" spans="1:19" x14ac:dyDescent="0.3">
      <c r="B35" s="14"/>
      <c r="C35" s="14">
        <v>64</v>
      </c>
      <c r="D35" s="14">
        <v>67</v>
      </c>
      <c r="E35" s="14">
        <v>70</v>
      </c>
      <c r="F35" s="14"/>
      <c r="G35" s="14"/>
      <c r="H35" s="14"/>
      <c r="J35" s="11"/>
      <c r="K35" s="11"/>
      <c r="L35" s="11"/>
      <c r="M35" s="11"/>
      <c r="N35" s="10"/>
      <c r="O35" s="10"/>
      <c r="P35" s="10"/>
      <c r="Q35" s="10"/>
      <c r="R35" s="10"/>
      <c r="S35" s="10"/>
    </row>
    <row r="36" spans="1:19" x14ac:dyDescent="0.3">
      <c r="C36" s="1">
        <v>67</v>
      </c>
      <c r="D36" s="1">
        <v>70</v>
      </c>
      <c r="E36" s="1">
        <v>74</v>
      </c>
      <c r="J36" s="11"/>
      <c r="K36" s="11"/>
      <c r="L36" s="11"/>
      <c r="M36" s="11"/>
      <c r="N36" s="10"/>
      <c r="O36" s="10"/>
      <c r="P36" s="10"/>
      <c r="Q36" s="10"/>
      <c r="R36" s="10"/>
      <c r="S36" s="10"/>
    </row>
    <row r="37" spans="1:19" ht="21" x14ac:dyDescent="0.3">
      <c r="B37" s="17" t="s">
        <v>34</v>
      </c>
      <c r="C37" s="17" t="s">
        <v>56</v>
      </c>
      <c r="D37" s="17" t="s">
        <v>36</v>
      </c>
      <c r="E37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spans="1:19" ht="21" x14ac:dyDescent="0.3">
      <c r="B38" s="18" t="s">
        <v>57</v>
      </c>
      <c r="C38" s="18" t="s">
        <v>37</v>
      </c>
      <c r="D38" s="18" t="s">
        <v>38</v>
      </c>
      <c r="E38" s="18" t="s">
        <v>39</v>
      </c>
      <c r="F38" s="14"/>
      <c r="G38" s="14"/>
      <c r="H38" s="14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40" spans="1:19" x14ac:dyDescent="0.3">
      <c r="B40" s="16"/>
      <c r="C40" s="16"/>
      <c r="D40" s="16"/>
      <c r="E40" s="16"/>
    </row>
    <row r="41" spans="1:19" ht="30" x14ac:dyDescent="0.45">
      <c r="B41" s="5"/>
      <c r="K41" s="6"/>
      <c r="L41"/>
      <c r="M41"/>
      <c r="N41"/>
      <c r="O41"/>
      <c r="P41"/>
    </row>
    <row r="42" spans="1:19" ht="27" x14ac:dyDescent="0.3">
      <c r="B42" s="5"/>
      <c r="K42" s="7"/>
      <c r="L42"/>
      <c r="M42"/>
      <c r="N42"/>
      <c r="O42"/>
      <c r="P42"/>
    </row>
    <row r="43" spans="1:19" ht="27" x14ac:dyDescent="0.3">
      <c r="B43" s="5"/>
      <c r="C43" s="4"/>
      <c r="D43" s="4"/>
      <c r="E43" s="4"/>
      <c r="F43" s="4"/>
      <c r="G43" s="4"/>
      <c r="K43" s="8"/>
      <c r="L43" s="8"/>
      <c r="M43" s="8"/>
      <c r="N43" s="8"/>
      <c r="O43" s="8"/>
      <c r="P43" s="8"/>
    </row>
    <row r="44" spans="1:19" ht="27" x14ac:dyDescent="0.3">
      <c r="B44" s="5"/>
      <c r="C44" s="4"/>
      <c r="D44" s="4"/>
      <c r="E44" s="4"/>
      <c r="F44" s="4"/>
      <c r="G44" s="4"/>
      <c r="K44" s="8"/>
      <c r="L44" s="9"/>
      <c r="M44" s="9"/>
      <c r="N44" s="9"/>
      <c r="O44" s="9"/>
      <c r="P44" s="9"/>
    </row>
    <row r="45" spans="1:19" ht="27" x14ac:dyDescent="0.3">
      <c r="B45" s="5"/>
      <c r="K45" s="8"/>
      <c r="L45" s="9"/>
      <c r="M45" s="9"/>
      <c r="N45" s="9"/>
      <c r="O45" s="9"/>
      <c r="P45" s="9"/>
    </row>
    <row r="46" spans="1:19" x14ac:dyDescent="0.3">
      <c r="K46" s="8"/>
      <c r="L46" s="9"/>
      <c r="M46" s="9"/>
      <c r="N46" s="9"/>
      <c r="O46" s="9"/>
      <c r="P46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Panorama Katahdin 2.1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2025-07-15T14:07:03Z</dcterms:created>
  <dcterms:modified xsi:type="dcterms:W3CDTF">2025-07-23T00:45:20Z</dcterms:modified>
</cp:coreProperties>
</file>