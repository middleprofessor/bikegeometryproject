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ardtail/"/>
    </mc:Choice>
  </mc:AlternateContent>
  <xr:revisionPtr revIDLastSave="0" documentId="13_ncr:1_{D5AE4467-41CC-1749-9334-02BC7D542E1E}" xr6:coauthVersionLast="47" xr6:coauthVersionMax="47" xr10:uidLastSave="{00000000-0000-0000-0000-000000000000}"/>
  <bookViews>
    <workbookView xWindow="8500" yWindow="74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D31" i="1" s="1"/>
  <c r="F30" i="1"/>
  <c r="E31" i="1" s="1"/>
  <c r="G30" i="1"/>
  <c r="F31" i="1" s="1"/>
  <c r="H30" i="1"/>
  <c r="G31" i="1" s="1"/>
  <c r="D30" i="1"/>
  <c r="C31" i="1" s="1"/>
  <c r="H31" i="1"/>
  <c r="C30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C17" i="1"/>
  <c r="C16" i="1"/>
  <c r="C14" i="1"/>
  <c r="C13" i="1"/>
  <c r="C11" i="1"/>
  <c r="C12" i="1"/>
  <c r="C15" i="1"/>
  <c r="C18" i="1"/>
  <c r="C19" i="1"/>
  <c r="C10" i="1"/>
  <c r="C9" i="1"/>
  <c r="H8" i="1"/>
  <c r="C8" i="1"/>
  <c r="D8" i="1"/>
  <c r="E8" i="1"/>
  <c r="F8" i="1"/>
  <c r="G8" i="1"/>
  <c r="B8" i="1"/>
</calcChain>
</file>

<file path=xl/sharedStrings.xml><?xml version="1.0" encoding="utf-8"?>
<sst xmlns="http://schemas.openxmlformats.org/spreadsheetml/2006/main" count="159" uniqueCount="119">
  <si>
    <t>brand</t>
  </si>
  <si>
    <t>Chumba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</si>
  <si>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</si>
  <si>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</si>
  <si>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</si>
  <si>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</si>
  <si>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</si>
  <si>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</si>
  <si>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</si>
  <si>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</si>
  <si>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Effective Top Tube</t>
  </si>
  <si>
    <t>head_tube_angle</t>
  </si>
  <si>
    <t>Head Tube Angle</t>
  </si>
  <si>
    <t>head_tube_length</t>
  </si>
  <si>
    <t>Head Tube Length</t>
  </si>
  <si>
    <t>seat_tube_angle</t>
  </si>
  <si>
    <t>Seat Tube 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</si>
  <si>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</si>
  <si>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</si>
  <si>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</si>
  <si>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</si>
  <si>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</si>
  <si>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</si>
  <si>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</si>
  <si>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</si>
  <si>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</si>
  <si>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</si>
  <si>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</si>
  <si>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</si>
  <si>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</si>
  <si>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</si>
  <si>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</si>
  <si>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</si>
  <si>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</si>
  <si>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</si>
  <si>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</si>
  <si>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</si>
  <si>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</si>
  <si>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</si>
  <si>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</si>
  <si>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</si>
  <si>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</si>
  <si>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</si>
  <si>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</si>
  <si>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</si>
  <si>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</si>
  <si>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</si>
  <si>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</si>
  <si>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</si>
  <si>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</si>
  <si>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</si>
  <si>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</si>
  <si>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</si>
  <si>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</si>
  <si>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</si>
  <si>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</si>
  <si>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</si>
  <si>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</si>
  <si>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</si>
  <si>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</si>
  <si>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</si>
  <si>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</si>
  <si>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</si>
  <si>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</si>
  <si>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</si>
  <si>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</si>
  <si>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</si>
  <si>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</si>
  <si>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</si>
  <si>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</si>
  <si>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</si>
  <si>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</si>
  <si>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</si>
  <si>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</si>
  <si>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</si>
  <si>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</si>
  <si>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</si>
  <si>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</si>
  <si>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</si>
  <si>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</si>
  <si>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</si>
  <si>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Measurement</t>
  </si>
  <si>
    <t>S</t>
  </si>
  <si>
    <t>M</t>
  </si>
  <si>
    <t>M/L</t>
  </si>
  <si>
    <t>L</t>
  </si>
  <si>
    <t>L/XL</t>
  </si>
  <si>
    <t>Suggested Rider</t>
  </si>
  <si>
    <t>&lt;5'6"</t>
  </si>
  <si>
    <t>5'7" - 5'9"</t>
  </si>
  <si>
    <t>5'9"- 5'10"</t>
  </si>
  <si>
    <t>5'11"- 6'1"</t>
  </si>
  <si>
    <t>6'1" - 6'2"</t>
  </si>
  <si>
    <t>6'2&gt;</t>
  </si>
  <si>
    <t>Suggested Stem Length w/MTB Bar</t>
  </si>
  <si>
    <t>32-60</t>
  </si>
  <si>
    <t>40-70</t>
  </si>
  <si>
    <t>50-80</t>
  </si>
  <si>
    <t>65-90</t>
  </si>
  <si>
    <t>Suggested Stem Length w/Drop Bar</t>
  </si>
  <si>
    <t>32-50</t>
  </si>
  <si>
    <t>32-70</t>
  </si>
  <si>
    <t>440-460</t>
  </si>
  <si>
    <t>threaded</t>
  </si>
  <si>
    <t>no</t>
  </si>
  <si>
    <t>internal</t>
  </si>
  <si>
    <t>external</t>
  </si>
  <si>
    <t>optional</t>
  </si>
  <si>
    <t>us</t>
  </si>
  <si>
    <t>https://chumbausa.com/yaupon-steel-mountain-bike-29er-27plus?gad_source=1&amp;gad_campaignid=22037681435&amp;gbraid=0AAAAACx2TJJof_f7wQBU7W9AxJ9w9Uvlo&amp;gclid=Cj0KCQjw-ZHEBhCxARIsAGGN96Jx8h9S-QSPWTdrYS_K7zHvmR9KCc-WPR4MAJ4QSBs-z1QGdI0NbgIaAhOTEALw_wcB</t>
  </si>
  <si>
    <t>1106-1126</t>
  </si>
  <si>
    <t>1126-1146</t>
  </si>
  <si>
    <t>1136-1156</t>
  </si>
  <si>
    <t>1147-1167</t>
  </si>
  <si>
    <t>1158-1178</t>
  </si>
  <si>
    <t>1169-1189</t>
  </si>
  <si>
    <t>trail</t>
  </si>
  <si>
    <t>a8:h31</t>
  </si>
  <si>
    <t>Yaupon Steel Suspension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</si>
</sst>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topLeftCell="A38" workbookViewId="0">
      <selection activeCell="B53" sqref="B53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1" t="s">
        <v>118</v>
      </c>
    </row>
    <row r="3" spans="1:16" x14ac:dyDescent="0.3">
      <c r="A3" t="s">
        <v>3</v>
      </c>
      <c r="B3">
        <v>2022</v>
      </c>
    </row>
    <row r="4" spans="1:16" x14ac:dyDescent="0.3">
      <c r="A4" t="s">
        <v>4</v>
      </c>
      <c r="B4" s="4">
        <v>45864</v>
      </c>
    </row>
    <row r="5" spans="1:16" x14ac:dyDescent="0.3">
      <c r="A5" t="s">
        <v>5</v>
      </c>
      <c r="B5" t="s">
        <v>109</v>
      </c>
    </row>
    <row r="7" spans="1:16" x14ac:dyDescent="0.3">
      <c r="A7" t="s">
        <v>6</v>
      </c>
      <c r="B7" s="1" t="s">
        <v>117</v>
      </c>
    </row>
    <row r="8" spans="1:16" ht="24" x14ac:dyDescent="0.3">
      <c r="A8" t="s">
        <v>7</v>
      </c>
      <c r="B8" t="str">
        <f>J8</f>
        <v>Measurement</v>
      </c>
      <c r="C8" t="str">
        <f t="shared" ref="C8:H8" si="0">K8</f>
        <v>S</v>
      </c>
      <c r="D8" t="str">
        <f t="shared" si="0"/>
        <v>M</v>
      </c>
      <c r="E8" t="str">
        <f t="shared" si="0"/>
        <v>M/L</v>
      </c>
      <c r="F8" t="str">
        <f t="shared" si="0"/>
        <v>L</v>
      </c>
      <c r="G8" t="str">
        <f t="shared" si="0"/>
        <v>L/XL</v>
      </c>
      <c r="H8" t="str">
        <f t="shared" si="0"/>
        <v>XL</v>
      </c>
      <c r="J8" s="2" t="s">
        <v>81</v>
      </c>
      <c r="K8" s="2" t="s">
        <v>82</v>
      </c>
      <c r="L8" s="2" t="s">
        <v>83</v>
      </c>
      <c r="M8" s="2" t="s">
        <v>84</v>
      </c>
      <c r="N8" s="2" t="s">
        <v>85</v>
      </c>
      <c r="O8" s="2" t="s">
        <v>86</v>
      </c>
      <c r="P8" s="2" t="s">
        <v>8</v>
      </c>
    </row>
    <row r="9" spans="1:16" ht="21" x14ac:dyDescent="0.3">
      <c r="A9" t="s">
        <v>9</v>
      </c>
      <c r="B9" t="s">
        <v>10</v>
      </c>
      <c r="C9">
        <f>K12</f>
        <v>575</v>
      </c>
      <c r="D9">
        <f t="shared" ref="D9:H9" si="1">L12</f>
        <v>600</v>
      </c>
      <c r="E9">
        <f t="shared" si="1"/>
        <v>610</v>
      </c>
      <c r="F9">
        <f t="shared" si="1"/>
        <v>620</v>
      </c>
      <c r="G9">
        <f t="shared" si="1"/>
        <v>630</v>
      </c>
      <c r="H9">
        <f t="shared" si="1"/>
        <v>640</v>
      </c>
      <c r="J9" s="3" t="s">
        <v>87</v>
      </c>
      <c r="K9" s="3" t="s">
        <v>88</v>
      </c>
      <c r="L9" s="3" t="s">
        <v>89</v>
      </c>
      <c r="M9" s="3" t="s">
        <v>90</v>
      </c>
      <c r="N9" s="3" t="s">
        <v>91</v>
      </c>
      <c r="O9" s="3" t="s">
        <v>92</v>
      </c>
      <c r="P9" s="3" t="s">
        <v>93</v>
      </c>
    </row>
    <row r="10" spans="1:16" ht="21" x14ac:dyDescent="0.3">
      <c r="A10" t="s">
        <v>11</v>
      </c>
      <c r="B10" t="s">
        <v>12</v>
      </c>
      <c r="C10">
        <f>K13</f>
        <v>68</v>
      </c>
      <c r="D10">
        <f t="shared" ref="D10:H12" si="2">L13</f>
        <v>68</v>
      </c>
      <c r="E10">
        <f t="shared" si="2"/>
        <v>68</v>
      </c>
      <c r="F10">
        <f t="shared" si="2"/>
        <v>68</v>
      </c>
      <c r="G10">
        <f t="shared" si="2"/>
        <v>68</v>
      </c>
      <c r="H10">
        <f t="shared" si="2"/>
        <v>68</v>
      </c>
      <c r="J10" s="3" t="s">
        <v>94</v>
      </c>
      <c r="K10" s="3" t="s">
        <v>95</v>
      </c>
      <c r="L10" s="3" t="s">
        <v>96</v>
      </c>
      <c r="M10" s="3" t="s">
        <v>96</v>
      </c>
      <c r="N10" s="3" t="s">
        <v>97</v>
      </c>
      <c r="O10" s="3" t="s">
        <v>97</v>
      </c>
      <c r="P10" s="3" t="s">
        <v>98</v>
      </c>
    </row>
    <row r="11" spans="1:16" ht="21" x14ac:dyDescent="0.3">
      <c r="A11" t="s">
        <v>13</v>
      </c>
      <c r="B11" t="s">
        <v>14</v>
      </c>
      <c r="C11">
        <f t="shared" ref="C11:C19" si="3">K14</f>
        <v>95</v>
      </c>
      <c r="D11">
        <f t="shared" si="2"/>
        <v>110</v>
      </c>
      <c r="E11">
        <f t="shared" si="2"/>
        <v>115</v>
      </c>
      <c r="F11">
        <f t="shared" si="2"/>
        <v>120</v>
      </c>
      <c r="G11">
        <f t="shared" si="2"/>
        <v>130</v>
      </c>
      <c r="H11">
        <f t="shared" si="2"/>
        <v>140</v>
      </c>
      <c r="J11" s="3" t="s">
        <v>99</v>
      </c>
      <c r="K11" s="3" t="s">
        <v>100</v>
      </c>
      <c r="L11" s="3" t="s">
        <v>100</v>
      </c>
      <c r="M11" s="3" t="s">
        <v>100</v>
      </c>
      <c r="N11" s="3" t="s">
        <v>100</v>
      </c>
      <c r="O11" s="3" t="s">
        <v>95</v>
      </c>
      <c r="P11" s="3" t="s">
        <v>101</v>
      </c>
    </row>
    <row r="12" spans="1:16" ht="21" x14ac:dyDescent="0.3">
      <c r="A12" t="s">
        <v>15</v>
      </c>
      <c r="B12" t="s">
        <v>16</v>
      </c>
      <c r="C12">
        <f t="shared" si="3"/>
        <v>74</v>
      </c>
      <c r="D12">
        <f t="shared" si="2"/>
        <v>73.5</v>
      </c>
      <c r="E12">
        <f t="shared" si="2"/>
        <v>73.5</v>
      </c>
      <c r="F12">
        <f t="shared" si="2"/>
        <v>73.5</v>
      </c>
      <c r="G12">
        <f t="shared" si="2"/>
        <v>73.5</v>
      </c>
      <c r="H12">
        <f t="shared" si="2"/>
        <v>73.5</v>
      </c>
      <c r="J12" s="3" t="s">
        <v>10</v>
      </c>
      <c r="K12" s="3">
        <v>575</v>
      </c>
      <c r="L12" s="3">
        <v>600</v>
      </c>
      <c r="M12" s="3">
        <v>610</v>
      </c>
      <c r="N12" s="3">
        <v>620</v>
      </c>
      <c r="O12" s="3">
        <v>630</v>
      </c>
      <c r="P12" s="3">
        <v>640</v>
      </c>
    </row>
    <row r="13" spans="1:16" ht="21" x14ac:dyDescent="0.3">
      <c r="A13" t="s">
        <v>17</v>
      </c>
      <c r="B13" t="s">
        <v>18</v>
      </c>
      <c r="C13">
        <f>K16*25.4</f>
        <v>381</v>
      </c>
      <c r="D13">
        <f t="shared" ref="D13:H13" si="4">L16*25.4</f>
        <v>412.75</v>
      </c>
      <c r="E13">
        <f t="shared" si="4"/>
        <v>412.75</v>
      </c>
      <c r="F13">
        <f t="shared" si="4"/>
        <v>463.54999999999995</v>
      </c>
      <c r="G13">
        <f t="shared" si="4"/>
        <v>463.54999999999995</v>
      </c>
      <c r="H13">
        <f t="shared" si="4"/>
        <v>514.35</v>
      </c>
      <c r="J13" s="3" t="s">
        <v>12</v>
      </c>
      <c r="K13" s="3">
        <v>68</v>
      </c>
      <c r="L13" s="3">
        <v>68</v>
      </c>
      <c r="M13" s="3">
        <v>68</v>
      </c>
      <c r="N13" s="3">
        <v>68</v>
      </c>
      <c r="O13" s="3">
        <v>68</v>
      </c>
      <c r="P13" s="3">
        <v>68</v>
      </c>
    </row>
    <row r="14" spans="1:16" ht="21" x14ac:dyDescent="0.3">
      <c r="A14" t="s">
        <v>19</v>
      </c>
      <c r="B14" t="s">
        <v>20</v>
      </c>
      <c r="C14">
        <f>VALUE(LEFT(K17,3))</f>
        <v>440</v>
      </c>
      <c r="D14">
        <f t="shared" ref="D14:H14" si="5">VALUE(LEFT(L17,3))</f>
        <v>440</v>
      </c>
      <c r="E14">
        <f t="shared" si="5"/>
        <v>440</v>
      </c>
      <c r="F14">
        <f t="shared" si="5"/>
        <v>440</v>
      </c>
      <c r="G14">
        <f t="shared" si="5"/>
        <v>440</v>
      </c>
      <c r="H14">
        <f t="shared" si="5"/>
        <v>440</v>
      </c>
      <c r="J14" s="3" t="s">
        <v>14</v>
      </c>
      <c r="K14" s="3">
        <v>95</v>
      </c>
      <c r="L14" s="3">
        <v>110</v>
      </c>
      <c r="M14" s="3">
        <v>115</v>
      </c>
      <c r="N14" s="3">
        <v>120</v>
      </c>
      <c r="O14" s="3">
        <v>130</v>
      </c>
      <c r="P14" s="3">
        <v>140</v>
      </c>
    </row>
    <row r="15" spans="1:16" ht="21" x14ac:dyDescent="0.3">
      <c r="A15" t="s">
        <v>21</v>
      </c>
      <c r="B15" t="s">
        <v>22</v>
      </c>
      <c r="C15">
        <f t="shared" si="3"/>
        <v>60</v>
      </c>
      <c r="D15">
        <f t="shared" ref="D15" si="6">L18</f>
        <v>60</v>
      </c>
      <c r="E15">
        <f t="shared" ref="E15" si="7">M18</f>
        <v>60</v>
      </c>
      <c r="F15">
        <f t="shared" ref="F15" si="8">N18</f>
        <v>60</v>
      </c>
      <c r="G15">
        <f t="shared" ref="G15" si="9">O18</f>
        <v>60</v>
      </c>
      <c r="H15">
        <f t="shared" ref="H15" si="10">P18</f>
        <v>60</v>
      </c>
      <c r="J15" s="3" t="s">
        <v>16</v>
      </c>
      <c r="K15" s="3">
        <v>74</v>
      </c>
      <c r="L15" s="3">
        <v>73.5</v>
      </c>
      <c r="M15" s="3">
        <v>73.5</v>
      </c>
      <c r="N15" s="3">
        <v>73.5</v>
      </c>
      <c r="O15" s="3">
        <v>73.5</v>
      </c>
      <c r="P15" s="3">
        <v>73.5</v>
      </c>
    </row>
    <row r="16" spans="1:16" ht="21" x14ac:dyDescent="0.3">
      <c r="A16" t="s">
        <v>23</v>
      </c>
      <c r="B16" t="s">
        <v>24</v>
      </c>
      <c r="C16">
        <f>VALUE(LEFT(K19,4))</f>
        <v>1106</v>
      </c>
      <c r="D16">
        <f t="shared" ref="D16:H16" si="11">VALUE(LEFT(L19,4))</f>
        <v>1126</v>
      </c>
      <c r="E16">
        <f t="shared" si="11"/>
        <v>1136</v>
      </c>
      <c r="F16">
        <f t="shared" si="11"/>
        <v>1147</v>
      </c>
      <c r="G16">
        <f t="shared" si="11"/>
        <v>1158</v>
      </c>
      <c r="H16">
        <f t="shared" si="11"/>
        <v>1169</v>
      </c>
      <c r="J16" s="3" t="s">
        <v>18</v>
      </c>
      <c r="K16" s="3">
        <v>15</v>
      </c>
      <c r="L16" s="3">
        <v>16.25</v>
      </c>
      <c r="M16" s="3">
        <v>16.25</v>
      </c>
      <c r="N16" s="3">
        <v>18.25</v>
      </c>
      <c r="O16" s="3">
        <v>18.25</v>
      </c>
      <c r="P16" s="3">
        <v>20.25</v>
      </c>
    </row>
    <row r="17" spans="1:16" ht="21" x14ac:dyDescent="0.3">
      <c r="A17" t="s">
        <v>25</v>
      </c>
      <c r="B17" t="s">
        <v>26</v>
      </c>
      <c r="C17">
        <f>K20*25.4</f>
        <v>731.52</v>
      </c>
      <c r="D17">
        <f t="shared" ref="D17:H17" si="12">L20*25.4</f>
        <v>756.92</v>
      </c>
      <c r="E17">
        <f t="shared" si="12"/>
        <v>756.92</v>
      </c>
      <c r="F17">
        <f t="shared" si="12"/>
        <v>795.02</v>
      </c>
      <c r="G17">
        <f t="shared" si="12"/>
        <v>797.56</v>
      </c>
      <c r="H17">
        <f t="shared" si="12"/>
        <v>835.66</v>
      </c>
      <c r="J17" s="3" t="s">
        <v>20</v>
      </c>
      <c r="K17" s="3" t="s">
        <v>102</v>
      </c>
      <c r="L17" s="3" t="s">
        <v>102</v>
      </c>
      <c r="M17" s="3" t="s">
        <v>102</v>
      </c>
      <c r="N17" s="3" t="s">
        <v>102</v>
      </c>
      <c r="O17" s="3" t="s">
        <v>102</v>
      </c>
      <c r="P17" s="3" t="s">
        <v>102</v>
      </c>
    </row>
    <row r="18" spans="1:16" ht="21" x14ac:dyDescent="0.3">
      <c r="A18" t="s">
        <v>27</v>
      </c>
      <c r="B18" t="s">
        <v>28</v>
      </c>
      <c r="C18">
        <f t="shared" si="3"/>
        <v>391</v>
      </c>
      <c r="D18">
        <f t="shared" ref="D18:D19" si="13">L21</f>
        <v>406</v>
      </c>
      <c r="E18">
        <f t="shared" ref="E18:E19" si="14">M21</f>
        <v>414</v>
      </c>
      <c r="F18">
        <f t="shared" ref="F18:F19" si="15">N21</f>
        <v>423</v>
      </c>
      <c r="G18">
        <f t="shared" ref="G18:G19" si="16">O21</f>
        <v>431</v>
      </c>
      <c r="H18">
        <f t="shared" ref="H18:H19" si="17">P21</f>
        <v>438</v>
      </c>
      <c r="J18" s="3" t="s">
        <v>22</v>
      </c>
      <c r="K18" s="3">
        <v>60</v>
      </c>
      <c r="L18" s="3">
        <v>60</v>
      </c>
      <c r="M18" s="3">
        <v>60</v>
      </c>
      <c r="N18" s="3">
        <v>60</v>
      </c>
      <c r="O18" s="3">
        <v>60</v>
      </c>
      <c r="P18" s="3">
        <v>60</v>
      </c>
    </row>
    <row r="19" spans="1:16" ht="21" x14ac:dyDescent="0.3">
      <c r="A19" t="s">
        <v>29</v>
      </c>
      <c r="B19" t="s">
        <v>30</v>
      </c>
      <c r="C19">
        <f t="shared" si="3"/>
        <v>632</v>
      </c>
      <c r="D19">
        <f t="shared" si="13"/>
        <v>646</v>
      </c>
      <c r="E19">
        <f t="shared" si="14"/>
        <v>651</v>
      </c>
      <c r="F19">
        <f t="shared" si="15"/>
        <v>656</v>
      </c>
      <c r="G19">
        <f t="shared" si="16"/>
        <v>665</v>
      </c>
      <c r="H19">
        <f t="shared" si="17"/>
        <v>674</v>
      </c>
      <c r="J19" s="3" t="s">
        <v>24</v>
      </c>
      <c r="K19" s="3" t="s">
        <v>110</v>
      </c>
      <c r="L19" s="3" t="s">
        <v>111</v>
      </c>
      <c r="M19" s="3" t="s">
        <v>112</v>
      </c>
      <c r="N19" s="3" t="s">
        <v>113</v>
      </c>
      <c r="O19" s="3" t="s">
        <v>114</v>
      </c>
      <c r="P19" s="3" t="s">
        <v>115</v>
      </c>
    </row>
    <row r="20" spans="1:16" ht="21" x14ac:dyDescent="0.3">
      <c r="A20" t="s">
        <v>31</v>
      </c>
      <c r="B20" t="s">
        <v>31</v>
      </c>
      <c r="C20">
        <v>530</v>
      </c>
      <c r="D20">
        <v>530</v>
      </c>
      <c r="E20">
        <v>530</v>
      </c>
      <c r="F20">
        <v>530</v>
      </c>
      <c r="G20">
        <v>530</v>
      </c>
      <c r="H20">
        <v>530</v>
      </c>
      <c r="J20" s="3" t="s">
        <v>26</v>
      </c>
      <c r="K20" s="3">
        <v>28.8</v>
      </c>
      <c r="L20" s="3">
        <v>29.8</v>
      </c>
      <c r="M20" s="3">
        <v>29.8</v>
      </c>
      <c r="N20" s="3">
        <v>31.3</v>
      </c>
      <c r="O20" s="3">
        <v>31.4</v>
      </c>
      <c r="P20" s="3">
        <v>32.9</v>
      </c>
    </row>
    <row r="21" spans="1:16" ht="21" x14ac:dyDescent="0.3">
      <c r="A21" t="s">
        <v>32</v>
      </c>
      <c r="B21" t="s">
        <v>32</v>
      </c>
      <c r="C21">
        <v>44</v>
      </c>
      <c r="D21">
        <v>44</v>
      </c>
      <c r="E21">
        <v>44</v>
      </c>
      <c r="F21">
        <v>44</v>
      </c>
      <c r="G21">
        <v>44</v>
      </c>
      <c r="H21">
        <v>44</v>
      </c>
      <c r="J21" s="3" t="s">
        <v>28</v>
      </c>
      <c r="K21" s="3">
        <v>391</v>
      </c>
      <c r="L21" s="3">
        <v>406</v>
      </c>
      <c r="M21" s="3">
        <v>414</v>
      </c>
      <c r="N21" s="3">
        <v>423</v>
      </c>
      <c r="O21" s="3">
        <v>431</v>
      </c>
      <c r="P21" s="3">
        <v>438</v>
      </c>
    </row>
    <row r="22" spans="1:16" ht="21" x14ac:dyDescent="0.3">
      <c r="A22" s="1" t="s">
        <v>116</v>
      </c>
      <c r="J22" s="3" t="s">
        <v>30</v>
      </c>
      <c r="K22" s="3">
        <v>632</v>
      </c>
      <c r="L22" s="3">
        <v>646</v>
      </c>
      <c r="M22" s="3">
        <v>651</v>
      </c>
      <c r="N22" s="3">
        <v>656</v>
      </c>
      <c r="O22" s="3">
        <v>665</v>
      </c>
      <c r="P22" s="3">
        <v>674</v>
      </c>
    </row>
    <row r="23" spans="1:16" x14ac:dyDescent="0.3">
      <c r="A23" t="s">
        <v>33</v>
      </c>
      <c r="B23" t="s">
        <v>33</v>
      </c>
    </row>
    <row r="24" spans="1:16" x14ac:dyDescent="0.3">
      <c r="A24" t="s">
        <v>34</v>
      </c>
      <c r="B24" t="s">
        <v>34</v>
      </c>
    </row>
    <row r="25" spans="1:16" x14ac:dyDescent="0.3">
      <c r="A25" t="s">
        <v>35</v>
      </c>
      <c r="B25" t="s">
        <v>35</v>
      </c>
      <c r="C25">
        <v>50</v>
      </c>
      <c r="D25">
        <v>50</v>
      </c>
      <c r="E25">
        <v>50</v>
      </c>
      <c r="F25">
        <v>50</v>
      </c>
      <c r="G25">
        <v>60</v>
      </c>
      <c r="H25">
        <v>70</v>
      </c>
    </row>
    <row r="26" spans="1:16" x14ac:dyDescent="0.3">
      <c r="A26" t="s">
        <v>36</v>
      </c>
    </row>
    <row r="27" spans="1:16" x14ac:dyDescent="0.3">
      <c r="A27" t="s">
        <v>37</v>
      </c>
      <c r="B27" t="s">
        <v>37</v>
      </c>
      <c r="C27">
        <v>29</v>
      </c>
      <c r="D27">
        <v>29</v>
      </c>
      <c r="E27">
        <v>29</v>
      </c>
      <c r="F27">
        <v>29</v>
      </c>
      <c r="G27">
        <v>29</v>
      </c>
      <c r="H27">
        <v>29</v>
      </c>
    </row>
    <row r="28" spans="1:16" x14ac:dyDescent="0.3">
      <c r="A28" t="s">
        <v>38</v>
      </c>
      <c r="B28" t="s">
        <v>38</v>
      </c>
      <c r="C28">
        <v>57</v>
      </c>
      <c r="D28">
        <v>57</v>
      </c>
      <c r="E28">
        <v>57</v>
      </c>
      <c r="F28">
        <v>57</v>
      </c>
      <c r="G28">
        <v>57</v>
      </c>
      <c r="H28">
        <v>57</v>
      </c>
    </row>
    <row r="29" spans="1:16" x14ac:dyDescent="0.3">
      <c r="A29" t="s">
        <v>39</v>
      </c>
      <c r="B29" t="s">
        <v>39</v>
      </c>
      <c r="C29">
        <v>61</v>
      </c>
      <c r="D29">
        <v>61</v>
      </c>
      <c r="E29">
        <v>61</v>
      </c>
      <c r="F29">
        <v>61</v>
      </c>
      <c r="G29">
        <v>61</v>
      </c>
      <c r="H29">
        <v>61</v>
      </c>
    </row>
    <row r="30" spans="1:16" x14ac:dyDescent="0.3">
      <c r="A30" t="s">
        <v>40</v>
      </c>
      <c r="C30">
        <f>ROUND(C32*2.54,1)</f>
        <v>152.4</v>
      </c>
      <c r="D30">
        <f>ROUND(AVERAGE(D32,C33)*2.54, 1)</f>
        <v>168.9</v>
      </c>
      <c r="E30">
        <f t="shared" ref="E30:H30" si="18">ROUND(AVERAGE(E32,D33)*2.54, 1)</f>
        <v>175.3</v>
      </c>
      <c r="F30">
        <f t="shared" si="18"/>
        <v>179.1</v>
      </c>
      <c r="G30">
        <f t="shared" si="18"/>
        <v>185.4</v>
      </c>
      <c r="H30">
        <f t="shared" si="18"/>
        <v>188</v>
      </c>
    </row>
    <row r="31" spans="1:16" x14ac:dyDescent="0.3">
      <c r="A31" t="s">
        <v>41</v>
      </c>
      <c r="C31">
        <f>D30</f>
        <v>168.9</v>
      </c>
      <c r="D31">
        <f t="shared" ref="D31:G31" si="19">E30</f>
        <v>175.3</v>
      </c>
      <c r="E31">
        <f t="shared" si="19"/>
        <v>179.1</v>
      </c>
      <c r="F31">
        <f t="shared" si="19"/>
        <v>185.4</v>
      </c>
      <c r="G31">
        <f t="shared" si="19"/>
        <v>188</v>
      </c>
      <c r="H31">
        <f t="shared" ref="H31" si="20">ROUND(H33*2.54,1)</f>
        <v>198.1</v>
      </c>
    </row>
    <row r="32" spans="1:16" x14ac:dyDescent="0.3">
      <c r="C32">
        <v>60</v>
      </c>
      <c r="D32">
        <v>67</v>
      </c>
      <c r="E32">
        <v>69</v>
      </c>
      <c r="F32">
        <v>71</v>
      </c>
      <c r="G32">
        <v>73</v>
      </c>
      <c r="H32">
        <v>74</v>
      </c>
    </row>
    <row r="33" spans="1:8" x14ac:dyDescent="0.3">
      <c r="A33" t="s">
        <v>42</v>
      </c>
      <c r="B33" t="s">
        <v>43</v>
      </c>
      <c r="C33">
        <v>66</v>
      </c>
      <c r="D33">
        <v>69</v>
      </c>
      <c r="E33">
        <v>70</v>
      </c>
      <c r="F33">
        <v>73</v>
      </c>
      <c r="G33">
        <v>74</v>
      </c>
      <c r="H33">
        <v>78</v>
      </c>
    </row>
    <row r="34" spans="1:8" ht="21" x14ac:dyDescent="0.3">
      <c r="A34" t="s">
        <v>44</v>
      </c>
      <c r="B34" t="s">
        <v>45</v>
      </c>
      <c r="C34" s="3" t="s">
        <v>88</v>
      </c>
      <c r="D34" s="3" t="s">
        <v>89</v>
      </c>
      <c r="E34" s="3" t="s">
        <v>90</v>
      </c>
      <c r="F34" s="3" t="s">
        <v>91</v>
      </c>
      <c r="G34" s="3" t="s">
        <v>92</v>
      </c>
      <c r="H34" s="3" t="s">
        <v>93</v>
      </c>
    </row>
    <row r="35" spans="1:8" x14ac:dyDescent="0.3">
      <c r="A35" t="s">
        <v>46</v>
      </c>
      <c r="B35" s="1" t="s">
        <v>80</v>
      </c>
    </row>
    <row r="36" spans="1:8" x14ac:dyDescent="0.3">
      <c r="A36" t="s">
        <v>47</v>
      </c>
      <c r="B36">
        <v>20</v>
      </c>
    </row>
    <row r="37" spans="1:8" x14ac:dyDescent="0.3">
      <c r="A37" t="s">
        <v>48</v>
      </c>
      <c r="B37">
        <v>61</v>
      </c>
    </row>
    <row r="38" spans="1:8" x14ac:dyDescent="0.3">
      <c r="A38" t="s">
        <v>49</v>
      </c>
      <c r="B38">
        <v>71</v>
      </c>
    </row>
    <row r="39" spans="1:8" x14ac:dyDescent="0.3">
      <c r="A39" t="s">
        <v>50</v>
      </c>
      <c r="B39">
        <v>120</v>
      </c>
    </row>
    <row r="40" spans="1:8" x14ac:dyDescent="0.3">
      <c r="A40" t="s">
        <v>51</v>
      </c>
      <c r="B40" s="1" t="s">
        <v>80</v>
      </c>
    </row>
    <row r="41" spans="1:8" x14ac:dyDescent="0.3">
      <c r="A41" t="s">
        <v>52</v>
      </c>
    </row>
    <row r="42" spans="1:8" x14ac:dyDescent="0.3">
      <c r="A42" t="s">
        <v>53</v>
      </c>
    </row>
    <row r="43" spans="1:8" x14ac:dyDescent="0.3">
      <c r="A43" t="s">
        <v>54</v>
      </c>
      <c r="B43">
        <v>148</v>
      </c>
    </row>
    <row r="44" spans="1:8" x14ac:dyDescent="0.3">
      <c r="A44" t="s">
        <v>55</v>
      </c>
      <c r="B44">
        <v>110</v>
      </c>
    </row>
    <row r="45" spans="1:8" x14ac:dyDescent="0.3">
      <c r="A45" t="s">
        <v>56</v>
      </c>
      <c r="B45" s="1" t="s">
        <v>103</v>
      </c>
    </row>
    <row r="46" spans="1:8" x14ac:dyDescent="0.3">
      <c r="A46" t="s">
        <v>57</v>
      </c>
    </row>
    <row r="47" spans="1:8" x14ac:dyDescent="0.3">
      <c r="A47" t="s">
        <v>58</v>
      </c>
      <c r="B47">
        <v>31.6</v>
      </c>
    </row>
    <row r="48" spans="1:8" x14ac:dyDescent="0.3">
      <c r="A48" t="s">
        <v>59</v>
      </c>
      <c r="B48" s="1" t="s">
        <v>104</v>
      </c>
    </row>
    <row r="49" spans="1:3" x14ac:dyDescent="0.3">
      <c r="A49" t="s">
        <v>60</v>
      </c>
      <c r="B49">
        <v>38</v>
      </c>
    </row>
    <row r="50" spans="1:3" x14ac:dyDescent="0.3">
      <c r="A50" t="s">
        <v>61</v>
      </c>
    </row>
    <row r="51" spans="1:3" x14ac:dyDescent="0.3">
      <c r="A51" t="s">
        <v>62</v>
      </c>
    </row>
    <row r="52" spans="1:3" x14ac:dyDescent="0.3">
      <c r="A52" t="s">
        <v>63</v>
      </c>
    </row>
    <row r="53" spans="1:3" x14ac:dyDescent="0.3">
      <c r="A53" t="s">
        <v>64</v>
      </c>
    </row>
    <row r="54" spans="1:3" x14ac:dyDescent="0.3">
      <c r="A54" t="s">
        <v>65</v>
      </c>
      <c r="B54" s="1" t="s">
        <v>106</v>
      </c>
    </row>
    <row r="55" spans="1:3" x14ac:dyDescent="0.3">
      <c r="A55" t="s">
        <v>66</v>
      </c>
      <c r="B55" s="1" t="s">
        <v>105</v>
      </c>
    </row>
    <row r="56" spans="1:3" x14ac:dyDescent="0.3">
      <c r="A56" t="s">
        <v>67</v>
      </c>
    </row>
    <row r="57" spans="1:3" x14ac:dyDescent="0.3">
      <c r="A57" t="s">
        <v>68</v>
      </c>
    </row>
    <row r="58" spans="1:3" x14ac:dyDescent="0.3">
      <c r="A58" t="s">
        <v>69</v>
      </c>
      <c r="B58">
        <v>2</v>
      </c>
    </row>
    <row r="59" spans="1:3" x14ac:dyDescent="0.3">
      <c r="A59" t="s">
        <v>70</v>
      </c>
      <c r="B59">
        <v>1</v>
      </c>
    </row>
    <row r="60" spans="1:3" x14ac:dyDescent="0.3">
      <c r="A60" t="s">
        <v>71</v>
      </c>
      <c r="B60" s="1" t="s">
        <v>80</v>
      </c>
    </row>
    <row r="61" spans="1:3" x14ac:dyDescent="0.3">
      <c r="A61" t="s">
        <v>72</v>
      </c>
    </row>
    <row r="62" spans="1:3" x14ac:dyDescent="0.3">
      <c r="A62" t="s">
        <v>73</v>
      </c>
      <c r="C62" s="1" t="s">
        <v>107</v>
      </c>
    </row>
    <row r="63" spans="1:3" x14ac:dyDescent="0.3">
      <c r="A63" t="s">
        <v>74</v>
      </c>
      <c r="C63" s="1" t="s">
        <v>107</v>
      </c>
    </row>
    <row r="64" spans="1:3" x14ac:dyDescent="0.3">
      <c r="A64" t="s">
        <v>75</v>
      </c>
    </row>
    <row r="65" spans="1:2" x14ac:dyDescent="0.3">
      <c r="A65" t="s">
        <v>76</v>
      </c>
      <c r="B65">
        <v>1695</v>
      </c>
    </row>
    <row r="66" spans="1:2" x14ac:dyDescent="0.3">
      <c r="A66" t="s">
        <v>77</v>
      </c>
    </row>
    <row r="67" spans="1:2" x14ac:dyDescent="0.3">
      <c r="A67" t="s">
        <v>78</v>
      </c>
      <c r="B67" s="1" t="s">
        <v>80</v>
      </c>
    </row>
    <row r="68" spans="1:2" x14ac:dyDescent="0.3">
      <c r="A68" t="s">
        <v>79</v>
      </c>
      <c r="B68" s="1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2025-08-12T02:17:17Z</dcterms:modified>
</cp:coreProperties>
</file>