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D97CACE1-02F8-0947-A097-9268259CCBCE}" xr6:coauthVersionLast="47" xr6:coauthVersionMax="47" xr10:uidLastSave="{00000000-0000-0000-0000-000000000000}"/>
  <bookViews>
    <workbookView xWindow="3400" yWindow="500" windowWidth="25400" windowHeight="17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1" i="1" s="1"/>
  <c r="F30" i="1"/>
  <c r="E31" i="1" s="1"/>
  <c r="G30" i="1"/>
  <c r="F31" i="1" s="1"/>
  <c r="H30" i="1"/>
  <c r="G31" i="1" s="1"/>
  <c r="D30" i="1"/>
  <c r="C31" i="1" s="1"/>
  <c r="H31" i="1"/>
  <c r="C30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<sst xmlns="http://schemas.openxmlformats.org/spreadsheetml/2006/main" count="159" uniqueCount="119">
  <si>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</si>
  <si>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</si>
  <si>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</si>
  <si>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</si>
  <si>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</si>
  <si>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</si>
  <si>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</si>
  <si>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</si>
  <si>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</si>
  <si>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</si>
  <si>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</si>
  <si>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</si>
  <si>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</si>
  <si>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</si>
  <si>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</si>
  <si>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</si>
  <si>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</si>
  <si>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</si>
  <si>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</si>
  <si>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</si>
  <si>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</si>
  <si>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</si>
  <si>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</si>
  <si>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</si>
  <si>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</si>
  <si>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</si>
  <si>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</si>
  <si>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</si>
  <si>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</si>
  <si>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</si>
  <si>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</si>
  <si>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</si>
  <si>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</si>
  <si>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</si>
  <si>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</si>
  <si>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</si>
  <si>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</si>
  <si>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</si>
  <si>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</si>
  <si>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</si>
  <si>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</si>
  <si>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</si>
  <si>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</si>
  <si>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</si>
  <si>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</si>
  <si>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</si>
  <si>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</si>
  <si>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</si>
  <si>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</si>
  <si>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</si>
  <si>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</si>
  <si>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</si>
  <si>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</si>
  <si>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</si>
  <si>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</si>
  <si>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</si>
  <si>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</si>
  <si>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</si>
  <si>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</si>
  <si>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</si>
  <si>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</si>
  <si>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</si>
  <si>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</si>
  <si>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</si>
  <si>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</si>
  <si>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</si>
  <si>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</si>
  <si>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</si>
  <si>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</si>
  <si>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</si>
  <si>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</si>
  <si>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</si>
  <si>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</si>
  <si>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</si>
  <si>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</si>
  <si>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</si>
  <si>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</si>
  <si>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</si>
  <si>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</si>
  <si>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</si>
  <si>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</si>
  <si>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</si>
  <si>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</si>
  <si>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</si>
  <si>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</si>
  <si>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</si>
  <si>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</si>
  <si>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</si>
  <si>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</si>
  <si>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</si>
  <si>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</si>
  <si>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</si>
  <si>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</si>
  <si>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</si>
  <si>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</si>
  <si>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</si>
  <si>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</si>
  <si>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</si>
  <si>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</si>
  <si>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</si>
  <si>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</si>
  <si>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</si>
  <si>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</si>
  <si>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1092-1112</t>
  </si>
  <si>
    <t>1112-1132</t>
  </si>
  <si>
    <t>1122-1142</t>
  </si>
  <si>
    <t>1133-1153</t>
  </si>
  <si>
    <t>1144-1166</t>
  </si>
  <si>
    <t>1155-1175</t>
  </si>
  <si>
    <t>threaded</t>
  </si>
  <si>
    <t>no</t>
  </si>
  <si>
    <t>internal</t>
  </si>
  <si>
    <t>external</t>
  </si>
  <si>
    <t>optional</t>
  </si>
  <si>
    <t>us</t>
  </si>
  <si>
    <t>https://chumbausa.com/yaupon-steel-mountain-bike-29er-27plus?gad_source=1&amp;gad_campaignid=22037681435&amp;gbraid=0AAAAACx2TJJof_f7wQBU7W9AxJ9w9Uvlo&amp;gclid=Cj0KCQjw-ZHEBhCxARIsAGGN96Jx8h9S-QSPWTdrYS_K7zHvmR9KCc-WPR4MAJ4QSBs-z1QGdI0NbgIaAhOTEALw_wcB</t>
  </si>
  <si>
    <t>trail</t>
  </si>
  <si>
    <t>a8:h31</t>
  </si>
  <si>
    <t>Yaupon Steel 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</si>
</sst>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8"/>
  <sheetViews>
    <sheetView tabSelected="1" topLeftCell="A27" workbookViewId="0">
      <selection activeCell="B44" sqref="B44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118</v>
      </c>
    </row>
    <row r="3" spans="1:16" x14ac:dyDescent="0.3">
      <c r="A3" t="s">
        <v>3</v>
      </c>
      <c r="B3">
        <v>2022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115</v>
      </c>
    </row>
    <row r="7" spans="1:16" x14ac:dyDescent="0.3">
      <c r="A7" t="s">
        <v>6</v>
      </c>
      <c r="B7" s="1" t="s">
        <v>117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570</v>
      </c>
      <c r="D9">
        <f t="shared" ref="D9:H9" si="1">L12</f>
        <v>594</v>
      </c>
      <c r="E9">
        <f t="shared" si="1"/>
        <v>604</v>
      </c>
      <c r="F9">
        <f t="shared" si="1"/>
        <v>614</v>
      </c>
      <c r="G9">
        <f t="shared" si="1"/>
        <v>625</v>
      </c>
      <c r="H9">
        <f t="shared" si="1"/>
        <v>634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69.900000000000006</v>
      </c>
      <c r="D10">
        <f t="shared" ref="D10:H12" si="2">L13</f>
        <v>69.900000000000006</v>
      </c>
      <c r="E10">
        <f t="shared" si="2"/>
        <v>69.900000000000006</v>
      </c>
      <c r="F10">
        <f t="shared" si="2"/>
        <v>69.900000000000006</v>
      </c>
      <c r="G10">
        <f t="shared" si="2"/>
        <v>69.900000000000006</v>
      </c>
      <c r="H10">
        <f t="shared" si="2"/>
        <v>69.900000000000006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9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76</v>
      </c>
      <c r="D12">
        <f t="shared" si="2"/>
        <v>75.400000000000006</v>
      </c>
      <c r="E12">
        <f t="shared" si="2"/>
        <v>75.400000000000006</v>
      </c>
      <c r="F12">
        <f t="shared" si="2"/>
        <v>75.400000000000006</v>
      </c>
      <c r="G12">
        <f t="shared" si="2"/>
        <v>75.400000000000006</v>
      </c>
      <c r="H12">
        <f t="shared" si="2"/>
        <v>75.400000000000006</v>
      </c>
      <c r="J12" s="3" t="s">
        <v>10</v>
      </c>
      <c r="K12" s="3">
        <v>570</v>
      </c>
      <c r="L12" s="3">
        <v>594</v>
      </c>
      <c r="M12" s="3">
        <v>604</v>
      </c>
      <c r="N12" s="3">
        <v>614</v>
      </c>
      <c r="O12" s="3">
        <v>625</v>
      </c>
      <c r="P12" s="3">
        <v>634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69.900000000000006</v>
      </c>
      <c r="L13" s="3">
        <v>69.900000000000006</v>
      </c>
      <c r="M13" s="3">
        <v>69.900000000000006</v>
      </c>
      <c r="N13" s="3">
        <v>69.900000000000006</v>
      </c>
      <c r="O13" s="3">
        <v>69.900000000000006</v>
      </c>
      <c r="P13" s="3">
        <v>69.900000000000006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74</v>
      </c>
      <c r="D15">
        <f t="shared" ref="D15" si="6">L18</f>
        <v>74</v>
      </c>
      <c r="E15">
        <f t="shared" ref="E15" si="7">M18</f>
        <v>74</v>
      </c>
      <c r="F15">
        <f t="shared" ref="F15" si="8">N18</f>
        <v>74</v>
      </c>
      <c r="G15">
        <f t="shared" ref="G15" si="9">O18</f>
        <v>74</v>
      </c>
      <c r="H15">
        <f t="shared" ref="H15" si="10">P18</f>
        <v>74</v>
      </c>
      <c r="J15" s="3" t="s">
        <v>16</v>
      </c>
      <c r="K15" s="3">
        <v>76</v>
      </c>
      <c r="L15" s="3">
        <v>75.400000000000006</v>
      </c>
      <c r="M15" s="3">
        <v>75.400000000000006</v>
      </c>
      <c r="N15" s="3">
        <v>75.400000000000006</v>
      </c>
      <c r="O15" s="3">
        <v>75.400000000000006</v>
      </c>
      <c r="P15" s="3">
        <v>75.400000000000006</v>
      </c>
    </row>
    <row r="16" spans="1:16" ht="21" x14ac:dyDescent="0.3">
      <c r="A16" t="s">
        <v>23</v>
      </c>
      <c r="B16" t="s">
        <v>24</v>
      </c>
      <c r="C16">
        <f>VALUE(LEFT(K19,4))</f>
        <v>1092</v>
      </c>
      <c r="D16">
        <f t="shared" ref="D16:H16" si="11">VALUE(LEFT(L19,4))</f>
        <v>1112</v>
      </c>
      <c r="E16">
        <f t="shared" si="11"/>
        <v>1122</v>
      </c>
      <c r="F16">
        <f t="shared" si="11"/>
        <v>1133</v>
      </c>
      <c r="G16">
        <f t="shared" si="11"/>
        <v>1144</v>
      </c>
      <c r="H16">
        <f t="shared" si="11"/>
        <v>1155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706.12</v>
      </c>
      <c r="D17">
        <f t="shared" ref="D17:H17" si="12">L20*25.4</f>
        <v>731.52</v>
      </c>
      <c r="E17">
        <f t="shared" si="12"/>
        <v>731.52</v>
      </c>
      <c r="F17">
        <f t="shared" si="12"/>
        <v>772.16</v>
      </c>
      <c r="G17">
        <f t="shared" si="12"/>
        <v>774.69999999999993</v>
      </c>
      <c r="H17">
        <f t="shared" si="12"/>
        <v>825.5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413</v>
      </c>
      <c r="D18">
        <f t="shared" ref="D18:D19" si="13">L21</f>
        <v>428</v>
      </c>
      <c r="E18">
        <f t="shared" ref="E18:E19" si="14">M21</f>
        <v>436</v>
      </c>
      <c r="F18">
        <f t="shared" ref="F18:F19" si="15">N21</f>
        <v>444</v>
      </c>
      <c r="G18">
        <f t="shared" ref="G18:G19" si="16">O21</f>
        <v>452</v>
      </c>
      <c r="H18">
        <f t="shared" ref="H18:H19" si="17">P21</f>
        <v>459</v>
      </c>
      <c r="J18" s="3" t="s">
        <v>22</v>
      </c>
      <c r="K18" s="3">
        <v>74</v>
      </c>
      <c r="L18" s="3">
        <v>74</v>
      </c>
      <c r="M18" s="3">
        <v>74</v>
      </c>
      <c r="N18" s="3">
        <v>74</v>
      </c>
      <c r="O18" s="3">
        <v>74</v>
      </c>
      <c r="P18" s="3">
        <v>74</v>
      </c>
    </row>
    <row r="19" spans="1:16" ht="21" x14ac:dyDescent="0.3">
      <c r="A19" t="s">
        <v>29</v>
      </c>
      <c r="B19" t="s">
        <v>30</v>
      </c>
      <c r="C19">
        <f t="shared" si="3"/>
        <v>619</v>
      </c>
      <c r="D19">
        <f t="shared" si="13"/>
        <v>632</v>
      </c>
      <c r="E19">
        <f t="shared" si="14"/>
        <v>637</v>
      </c>
      <c r="F19">
        <f t="shared" si="15"/>
        <v>641</v>
      </c>
      <c r="G19">
        <f t="shared" si="16"/>
        <v>651</v>
      </c>
      <c r="H19">
        <f t="shared" si="17"/>
        <v>660</v>
      </c>
      <c r="J19" s="3" t="s">
        <v>24</v>
      </c>
      <c r="K19" s="3" t="s">
        <v>103</v>
      </c>
      <c r="L19" s="3" t="s">
        <v>104</v>
      </c>
      <c r="M19" s="3" t="s">
        <v>105</v>
      </c>
      <c r="N19" s="3" t="s">
        <v>106</v>
      </c>
      <c r="O19" s="3" t="s">
        <v>107</v>
      </c>
      <c r="P19" s="3" t="s">
        <v>108</v>
      </c>
    </row>
    <row r="20" spans="1:16" ht="21" x14ac:dyDescent="0.3">
      <c r="A20" t="s">
        <v>31</v>
      </c>
      <c r="B20" t="s">
        <v>31</v>
      </c>
      <c r="C20">
        <v>490</v>
      </c>
      <c r="D20">
        <v>490</v>
      </c>
      <c r="E20">
        <v>490</v>
      </c>
      <c r="F20">
        <v>490</v>
      </c>
      <c r="G20">
        <v>490</v>
      </c>
      <c r="H20">
        <v>490</v>
      </c>
      <c r="J20" s="3" t="s">
        <v>26</v>
      </c>
      <c r="K20" s="3">
        <v>27.8</v>
      </c>
      <c r="L20" s="3">
        <v>28.8</v>
      </c>
      <c r="M20" s="3">
        <v>28.8</v>
      </c>
      <c r="N20" s="3">
        <v>30.4</v>
      </c>
      <c r="O20" s="3">
        <v>30.5</v>
      </c>
      <c r="P20" s="3">
        <v>32.5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413</v>
      </c>
      <c r="L21" s="3">
        <v>428</v>
      </c>
      <c r="M21" s="3">
        <v>436</v>
      </c>
      <c r="N21" s="3">
        <v>444</v>
      </c>
      <c r="O21" s="3">
        <v>452</v>
      </c>
      <c r="P21" s="3">
        <v>459</v>
      </c>
    </row>
    <row r="22" spans="1:16" ht="21" x14ac:dyDescent="0.3">
      <c r="A22" s="1" t="s">
        <v>116</v>
      </c>
      <c r="J22" s="3" t="s">
        <v>30</v>
      </c>
      <c r="K22" s="3">
        <v>619</v>
      </c>
      <c r="L22" s="3">
        <v>632</v>
      </c>
      <c r="M22" s="3">
        <v>637</v>
      </c>
      <c r="N22" s="3">
        <v>641</v>
      </c>
      <c r="O22" s="3">
        <v>651</v>
      </c>
      <c r="P22" s="3">
        <v>660</v>
      </c>
    </row>
    <row r="23" spans="1:16" x14ac:dyDescent="0.3">
      <c r="A23" t="s">
        <v>33</v>
      </c>
      <c r="B23" t="s">
        <v>33</v>
      </c>
    </row>
    <row r="24" spans="1:16" x14ac:dyDescent="0.3">
      <c r="A24" t="s">
        <v>34</v>
      </c>
      <c r="B24" t="s">
        <v>34</v>
      </c>
    </row>
    <row r="25" spans="1:16" x14ac:dyDescent="0.3">
      <c r="A25" t="s">
        <v>35</v>
      </c>
      <c r="B25" t="s">
        <v>35</v>
      </c>
      <c r="C25">
        <v>50</v>
      </c>
      <c r="D25">
        <v>50</v>
      </c>
      <c r="E25">
        <v>50</v>
      </c>
      <c r="F25">
        <v>50</v>
      </c>
      <c r="G25">
        <v>60</v>
      </c>
      <c r="H25">
        <v>70</v>
      </c>
    </row>
    <row r="26" spans="1:16" x14ac:dyDescent="0.3">
      <c r="A26" t="s">
        <v>36</v>
      </c>
    </row>
    <row r="27" spans="1:16" x14ac:dyDescent="0.3">
      <c r="A27" t="s">
        <v>37</v>
      </c>
      <c r="B27" t="s">
        <v>37</v>
      </c>
      <c r="C27">
        <v>29</v>
      </c>
      <c r="D27">
        <v>29</v>
      </c>
      <c r="E27">
        <v>29</v>
      </c>
      <c r="F27">
        <v>29</v>
      </c>
      <c r="G27">
        <v>29</v>
      </c>
      <c r="H27">
        <v>29</v>
      </c>
    </row>
    <row r="28" spans="1:16" x14ac:dyDescent="0.3">
      <c r="A28" t="s">
        <v>38</v>
      </c>
      <c r="B28" t="s">
        <v>38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57</v>
      </c>
    </row>
    <row r="29" spans="1:16" x14ac:dyDescent="0.3">
      <c r="A29" t="s">
        <v>39</v>
      </c>
      <c r="B29" t="s">
        <v>39</v>
      </c>
      <c r="C29">
        <v>61</v>
      </c>
      <c r="D29">
        <v>61</v>
      </c>
      <c r="E29">
        <v>61</v>
      </c>
      <c r="F29">
        <v>61</v>
      </c>
      <c r="G29">
        <v>61</v>
      </c>
      <c r="H29">
        <v>61</v>
      </c>
    </row>
    <row r="30" spans="1:16" x14ac:dyDescent="0.3">
      <c r="A30" t="s">
        <v>40</v>
      </c>
      <c r="C30">
        <f>ROUND(C32*2.54,1)</f>
        <v>152.4</v>
      </c>
      <c r="D30">
        <f>ROUND(AVERAGE(D32,C33)*2.54, 1)</f>
        <v>168.9</v>
      </c>
      <c r="E30">
        <f t="shared" ref="E30:H30" si="18">ROUND(AVERAGE(E32,D33)*2.54, 1)</f>
        <v>175.3</v>
      </c>
      <c r="F30">
        <f t="shared" si="18"/>
        <v>179.1</v>
      </c>
      <c r="G30">
        <f t="shared" si="18"/>
        <v>185.4</v>
      </c>
      <c r="H30">
        <f t="shared" si="18"/>
        <v>188</v>
      </c>
    </row>
    <row r="31" spans="1:16" x14ac:dyDescent="0.3">
      <c r="A31" t="s">
        <v>41</v>
      </c>
      <c r="C31">
        <f>D30</f>
        <v>168.9</v>
      </c>
      <c r="D31">
        <f t="shared" ref="D31:G31" si="19">E30</f>
        <v>175.3</v>
      </c>
      <c r="E31">
        <f t="shared" si="19"/>
        <v>179.1</v>
      </c>
      <c r="F31">
        <f t="shared" si="19"/>
        <v>185.4</v>
      </c>
      <c r="G31">
        <f t="shared" si="19"/>
        <v>188</v>
      </c>
      <c r="H31">
        <f t="shared" ref="H31" si="20">ROUND(H33*2.54,1)</f>
        <v>198.1</v>
      </c>
    </row>
    <row r="32" spans="1:16" x14ac:dyDescent="0.3">
      <c r="C32">
        <v>60</v>
      </c>
      <c r="D32">
        <v>67</v>
      </c>
      <c r="E32">
        <v>69</v>
      </c>
      <c r="F32">
        <v>71</v>
      </c>
      <c r="G32">
        <v>73</v>
      </c>
      <c r="H32">
        <v>74</v>
      </c>
    </row>
    <row r="33" spans="1:8" x14ac:dyDescent="0.3">
      <c r="A33" t="s">
        <v>42</v>
      </c>
      <c r="B33" t="s">
        <v>43</v>
      </c>
      <c r="C33">
        <v>66</v>
      </c>
      <c r="D33">
        <v>69</v>
      </c>
      <c r="E33">
        <v>70</v>
      </c>
      <c r="F33">
        <v>73</v>
      </c>
      <c r="G33">
        <v>74</v>
      </c>
      <c r="H33">
        <v>78</v>
      </c>
    </row>
    <row r="34" spans="1:8" ht="21" x14ac:dyDescent="0.3">
      <c r="A34" t="s">
        <v>44</v>
      </c>
      <c r="B34" t="s">
        <v>45</v>
      </c>
      <c r="C34" s="3" t="s">
        <v>88</v>
      </c>
      <c r="D34" s="3" t="s">
        <v>89</v>
      </c>
      <c r="E34" s="3" t="s">
        <v>90</v>
      </c>
      <c r="F34" s="3" t="s">
        <v>91</v>
      </c>
      <c r="G34" s="3" t="s">
        <v>92</v>
      </c>
      <c r="H34" s="3" t="s">
        <v>93</v>
      </c>
    </row>
    <row r="35" spans="1:8" x14ac:dyDescent="0.3">
      <c r="A35" t="s">
        <v>46</v>
      </c>
      <c r="B35" s="1" t="s">
        <v>80</v>
      </c>
    </row>
    <row r="36" spans="1:8" x14ac:dyDescent="0.3">
      <c r="A36" t="s">
        <v>47</v>
      </c>
      <c r="B36">
        <v>20</v>
      </c>
    </row>
    <row r="37" spans="1:8" x14ac:dyDescent="0.3">
      <c r="A37" t="s">
        <v>48</v>
      </c>
      <c r="B37">
        <v>61</v>
      </c>
    </row>
    <row r="38" spans="1:8" x14ac:dyDescent="0.3">
      <c r="A38" t="s">
        <v>49</v>
      </c>
      <c r="B38">
        <v>71</v>
      </c>
    </row>
    <row r="39" spans="1:8" x14ac:dyDescent="0.3">
      <c r="A39" t="s">
        <v>50</v>
      </c>
      <c r="B39">
        <v>120</v>
      </c>
    </row>
    <row r="40" spans="1:8" x14ac:dyDescent="0.3">
      <c r="A40" t="s">
        <v>51</v>
      </c>
      <c r="B40" s="1" t="s">
        <v>80</v>
      </c>
    </row>
    <row r="41" spans="1:8" x14ac:dyDescent="0.3">
      <c r="A41" t="s">
        <v>52</v>
      </c>
    </row>
    <row r="42" spans="1:8" x14ac:dyDescent="0.3">
      <c r="A42" t="s">
        <v>53</v>
      </c>
    </row>
    <row r="43" spans="1:8" x14ac:dyDescent="0.3">
      <c r="A43" t="s">
        <v>54</v>
      </c>
      <c r="B43">
        <v>148</v>
      </c>
    </row>
    <row r="44" spans="1:8" x14ac:dyDescent="0.3">
      <c r="A44" t="s">
        <v>55</v>
      </c>
      <c r="B44">
        <v>110</v>
      </c>
    </row>
    <row r="45" spans="1:8" x14ac:dyDescent="0.3">
      <c r="A45" t="s">
        <v>56</v>
      </c>
      <c r="B45" s="1" t="s">
        <v>109</v>
      </c>
    </row>
    <row r="46" spans="1:8" x14ac:dyDescent="0.3">
      <c r="A46" t="s">
        <v>57</v>
      </c>
    </row>
    <row r="47" spans="1:8" x14ac:dyDescent="0.3">
      <c r="A47" t="s">
        <v>58</v>
      </c>
      <c r="B47">
        <v>31.6</v>
      </c>
    </row>
    <row r="48" spans="1:8" x14ac:dyDescent="0.3">
      <c r="A48" t="s">
        <v>59</v>
      </c>
      <c r="B48" s="1" t="s">
        <v>110</v>
      </c>
    </row>
    <row r="49" spans="1:3" x14ac:dyDescent="0.3">
      <c r="A49" t="s">
        <v>60</v>
      </c>
      <c r="B49">
        <v>38</v>
      </c>
    </row>
    <row r="50" spans="1:3" x14ac:dyDescent="0.3">
      <c r="A50" t="s">
        <v>61</v>
      </c>
    </row>
    <row r="51" spans="1:3" x14ac:dyDescent="0.3">
      <c r="A51" t="s">
        <v>62</v>
      </c>
    </row>
    <row r="52" spans="1:3" x14ac:dyDescent="0.3">
      <c r="A52" t="s">
        <v>63</v>
      </c>
    </row>
    <row r="53" spans="1:3" x14ac:dyDescent="0.3">
      <c r="A53" t="s">
        <v>64</v>
      </c>
    </row>
    <row r="54" spans="1:3" x14ac:dyDescent="0.3">
      <c r="A54" t="s">
        <v>65</v>
      </c>
      <c r="B54" s="1" t="s">
        <v>112</v>
      </c>
    </row>
    <row r="55" spans="1:3" x14ac:dyDescent="0.3">
      <c r="A55" t="s">
        <v>66</v>
      </c>
      <c r="B55" s="1" t="s">
        <v>111</v>
      </c>
    </row>
    <row r="56" spans="1:3" x14ac:dyDescent="0.3">
      <c r="A56" t="s">
        <v>67</v>
      </c>
    </row>
    <row r="57" spans="1:3" x14ac:dyDescent="0.3">
      <c r="A57" t="s">
        <v>68</v>
      </c>
    </row>
    <row r="58" spans="1:3" x14ac:dyDescent="0.3">
      <c r="A58" t="s">
        <v>69</v>
      </c>
      <c r="B58">
        <v>2</v>
      </c>
    </row>
    <row r="59" spans="1:3" x14ac:dyDescent="0.3">
      <c r="A59" t="s">
        <v>70</v>
      </c>
      <c r="B59">
        <v>1</v>
      </c>
    </row>
    <row r="60" spans="1:3" x14ac:dyDescent="0.3">
      <c r="A60" t="s">
        <v>71</v>
      </c>
      <c r="B60" s="1" t="s">
        <v>80</v>
      </c>
    </row>
    <row r="61" spans="1:3" x14ac:dyDescent="0.3">
      <c r="A61" t="s">
        <v>72</v>
      </c>
    </row>
    <row r="62" spans="1:3" x14ac:dyDescent="0.3">
      <c r="A62" t="s">
        <v>73</v>
      </c>
      <c r="C62" s="1" t="s">
        <v>113</v>
      </c>
    </row>
    <row r="63" spans="1:3" x14ac:dyDescent="0.3">
      <c r="A63" t="s">
        <v>74</v>
      </c>
      <c r="C63" s="1" t="s">
        <v>113</v>
      </c>
    </row>
    <row r="64" spans="1:3" x14ac:dyDescent="0.3">
      <c r="A64" t="s">
        <v>75</v>
      </c>
    </row>
    <row r="65" spans="1:2" x14ac:dyDescent="0.3">
      <c r="A65" t="s">
        <v>76</v>
      </c>
      <c r="B65">
        <v>1695</v>
      </c>
    </row>
    <row r="66" spans="1:2" x14ac:dyDescent="0.3">
      <c r="A66" t="s">
        <v>77</v>
      </c>
    </row>
    <row r="67" spans="1:2" x14ac:dyDescent="0.3">
      <c r="A67" t="s">
        <v>78</v>
      </c>
      <c r="B67" s="1" t="s">
        <v>80</v>
      </c>
    </row>
    <row r="68" spans="1:2" x14ac:dyDescent="0.3">
      <c r="A68" t="s">
        <v>79</v>
      </c>
      <c r="B68" s="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2025-08-12T02:17:12Z</dcterms:modified>
</cp:coreProperties>
</file>