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hardtail/"/>
    </mc:Choice>
  </mc:AlternateContent>
  <xr:revisionPtr revIDLastSave="0" documentId="13_ncr:1_{4257536C-8EA5-5F48-B2E8-03E4577BB139}" xr6:coauthVersionLast="47" xr6:coauthVersionMax="47" xr10:uidLastSave="{00000000-0000-0000-0000-000000000000}"/>
  <bookViews>
    <workbookView xWindow="32640" yWindow="-22240" windowWidth="26340" windowHeight="14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1" l="1"/>
  <c r="D35" i="1"/>
  <c r="E35" i="1"/>
  <c r="F35" i="1"/>
  <c r="C35" i="1"/>
  <c r="E34" i="1"/>
  <c r="F34" i="1"/>
  <c r="G34" i="1"/>
  <c r="D34" i="1"/>
  <c r="G35" i="1"/>
  <c r="C34" i="1"/>
  <c r="D36" i="1"/>
  <c r="E36" i="1"/>
  <c r="F36" i="1"/>
  <c r="G36" i="1"/>
  <c r="D37" i="1"/>
  <c r="E37" i="1"/>
  <c r="F37" i="1"/>
  <c r="G37" i="1"/>
  <c r="C37" i="1"/>
  <c r="C36" i="1"/>
</calcChain>
</file>

<file path=xl/sharedStrings.xml><?xml version="1.0" encoding="utf-8"?>
<sst xmlns="http://schemas.openxmlformats.org/spreadsheetml/2006/main" count="127" uniqueCount="116">
  <si>
    <t>brand</t>
  </si>
  <si>
    <t>Sklar</t>
  </si>
  <si>
    <t>model</t>
  </si>
  <si>
    <t>model_year</t>
  </si>
  <si>
    <t>2025</t>
  </si>
  <si>
    <t>input_date</t>
  </si>
  <si>
    <t>url</t>
  </si>
  <si>
    <t>data_range</t>
  </si>
  <si>
    <t>frame_size</t>
  </si>
  <si>
    <t>Small</t>
  </si>
  <si>
    <t>Medium</t>
  </si>
  <si>
    <t>Large</t>
  </si>
  <si>
    <t>XL</t>
  </si>
  <si>
    <t>stack</t>
  </si>
  <si>
    <t>STACK</t>
  </si>
  <si>
    <t>reach</t>
  </si>
  <si>
    <t>REACH</t>
  </si>
  <si>
    <t>top_tube_effective_length</t>
  </si>
  <si>
    <t>EFF. TOP TUBE</t>
  </si>
  <si>
    <t>front_center</t>
  </si>
  <si>
    <t>FRONT CENTER</t>
  </si>
  <si>
    <t>bottom_bracket_height</t>
  </si>
  <si>
    <t>head_tube_angle</t>
  </si>
  <si>
    <t>HEAD TUBE ANGLE</t>
  </si>
  <si>
    <t>seat_tube_angle</t>
  </si>
  <si>
    <t>EFF. SEAT TUBE ANGLE</t>
  </si>
  <si>
    <t>chainstay_length</t>
  </si>
  <si>
    <t>bottom_bracket_drop</t>
  </si>
  <si>
    <t>BB DROP</t>
  </si>
  <si>
    <t>axle_crown</t>
  </si>
  <si>
    <t>AXLE TO CROWN</t>
  </si>
  <si>
    <t>fork_offset_rake</t>
  </si>
  <si>
    <t>FORK OFFSET</t>
  </si>
  <si>
    <t>head_tube_length</t>
  </si>
  <si>
    <t>HEAD TUBE LENGTH</t>
  </si>
  <si>
    <t>seat_tube_length</t>
  </si>
  <si>
    <t>SEAT TUBE LENGTH</t>
  </si>
  <si>
    <t>standover</t>
  </si>
  <si>
    <t>STANDOVER HEIGHT</t>
  </si>
  <si>
    <t>wheelbase</t>
  </si>
  <si>
    <t>crank_length</t>
  </si>
  <si>
    <t>handlebar_width</t>
  </si>
  <si>
    <t>stem_length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</si>
  <si>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</si>
  <si>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</si>
  <si>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</si>
  <si>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</si>
  <si>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</si>
  <si>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</si>
  <si>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</si>
  <si>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</si>
  <si>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</si>
  <si>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</si>
  <si>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</si>
  <si>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</si>
  <si>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</si>
  <si>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</si>
  <si>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</si>
  <si>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</si>
  <si>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</si>
  <si>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</si>
  <si>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</si>
  <si>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</si>
  <si>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</si>
  <si>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</si>
  <si>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</si>
  <si>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</si>
  <si>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</si>
  <si>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</si>
  <si>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</si>
  <si>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</si>
  <si>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</si>
  <si>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</si>
  <si>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</si>
  <si>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</si>
  <si>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</si>
  <si>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</si>
  <si>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</si>
  <si>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</si>
  <si>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</si>
  <si>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</si>
  <si>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</si>
  <si>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</si>
  <si>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</si>
  <si>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</si>
  <si>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yes</t>
  </si>
  <si>
    <t>threaded</t>
  </si>
  <si>
    <t>external</t>
  </si>
  <si>
    <t>no</t>
  </si>
  <si>
    <t>frame_weight</t>
  </si>
  <si>
    <t>frame size</t>
  </si>
  <si>
    <t>trail</t>
  </si>
  <si>
    <t>class</t>
  </si>
  <si>
    <t>handlebar</t>
  </si>
  <si>
    <t>fork</t>
  </si>
  <si>
    <t>rigid</t>
  </si>
  <si>
    <t>PBJ</t>
  </si>
  <si>
    <t>https://sklarbikes.com/collections/bikes/products/pbj</t>
  </si>
  <si>
    <t>XS</t>
  </si>
  <si>
    <t>BB HEIGHT</t>
  </si>
  <si>
    <t>CHAINSTAY LENGTH (MIN)</t>
  </si>
  <si>
    <t>SUS CORRECTED</t>
  </si>
  <si>
    <t>WHEELBASE</t>
  </si>
  <si>
    <t>MAX DROPPER INSERTION</t>
  </si>
  <si>
    <t>sus_correction</t>
  </si>
  <si>
    <t>max_dropper_insertion</t>
  </si>
  <si>
    <t>rider_min_spec</t>
  </si>
  <si>
    <t>rider_max_spec</t>
  </si>
  <si>
    <t>min saddle height</t>
  </si>
  <si>
    <t>max saddle height</t>
  </si>
  <si>
    <t>Using Lemond sizing chart to convert saddle height to inseam then inseam to height</t>
  </si>
  <si>
    <t>flat bar</t>
  </si>
  <si>
    <t>steel</t>
  </si>
  <si>
    <t>internal</t>
  </si>
  <si>
    <t>a8:g37</t>
  </si>
  <si>
    <t>hardtail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</si>
</sst>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abSelected="1" topLeftCell="A33" workbookViewId="0">
      <selection activeCell="B40" sqref="B40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1" t="s">
        <v>96</v>
      </c>
    </row>
    <row r="3" spans="1:7" x14ac:dyDescent="0.3">
      <c r="A3" t="s">
        <v>3</v>
      </c>
      <c r="B3" t="s">
        <v>4</v>
      </c>
    </row>
    <row r="4" spans="1:7" x14ac:dyDescent="0.3">
      <c r="A4" t="s">
        <v>5</v>
      </c>
      <c r="B4" s="2">
        <v>45904</v>
      </c>
    </row>
    <row r="5" spans="1:7" x14ac:dyDescent="0.3">
      <c r="A5" t="s">
        <v>6</v>
      </c>
      <c r="B5" t="s">
        <v>97</v>
      </c>
    </row>
    <row r="7" spans="1:7" x14ac:dyDescent="0.3">
      <c r="A7" t="s">
        <v>7</v>
      </c>
      <c r="B7" s="1" t="s">
        <v>114</v>
      </c>
    </row>
    <row r="8" spans="1:7" x14ac:dyDescent="0.3">
      <c r="A8" t="s">
        <v>8</v>
      </c>
      <c r="B8" s="1" t="s">
        <v>90</v>
      </c>
      <c r="C8" t="s">
        <v>98</v>
      </c>
      <c r="D8" t="s">
        <v>9</v>
      </c>
      <c r="E8" t="s">
        <v>10</v>
      </c>
      <c r="F8" t="s">
        <v>11</v>
      </c>
      <c r="G8" t="s">
        <v>12</v>
      </c>
    </row>
    <row r="9" spans="1:7" x14ac:dyDescent="0.3">
      <c r="A9" t="s">
        <v>13</v>
      </c>
      <c r="B9" t="s">
        <v>14</v>
      </c>
      <c r="C9">
        <v>574</v>
      </c>
      <c r="D9">
        <v>588</v>
      </c>
      <c r="E9">
        <v>615</v>
      </c>
      <c r="F9">
        <v>641</v>
      </c>
      <c r="G9">
        <v>670</v>
      </c>
    </row>
    <row r="10" spans="1:7" x14ac:dyDescent="0.3">
      <c r="A10" t="s">
        <v>15</v>
      </c>
      <c r="B10" t="s">
        <v>16</v>
      </c>
      <c r="C10">
        <v>411</v>
      </c>
      <c r="D10">
        <v>433</v>
      </c>
      <c r="E10">
        <v>461</v>
      </c>
      <c r="F10">
        <v>475</v>
      </c>
      <c r="G10">
        <v>508</v>
      </c>
    </row>
    <row r="11" spans="1:7" x14ac:dyDescent="0.3">
      <c r="A11" t="s">
        <v>17</v>
      </c>
      <c r="B11" t="s">
        <v>18</v>
      </c>
      <c r="C11">
        <v>588</v>
      </c>
      <c r="D11">
        <v>617</v>
      </c>
      <c r="E11">
        <v>649</v>
      </c>
      <c r="F11">
        <v>671</v>
      </c>
      <c r="G11">
        <v>700</v>
      </c>
    </row>
    <row r="12" spans="1:7" x14ac:dyDescent="0.3">
      <c r="A12" t="s">
        <v>33</v>
      </c>
      <c r="B12" t="s">
        <v>34</v>
      </c>
      <c r="C12">
        <v>70</v>
      </c>
      <c r="D12">
        <v>85</v>
      </c>
      <c r="E12">
        <v>110</v>
      </c>
      <c r="F12">
        <v>140</v>
      </c>
      <c r="G12">
        <v>170</v>
      </c>
    </row>
    <row r="13" spans="1:7" x14ac:dyDescent="0.3">
      <c r="A13" t="s">
        <v>19</v>
      </c>
      <c r="B13" t="s">
        <v>20</v>
      </c>
      <c r="C13">
        <v>675</v>
      </c>
      <c r="D13">
        <v>698</v>
      </c>
      <c r="E13">
        <v>730</v>
      </c>
      <c r="F13">
        <v>755</v>
      </c>
      <c r="G13">
        <v>795</v>
      </c>
    </row>
    <row r="14" spans="1:7" x14ac:dyDescent="0.3">
      <c r="A14" t="s">
        <v>21</v>
      </c>
      <c r="B14" t="s">
        <v>99</v>
      </c>
      <c r="C14">
        <v>317</v>
      </c>
      <c r="D14">
        <v>317</v>
      </c>
      <c r="E14">
        <v>317</v>
      </c>
      <c r="F14">
        <v>317</v>
      </c>
      <c r="G14">
        <v>317</v>
      </c>
    </row>
    <row r="15" spans="1:7" x14ac:dyDescent="0.3">
      <c r="A15" t="s">
        <v>22</v>
      </c>
      <c r="B15" t="s">
        <v>23</v>
      </c>
      <c r="C15">
        <v>68</v>
      </c>
      <c r="D15">
        <v>68.5</v>
      </c>
      <c r="E15">
        <v>69</v>
      </c>
      <c r="F15">
        <v>69</v>
      </c>
      <c r="G15">
        <v>69</v>
      </c>
    </row>
    <row r="16" spans="1:7" x14ac:dyDescent="0.3">
      <c r="A16" t="s">
        <v>24</v>
      </c>
      <c r="B16" t="s">
        <v>25</v>
      </c>
      <c r="C16">
        <v>74.5</v>
      </c>
      <c r="D16">
        <v>74</v>
      </c>
      <c r="E16">
        <v>74</v>
      </c>
      <c r="F16">
        <v>74</v>
      </c>
      <c r="G16">
        <v>74</v>
      </c>
    </row>
    <row r="17" spans="1:7" x14ac:dyDescent="0.3">
      <c r="A17" t="s">
        <v>26</v>
      </c>
      <c r="B17" t="s">
        <v>100</v>
      </c>
      <c r="C17">
        <v>432</v>
      </c>
      <c r="D17">
        <v>432</v>
      </c>
      <c r="E17">
        <v>432</v>
      </c>
      <c r="F17">
        <v>432</v>
      </c>
      <c r="G17">
        <v>432</v>
      </c>
    </row>
    <row r="18" spans="1:7" x14ac:dyDescent="0.3">
      <c r="A18" t="s">
        <v>29</v>
      </c>
      <c r="B18" t="s">
        <v>30</v>
      </c>
      <c r="C18">
        <v>485</v>
      </c>
      <c r="D18">
        <v>485</v>
      </c>
      <c r="E18">
        <v>485</v>
      </c>
      <c r="F18">
        <v>485</v>
      </c>
      <c r="G18">
        <v>485</v>
      </c>
    </row>
    <row r="19" spans="1:7" x14ac:dyDescent="0.3">
      <c r="A19" s="1" t="s">
        <v>104</v>
      </c>
      <c r="B19" t="s">
        <v>101</v>
      </c>
      <c r="C19">
        <v>100</v>
      </c>
      <c r="D19">
        <v>100</v>
      </c>
      <c r="E19">
        <v>100</v>
      </c>
      <c r="F19">
        <v>100</v>
      </c>
      <c r="G19">
        <v>100</v>
      </c>
    </row>
    <row r="20" spans="1:7" x14ac:dyDescent="0.3">
      <c r="A20" t="s">
        <v>31</v>
      </c>
      <c r="B20" t="s">
        <v>32</v>
      </c>
      <c r="C20">
        <v>52</v>
      </c>
      <c r="D20">
        <v>52</v>
      </c>
      <c r="E20">
        <v>52</v>
      </c>
      <c r="F20">
        <v>52</v>
      </c>
      <c r="G20">
        <v>52</v>
      </c>
    </row>
    <row r="21" spans="1:7" x14ac:dyDescent="0.3">
      <c r="A21" t="s">
        <v>39</v>
      </c>
      <c r="B21" t="s">
        <v>102</v>
      </c>
      <c r="C21">
        <v>1098</v>
      </c>
      <c r="D21">
        <v>1124</v>
      </c>
      <c r="E21">
        <v>1165</v>
      </c>
      <c r="F21">
        <v>1182</v>
      </c>
      <c r="G21">
        <v>1222</v>
      </c>
    </row>
    <row r="22" spans="1:7" x14ac:dyDescent="0.3">
      <c r="A22" t="s">
        <v>35</v>
      </c>
      <c r="B22" t="s">
        <v>36</v>
      </c>
      <c r="C22">
        <v>360</v>
      </c>
      <c r="D22">
        <v>410</v>
      </c>
      <c r="E22">
        <v>440</v>
      </c>
      <c r="F22">
        <v>505</v>
      </c>
      <c r="G22">
        <v>530</v>
      </c>
    </row>
    <row r="23" spans="1:7" x14ac:dyDescent="0.3">
      <c r="A23" t="s">
        <v>37</v>
      </c>
      <c r="B23" t="s">
        <v>38</v>
      </c>
      <c r="C23">
        <v>720</v>
      </c>
      <c r="D23">
        <v>770</v>
      </c>
      <c r="E23">
        <v>800</v>
      </c>
      <c r="F23">
        <v>852</v>
      </c>
      <c r="G23">
        <v>879</v>
      </c>
    </row>
    <row r="24" spans="1:7" x14ac:dyDescent="0.3">
      <c r="A24" t="s">
        <v>27</v>
      </c>
      <c r="B24" t="s">
        <v>28</v>
      </c>
      <c r="C24">
        <v>68</v>
      </c>
      <c r="D24">
        <v>68</v>
      </c>
      <c r="E24">
        <v>68</v>
      </c>
      <c r="F24">
        <v>68</v>
      </c>
      <c r="G24">
        <v>68</v>
      </c>
    </row>
    <row r="25" spans="1:7" x14ac:dyDescent="0.3">
      <c r="A25" s="1" t="s">
        <v>105</v>
      </c>
      <c r="B25" t="s">
        <v>103</v>
      </c>
      <c r="C25">
        <v>172</v>
      </c>
      <c r="D25">
        <v>223</v>
      </c>
      <c r="E25">
        <v>251</v>
      </c>
      <c r="F25">
        <v>316</v>
      </c>
      <c r="G25">
        <v>340</v>
      </c>
    </row>
    <row r="26" spans="1:7" x14ac:dyDescent="0.3">
      <c r="A26" s="1" t="s">
        <v>91</v>
      </c>
    </row>
    <row r="27" spans="1:7" x14ac:dyDescent="0.3">
      <c r="A27" s="1" t="s">
        <v>89</v>
      </c>
    </row>
    <row r="28" spans="1:7" x14ac:dyDescent="0.3">
      <c r="A28" t="s">
        <v>40</v>
      </c>
    </row>
    <row r="29" spans="1:7" x14ac:dyDescent="0.3">
      <c r="A29" t="s">
        <v>41</v>
      </c>
    </row>
    <row r="30" spans="1:7" x14ac:dyDescent="0.3">
      <c r="A30" t="s">
        <v>42</v>
      </c>
      <c r="B30" t="s">
        <v>42</v>
      </c>
    </row>
    <row r="31" spans="1:7" x14ac:dyDescent="0.3">
      <c r="A31" t="s">
        <v>43</v>
      </c>
      <c r="B31" t="s">
        <v>43</v>
      </c>
      <c r="C31">
        <v>700</v>
      </c>
      <c r="D31">
        <v>700</v>
      </c>
      <c r="E31">
        <v>700</v>
      </c>
      <c r="F31">
        <v>700</v>
      </c>
      <c r="G31">
        <v>700</v>
      </c>
    </row>
    <row r="32" spans="1:7" x14ac:dyDescent="0.3">
      <c r="A32" t="s">
        <v>44</v>
      </c>
      <c r="B32" t="s">
        <v>44</v>
      </c>
      <c r="C32">
        <v>66</v>
      </c>
      <c r="D32">
        <v>66</v>
      </c>
      <c r="E32">
        <v>66</v>
      </c>
      <c r="F32">
        <v>66</v>
      </c>
      <c r="G32">
        <v>66</v>
      </c>
    </row>
    <row r="33" spans="1:8" x14ac:dyDescent="0.3">
      <c r="A33" t="s">
        <v>45</v>
      </c>
      <c r="B33" t="s">
        <v>45</v>
      </c>
      <c r="C33">
        <v>71</v>
      </c>
      <c r="D33">
        <v>71</v>
      </c>
      <c r="E33">
        <v>71</v>
      </c>
      <c r="F33">
        <v>71</v>
      </c>
      <c r="G33">
        <v>71</v>
      </c>
    </row>
    <row r="34" spans="1:8" x14ac:dyDescent="0.3">
      <c r="A34" t="s">
        <v>46</v>
      </c>
      <c r="B34" t="s">
        <v>46</v>
      </c>
      <c r="C34" s="3">
        <f>C36</f>
        <v>145.24578260869566</v>
      </c>
      <c r="D34" s="3">
        <f>AVERAGE(D36,C37)</f>
        <v>158.78534782608693</v>
      </c>
      <c r="E34" s="3">
        <f t="shared" ref="E34:G34" si="0">AVERAGE(E36,D37)</f>
        <v>167.4014347826087</v>
      </c>
      <c r="F34" s="3">
        <f t="shared" si="0"/>
        <v>180.94099999999997</v>
      </c>
      <c r="G34" s="3">
        <f t="shared" si="0"/>
        <v>193.2496956521739</v>
      </c>
    </row>
    <row r="35" spans="1:8" x14ac:dyDescent="0.3">
      <c r="A35" t="s">
        <v>47</v>
      </c>
      <c r="B35" t="s">
        <v>47</v>
      </c>
      <c r="C35" s="3">
        <f>D34</f>
        <v>158.78534782608693</v>
      </c>
      <c r="D35" s="3">
        <f t="shared" ref="D35:F35" si="1">E34</f>
        <v>167.4014347826087</v>
      </c>
      <c r="E35" s="3">
        <f t="shared" si="1"/>
        <v>180.94099999999997</v>
      </c>
      <c r="F35" s="3">
        <f t="shared" si="1"/>
        <v>193.2496956521739</v>
      </c>
      <c r="G35" s="3">
        <f t="shared" ref="G35" si="2">G37</f>
        <v>199.40404347826086</v>
      </c>
    </row>
    <row r="36" spans="1:8" x14ac:dyDescent="0.3">
      <c r="A36" s="1" t="s">
        <v>106</v>
      </c>
      <c r="C36">
        <f>(0.0146 + C38*1.1324)/0.46/10</f>
        <v>145.24578260869566</v>
      </c>
      <c r="D36">
        <f t="shared" ref="D36:G36" si="3">(0.0146 + D38*1.1324)/0.46/10</f>
        <v>157.55447826086956</v>
      </c>
      <c r="E36">
        <f t="shared" si="3"/>
        <v>166.1705652173913</v>
      </c>
      <c r="F36">
        <f t="shared" si="3"/>
        <v>179.7101304347826</v>
      </c>
      <c r="G36">
        <f t="shared" si="3"/>
        <v>192.01882608695652</v>
      </c>
      <c r="H36" s="1" t="s">
        <v>110</v>
      </c>
    </row>
    <row r="37" spans="1:8" x14ac:dyDescent="0.3">
      <c r="A37" s="1" t="s">
        <v>107</v>
      </c>
      <c r="C37">
        <f>(0.0146 + C39*1.1324)/0.46/10</f>
        <v>160.01621739130434</v>
      </c>
      <c r="D37">
        <f t="shared" ref="D37:G37" si="4">(0.0146 + D39*1.1324)/0.46/10</f>
        <v>168.63230434782608</v>
      </c>
      <c r="E37">
        <f t="shared" si="4"/>
        <v>182.17186956521738</v>
      </c>
      <c r="F37">
        <f t="shared" si="4"/>
        <v>194.4805652173913</v>
      </c>
      <c r="G37">
        <f t="shared" si="4"/>
        <v>199.40404347826086</v>
      </c>
    </row>
    <row r="38" spans="1:8" x14ac:dyDescent="0.3">
      <c r="C38">
        <v>590</v>
      </c>
      <c r="D38">
        <v>640</v>
      </c>
      <c r="E38">
        <v>675</v>
      </c>
      <c r="F38">
        <v>730</v>
      </c>
      <c r="G38">
        <v>780</v>
      </c>
      <c r="H38" s="1" t="s">
        <v>108</v>
      </c>
    </row>
    <row r="39" spans="1:8" x14ac:dyDescent="0.3">
      <c r="A39" t="s">
        <v>48</v>
      </c>
      <c r="B39" t="s">
        <v>49</v>
      </c>
      <c r="C39">
        <v>650</v>
      </c>
      <c r="D39">
        <v>685</v>
      </c>
      <c r="E39">
        <v>740</v>
      </c>
      <c r="F39">
        <v>790</v>
      </c>
      <c r="G39">
        <v>810</v>
      </c>
      <c r="H39" s="1" t="s">
        <v>109</v>
      </c>
    </row>
    <row r="40" spans="1:8" x14ac:dyDescent="0.3">
      <c r="A40" t="s">
        <v>92</v>
      </c>
      <c r="B40" s="1" t="s">
        <v>115</v>
      </c>
    </row>
    <row r="41" spans="1:8" x14ac:dyDescent="0.3">
      <c r="A41" t="s">
        <v>93</v>
      </c>
      <c r="B41" s="1" t="s">
        <v>111</v>
      </c>
    </row>
    <row r="42" spans="1:8" x14ac:dyDescent="0.3">
      <c r="A42" t="s">
        <v>94</v>
      </c>
      <c r="B42" t="s">
        <v>95</v>
      </c>
    </row>
    <row r="43" spans="1:8" x14ac:dyDescent="0.3">
      <c r="A43" t="s">
        <v>50</v>
      </c>
      <c r="B43" s="1" t="s">
        <v>112</v>
      </c>
    </row>
    <row r="44" spans="1:8" x14ac:dyDescent="0.3">
      <c r="A44" t="s">
        <v>51</v>
      </c>
      <c r="B44" s="1" t="s">
        <v>85</v>
      </c>
    </row>
    <row r="45" spans="1:8" x14ac:dyDescent="0.3">
      <c r="A45" t="s">
        <v>52</v>
      </c>
      <c r="B45" s="1">
        <v>10</v>
      </c>
    </row>
    <row r="46" spans="1:8" x14ac:dyDescent="0.3">
      <c r="A46" t="s">
        <v>53</v>
      </c>
      <c r="B46">
        <f>2.8*25.4</f>
        <v>71.11999999999999</v>
      </c>
    </row>
    <row r="47" spans="1:8" x14ac:dyDescent="0.3">
      <c r="A47" t="s">
        <v>54</v>
      </c>
    </row>
    <row r="48" spans="1:8" x14ac:dyDescent="0.3">
      <c r="A48" t="s">
        <v>55</v>
      </c>
      <c r="B48">
        <v>100</v>
      </c>
    </row>
    <row r="49" spans="1:2" x14ac:dyDescent="0.3">
      <c r="A49" t="s">
        <v>56</v>
      </c>
    </row>
    <row r="50" spans="1:2" x14ac:dyDescent="0.3">
      <c r="A50" t="s">
        <v>57</v>
      </c>
    </row>
    <row r="51" spans="1:2" x14ac:dyDescent="0.3">
      <c r="A51" t="s">
        <v>58</v>
      </c>
    </row>
    <row r="52" spans="1:2" x14ac:dyDescent="0.3">
      <c r="A52" t="s">
        <v>59</v>
      </c>
      <c r="B52">
        <v>148</v>
      </c>
    </row>
    <row r="53" spans="1:2" x14ac:dyDescent="0.3">
      <c r="A53" t="s">
        <v>60</v>
      </c>
      <c r="B53">
        <v>110</v>
      </c>
    </row>
    <row r="54" spans="1:2" x14ac:dyDescent="0.3">
      <c r="A54" t="s">
        <v>61</v>
      </c>
      <c r="B54" s="1" t="s">
        <v>86</v>
      </c>
    </row>
    <row r="55" spans="1:2" x14ac:dyDescent="0.3">
      <c r="A55" t="s">
        <v>62</v>
      </c>
    </row>
    <row r="56" spans="1:2" x14ac:dyDescent="0.3">
      <c r="A56" t="s">
        <v>63</v>
      </c>
      <c r="B56">
        <v>31.6</v>
      </c>
    </row>
    <row r="57" spans="1:2" x14ac:dyDescent="0.3">
      <c r="A57" t="s">
        <v>64</v>
      </c>
      <c r="B57" s="1" t="s">
        <v>88</v>
      </c>
    </row>
    <row r="58" spans="1:2" x14ac:dyDescent="0.3">
      <c r="A58" t="s">
        <v>65</v>
      </c>
      <c r="B58">
        <v>36</v>
      </c>
    </row>
    <row r="59" spans="1:2" x14ac:dyDescent="0.3">
      <c r="A59" t="s">
        <v>66</v>
      </c>
    </row>
    <row r="60" spans="1:2" x14ac:dyDescent="0.3">
      <c r="A60" t="s">
        <v>67</v>
      </c>
    </row>
    <row r="61" spans="1:2" x14ac:dyDescent="0.3">
      <c r="A61" t="s">
        <v>68</v>
      </c>
      <c r="B61">
        <v>160</v>
      </c>
    </row>
    <row r="62" spans="1:2" x14ac:dyDescent="0.3">
      <c r="A62" t="s">
        <v>69</v>
      </c>
    </row>
    <row r="63" spans="1:2" x14ac:dyDescent="0.3">
      <c r="A63" t="s">
        <v>70</v>
      </c>
      <c r="B63" s="1" t="s">
        <v>87</v>
      </c>
    </row>
    <row r="64" spans="1:2" x14ac:dyDescent="0.3">
      <c r="A64" t="s">
        <v>71</v>
      </c>
      <c r="B64" s="1" t="s">
        <v>113</v>
      </c>
    </row>
    <row r="65" spans="1:2" x14ac:dyDescent="0.3">
      <c r="A65" t="s">
        <v>72</v>
      </c>
    </row>
    <row r="66" spans="1:2" x14ac:dyDescent="0.3">
      <c r="A66" t="s">
        <v>73</v>
      </c>
    </row>
    <row r="67" spans="1:2" x14ac:dyDescent="0.3">
      <c r="A67" t="s">
        <v>74</v>
      </c>
      <c r="B67">
        <v>2</v>
      </c>
    </row>
    <row r="68" spans="1:2" x14ac:dyDescent="0.3">
      <c r="A68" t="s">
        <v>75</v>
      </c>
      <c r="B68">
        <v>1</v>
      </c>
    </row>
    <row r="69" spans="1:2" x14ac:dyDescent="0.3">
      <c r="A69" t="s">
        <v>76</v>
      </c>
      <c r="B69" s="1" t="s">
        <v>88</v>
      </c>
    </row>
    <row r="70" spans="1:2" x14ac:dyDescent="0.3">
      <c r="A70" t="s">
        <v>77</v>
      </c>
      <c r="B70" s="1" t="s">
        <v>85</v>
      </c>
    </row>
    <row r="71" spans="1:2" x14ac:dyDescent="0.3">
      <c r="A71" t="s">
        <v>78</v>
      </c>
      <c r="B71" s="1" t="s">
        <v>85</v>
      </c>
    </row>
    <row r="72" spans="1:2" x14ac:dyDescent="0.3">
      <c r="A72" t="s">
        <v>79</v>
      </c>
      <c r="B72" s="1" t="s">
        <v>85</v>
      </c>
    </row>
    <row r="73" spans="1:2" x14ac:dyDescent="0.3">
      <c r="A73" t="s">
        <v>80</v>
      </c>
      <c r="B73" s="1" t="s">
        <v>85</v>
      </c>
    </row>
    <row r="74" spans="1:2" x14ac:dyDescent="0.3">
      <c r="A74" t="s">
        <v>81</v>
      </c>
      <c r="B74">
        <v>1599</v>
      </c>
    </row>
    <row r="75" spans="1:2" x14ac:dyDescent="0.3">
      <c r="A75" t="s">
        <v>82</v>
      </c>
      <c r="B75">
        <v>4299</v>
      </c>
    </row>
    <row r="76" spans="1:2" x14ac:dyDescent="0.3">
      <c r="A76" t="s">
        <v>83</v>
      </c>
    </row>
    <row r="77" spans="1:2" x14ac:dyDescent="0.3">
      <c r="A77" t="s">
        <v>84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2025-07-25T19:36:30Z</dcterms:created>
  <dcterms:modified xsi:type="dcterms:W3CDTF">2025-09-04T12:18:22Z</dcterms:modified>
</cp:coreProperties>
</file>