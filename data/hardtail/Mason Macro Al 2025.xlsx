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CD2634EA-BBD7-2C48-86E1-9246C27373C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  <c r="E35" i="1"/>
  <c r="D36" i="1" s="1"/>
  <c r="F35" i="1"/>
  <c r="E36" i="1" s="1"/>
  <c r="D35" i="1"/>
  <c r="C36" i="1" s="1"/>
  <c r="F36" i="1"/>
  <c r="C35" i="1"/>
  <c r="D34" i="1"/>
  <c r="E34" i="1"/>
  <c r="F34" i="1"/>
  <c r="C34" i="1"/>
</calcChain>
</file>

<file path=xl/sharedStrings.xml><?xml version="1.0" encoding="utf-8"?>
<sst xmlns="http://schemas.openxmlformats.org/spreadsheetml/2006/main" count="121" uniqueCount="117">
  <si>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</si>
  <si>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</si>
  <si>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</si>
  <si>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</si>
  <si>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</si>
  <si>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</si>
  <si>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</si>
  <si>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</si>
  <si>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</si>
  <si>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</si>
  <si>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</si>
  <si>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</si>
  <si>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</si>
  <si>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</si>
  <si>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</si>
  <si>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</si>
  <si>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</si>
  <si>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</si>
  <si>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</si>
  <si>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</si>
  <si>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</si>
  <si>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</si>
  <si>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</si>
  <si>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</si>
  <si>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</si>
  <si>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</si>
  <si>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</si>
  <si>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</si>
  <si>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</si>
  <si>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</si>
  <si>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</si>
  <si>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</si>
  <si>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</si>
  <si>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</si>
  <si>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</si>
  <si>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</si>
  <si>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</si>
  <si>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</si>
  <si>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</si>
  <si>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</si>
  <si>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</si>
  <si>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</si>
  <si>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</si>
  <si>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</si>
  <si>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</si>
  <si>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</si>
  <si>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</si>
  <si>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</si>
  <si>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</si>
  <si>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</si>
  <si>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</si>
  <si>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</si>
  <si>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</si>
  <si>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</si>
  <si>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</si>
  <si>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</si>
  <si>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</si>
  <si>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</si>
  <si>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</si>
  <si>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</si>
  <si>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</si>
  <si>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</si>
  <si>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</si>
  <si>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</si>
  <si>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</si>
  <si>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</si>
  <si>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</si>
  <si>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</si>
  <si>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</si>
  <si>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</si>
  <si>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</si>
  <si>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</si>
  <si>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</si>
  <si>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</si>
  <si>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</si>
  <si>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</si>
  <si>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</si>
  <si>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</si>
  <si>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</si>
  <si>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</si>
  <si>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</si>
  <si>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</si>
  <si>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</si>
  <si>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</si>
  <si>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</si>
  <si>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</si>
  <si>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</si>
  <si>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</si>
  <si>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</si>
  <si>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</si>
  <si>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</si>
  <si>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</si>
  <si>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</si>
  <si>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</si>
  <si>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</si>
  <si>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FORK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</si>
  <si>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</si>
  <si>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</si>
  <si>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</si>
  <si>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</si>
  <si>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</si>
  <si>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</si>
  <si>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</si>
  <si>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</si>
  <si>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https://masoncycles.cc/products/macro-frameset</t>
  </si>
  <si>
    <t>Mason</t>
  </si>
  <si>
    <t>Macro Al</t>
  </si>
  <si>
    <t>seat_tube_ct</t>
  </si>
  <si>
    <t>a8:f38</t>
  </si>
  <si>
    <t>aluminum</t>
  </si>
  <si>
    <t>pounds</t>
  </si>
  <si>
    <t>class</t>
  </si>
  <si>
    <t>hardtail</t>
  </si>
  <si>
    <t>handlebar</t>
  </si>
  <si>
    <t>fork</t>
  </si>
  <si>
    <t>flat bar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</si>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</sst>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19" workbookViewId="0">
      <selection activeCell="D44" sqref="D44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105</v>
      </c>
    </row>
    <row r="2" spans="1:10">
      <c r="A2" s="1" t="s">
        <v>1</v>
      </c>
      <c r="B2" s="1" t="s">
        <v>106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104</v>
      </c>
    </row>
    <row r="7" spans="1:10">
      <c r="A7" s="1" t="s">
        <v>5</v>
      </c>
      <c r="B7" s="1" t="s">
        <v>108</v>
      </c>
    </row>
    <row r="8" spans="1:10">
      <c r="A8" s="1" t="s">
        <v>6</v>
      </c>
      <c r="B8" s="1" t="s">
        <v>75</v>
      </c>
      <c r="C8" s="3" t="s">
        <v>69</v>
      </c>
      <c r="D8" s="3" t="s">
        <v>70</v>
      </c>
      <c r="E8" s="3" t="s">
        <v>71</v>
      </c>
      <c r="F8" s="1" t="s">
        <v>76</v>
      </c>
    </row>
    <row r="9" spans="1:10">
      <c r="A9" s="1" t="s">
        <v>107</v>
      </c>
      <c r="B9" s="1" t="s">
        <v>77</v>
      </c>
      <c r="C9" s="4">
        <v>395</v>
      </c>
      <c r="D9" s="4">
        <v>430</v>
      </c>
      <c r="E9" s="4">
        <v>470</v>
      </c>
      <c r="F9" s="1">
        <v>505</v>
      </c>
    </row>
    <row r="10" spans="1:10">
      <c r="A10" s="1" t="s">
        <v>7</v>
      </c>
      <c r="B10" s="1" t="s">
        <v>78</v>
      </c>
      <c r="C10" s="4">
        <v>345</v>
      </c>
      <c r="D10" s="4">
        <v>380</v>
      </c>
      <c r="E10" s="4">
        <v>420</v>
      </c>
      <c r="F10" s="1">
        <v>455</v>
      </c>
    </row>
    <row r="11" spans="1:10">
      <c r="A11" s="1" t="s">
        <v>16</v>
      </c>
      <c r="B11" s="1" t="s">
        <v>79</v>
      </c>
      <c r="C11" s="4">
        <v>63</v>
      </c>
      <c r="D11" s="4">
        <v>63</v>
      </c>
      <c r="E11" s="4">
        <v>63</v>
      </c>
      <c r="F11" s="4">
        <v>63</v>
      </c>
      <c r="H11" s="4"/>
      <c r="I11" s="4"/>
      <c r="J11" s="4"/>
    </row>
    <row r="12" spans="1:10">
      <c r="A12" s="1" t="s">
        <v>15</v>
      </c>
      <c r="B12" s="1" t="s">
        <v>80</v>
      </c>
      <c r="C12" s="4">
        <v>432</v>
      </c>
      <c r="D12" s="4">
        <v>432</v>
      </c>
      <c r="E12" s="4">
        <v>432</v>
      </c>
      <c r="F12" s="1">
        <v>432</v>
      </c>
    </row>
    <row r="13" spans="1:10">
      <c r="A13" s="1" t="s">
        <v>9</v>
      </c>
      <c r="B13" s="1" t="s">
        <v>81</v>
      </c>
      <c r="C13" s="4">
        <v>569</v>
      </c>
      <c r="D13" s="4">
        <v>594</v>
      </c>
      <c r="E13" s="4">
        <v>623.5</v>
      </c>
      <c r="F13" s="1">
        <v>652</v>
      </c>
    </row>
    <row r="14" spans="1:10">
      <c r="A14" s="1" t="s">
        <v>103</v>
      </c>
      <c r="B14" s="4" t="s">
        <v>82</v>
      </c>
      <c r="C14" s="4">
        <v>552</v>
      </c>
      <c r="D14" s="4">
        <v>571.5</v>
      </c>
      <c r="E14" s="4">
        <v>600</v>
      </c>
      <c r="F14" s="1">
        <v>628</v>
      </c>
    </row>
    <row r="15" spans="1:10">
      <c r="A15" s="1" t="s">
        <v>17</v>
      </c>
      <c r="B15" s="4" t="s">
        <v>83</v>
      </c>
      <c r="C15" s="4">
        <v>580</v>
      </c>
      <c r="D15" s="4">
        <v>584.5</v>
      </c>
      <c r="E15" s="4">
        <v>593.5</v>
      </c>
      <c r="F15" s="1">
        <v>607.5</v>
      </c>
    </row>
    <row r="16" spans="1:10">
      <c r="A16" s="1" t="s">
        <v>18</v>
      </c>
      <c r="B16" s="1" t="s">
        <v>84</v>
      </c>
      <c r="C16" s="1">
        <v>415</v>
      </c>
      <c r="D16" s="1">
        <v>438.5</v>
      </c>
      <c r="E16" s="1">
        <v>466</v>
      </c>
      <c r="F16" s="1">
        <v>490</v>
      </c>
    </row>
    <row r="17" spans="1:6">
      <c r="A17" s="1" t="s">
        <v>19</v>
      </c>
      <c r="B17" s="1" t="s">
        <v>19</v>
      </c>
      <c r="C17" s="1">
        <v>725</v>
      </c>
      <c r="D17" s="1">
        <v>747</v>
      </c>
      <c r="E17" s="1">
        <v>778</v>
      </c>
      <c r="F17" s="1">
        <v>806</v>
      </c>
    </row>
    <row r="18" spans="1:6">
      <c r="A18" s="1" t="s">
        <v>12</v>
      </c>
      <c r="B18" s="1" t="s">
        <v>85</v>
      </c>
      <c r="C18" s="1">
        <v>45</v>
      </c>
      <c r="D18" s="1">
        <v>45</v>
      </c>
      <c r="E18" s="1">
        <v>45</v>
      </c>
      <c r="F18" s="1">
        <v>45</v>
      </c>
    </row>
    <row r="19" spans="1:6">
      <c r="A19" s="1" t="s">
        <v>13</v>
      </c>
      <c r="B19" s="1" t="s">
        <v>86</v>
      </c>
      <c r="C19" s="1">
        <v>107.2</v>
      </c>
      <c r="D19" s="1">
        <v>107.2</v>
      </c>
      <c r="E19" s="1">
        <v>107.2</v>
      </c>
      <c r="F19" s="1">
        <v>107.2</v>
      </c>
    </row>
    <row r="20" spans="1:6">
      <c r="A20" s="1" t="s">
        <v>24</v>
      </c>
      <c r="B20" s="1" t="s">
        <v>87</v>
      </c>
      <c r="C20" s="1">
        <v>483</v>
      </c>
      <c r="D20" s="1">
        <v>483</v>
      </c>
      <c r="E20" s="1">
        <v>483</v>
      </c>
      <c r="F20" s="1">
        <v>483</v>
      </c>
    </row>
    <row r="21" spans="1:6">
      <c r="A21" s="1" t="s">
        <v>11</v>
      </c>
      <c r="B21" s="1" t="s">
        <v>88</v>
      </c>
      <c r="C21" s="1">
        <v>67.5</v>
      </c>
      <c r="D21" s="1">
        <v>67.5</v>
      </c>
      <c r="E21" s="1">
        <v>67.5</v>
      </c>
      <c r="F21" s="1">
        <v>67.5</v>
      </c>
    </row>
    <row r="22" spans="1:6" ht="21" customHeight="1">
      <c r="A22" s="1" t="s">
        <v>10</v>
      </c>
      <c r="B22" s="1" t="s">
        <v>89</v>
      </c>
      <c r="C22" s="1">
        <v>95</v>
      </c>
      <c r="D22" s="1">
        <v>100</v>
      </c>
      <c r="E22" s="1">
        <v>110</v>
      </c>
      <c r="F22" s="1">
        <v>125</v>
      </c>
    </row>
    <row r="23" spans="1:6">
      <c r="A23" s="1" t="s">
        <v>8</v>
      </c>
      <c r="B23" s="1" t="s">
        <v>90</v>
      </c>
      <c r="C23" s="1">
        <v>75.400000000000006</v>
      </c>
      <c r="D23" s="1">
        <v>75.099999999999994</v>
      </c>
      <c r="E23" s="1">
        <v>75.2</v>
      </c>
      <c r="F23" s="1">
        <v>75.099999999999994</v>
      </c>
    </row>
    <row r="24" spans="1:6">
      <c r="A24" s="1" t="s">
        <v>14</v>
      </c>
      <c r="B24" s="1" t="s">
        <v>91</v>
      </c>
      <c r="C24" s="1">
        <v>1105.5</v>
      </c>
      <c r="D24" s="1">
        <v>1130.5999999999999</v>
      </c>
      <c r="E24" s="1">
        <v>1161.7</v>
      </c>
      <c r="F24" s="1">
        <v>1191.8</v>
      </c>
    </row>
    <row r="25" spans="1:6">
      <c r="A25" s="1" t="s">
        <v>66</v>
      </c>
      <c r="B25" s="1" t="s">
        <v>92</v>
      </c>
      <c r="C25" s="1">
        <v>681</v>
      </c>
      <c r="D25" s="1">
        <v>706</v>
      </c>
      <c r="E25" s="1">
        <v>737</v>
      </c>
      <c r="F25" s="1">
        <v>767</v>
      </c>
    </row>
    <row r="26" spans="1:6">
      <c r="A26" s="1" t="s">
        <v>40</v>
      </c>
      <c r="B26" s="1" t="s">
        <v>93</v>
      </c>
      <c r="C26" s="1">
        <v>148</v>
      </c>
      <c r="D26" s="1">
        <v>148</v>
      </c>
      <c r="E26" s="1">
        <v>148</v>
      </c>
      <c r="F26" s="1">
        <v>148</v>
      </c>
    </row>
    <row r="27" spans="1:6">
      <c r="A27" s="1" t="s">
        <v>68</v>
      </c>
      <c r="B27" s="1" t="s">
        <v>94</v>
      </c>
      <c r="C27" s="1">
        <v>1875</v>
      </c>
      <c r="D27" s="1">
        <v>1880</v>
      </c>
      <c r="E27" s="1">
        <v>1890</v>
      </c>
      <c r="F27" s="1">
        <v>1910</v>
      </c>
    </row>
    <row r="28" spans="1:6">
      <c r="A28" s="1" t="s">
        <v>102</v>
      </c>
      <c r="B28" s="1" t="s">
        <v>95</v>
      </c>
      <c r="C28" s="1">
        <v>700</v>
      </c>
      <c r="D28" s="1">
        <v>700</v>
      </c>
      <c r="E28" s="1">
        <v>700</v>
      </c>
      <c r="F28" s="1">
        <v>700</v>
      </c>
    </row>
    <row r="29" spans="1:6">
      <c r="A29" s="1" t="s">
        <v>21</v>
      </c>
      <c r="B29" s="1" t="s">
        <v>100</v>
      </c>
      <c r="C29" s="4">
        <v>50</v>
      </c>
      <c r="D29" s="4">
        <v>60</v>
      </c>
      <c r="E29" s="4">
        <v>70</v>
      </c>
      <c r="F29" s="1">
        <v>70</v>
      </c>
    </row>
    <row r="30" spans="1:6">
      <c r="A30" s="1" t="s">
        <v>22</v>
      </c>
      <c r="B30" s="1" t="s">
        <v>101</v>
      </c>
      <c r="C30" s="4">
        <v>170</v>
      </c>
      <c r="D30" s="4">
        <v>170</v>
      </c>
      <c r="E30" s="4">
        <v>170</v>
      </c>
      <c r="F30" s="4">
        <v>170</v>
      </c>
    </row>
    <row r="31" spans="1:6">
      <c r="A31" s="1" t="s">
        <v>20</v>
      </c>
      <c r="C31" s="4"/>
      <c r="D31" s="4"/>
      <c r="E31" s="4"/>
      <c r="F31" s="4"/>
    </row>
    <row r="32" spans="1:6">
      <c r="A32" s="1" t="s">
        <v>23</v>
      </c>
      <c r="C32" s="4">
        <v>700</v>
      </c>
      <c r="D32" s="4">
        <v>700</v>
      </c>
      <c r="E32" s="4">
        <v>700</v>
      </c>
      <c r="F32" s="4">
        <v>700</v>
      </c>
    </row>
    <row r="33" spans="1:6">
      <c r="A33" s="1" t="s">
        <v>25</v>
      </c>
      <c r="C33" s="4"/>
      <c r="D33" s="4"/>
      <c r="E33" s="4"/>
      <c r="F33" s="4"/>
    </row>
    <row r="34" spans="1:6">
      <c r="A34" s="1" t="s">
        <v>26</v>
      </c>
      <c r="C34" s="4">
        <f>2.4*25.4</f>
        <v>60.959999999999994</v>
      </c>
      <c r="D34" s="4">
        <f t="shared" ref="D34:F34" si="0">2.4*25.4</f>
        <v>60.959999999999994</v>
      </c>
      <c r="E34" s="4">
        <f t="shared" si="0"/>
        <v>60.959999999999994</v>
      </c>
      <c r="F34" s="4">
        <f t="shared" si="0"/>
        <v>60.959999999999994</v>
      </c>
    </row>
    <row r="35" spans="1:6">
      <c r="A35" s="1" t="s">
        <v>27</v>
      </c>
      <c r="C35" s="4">
        <f>C37</f>
        <v>162</v>
      </c>
      <c r="D35" s="4">
        <f>AVERAGE(D37,C38)</f>
        <v>169</v>
      </c>
      <c r="E35" s="4">
        <f t="shared" ref="E35:F35" si="1">AVERAGE(E37,D38)</f>
        <v>179</v>
      </c>
      <c r="F35" s="4">
        <f t="shared" si="1"/>
        <v>187</v>
      </c>
    </row>
    <row r="36" spans="1:6">
      <c r="A36" s="1" t="s">
        <v>28</v>
      </c>
      <c r="C36" s="4">
        <f>D35</f>
        <v>169</v>
      </c>
      <c r="D36" s="4">
        <f t="shared" ref="D36:E36" si="2">E35</f>
        <v>179</v>
      </c>
      <c r="E36" s="4">
        <f t="shared" si="2"/>
        <v>187</v>
      </c>
      <c r="F36" s="4">
        <f t="shared" ref="F36" si="3">F38</f>
        <v>198</v>
      </c>
    </row>
    <row r="37" spans="1:6">
      <c r="A37" s="1" t="s">
        <v>72</v>
      </c>
      <c r="C37" s="4">
        <v>162</v>
      </c>
      <c r="D37" s="4">
        <v>168</v>
      </c>
      <c r="E37" s="4">
        <v>178</v>
      </c>
      <c r="F37" s="4">
        <v>186</v>
      </c>
    </row>
    <row r="38" spans="1:6">
      <c r="A38" s="1" t="s">
        <v>73</v>
      </c>
      <c r="C38" s="4">
        <v>170</v>
      </c>
      <c r="D38" s="4">
        <v>180</v>
      </c>
      <c r="E38" s="4">
        <v>188</v>
      </c>
      <c r="F38" s="4">
        <v>198</v>
      </c>
    </row>
    <row r="39" spans="1:6">
      <c r="C39" s="1" t="s">
        <v>96</v>
      </c>
      <c r="D39" s="1" t="s">
        <v>97</v>
      </c>
      <c r="E39" s="1" t="s">
        <v>98</v>
      </c>
      <c r="F39" s="1" t="s">
        <v>99</v>
      </c>
    </row>
    <row r="40" spans="1:6">
      <c r="A40" s="1" t="s">
        <v>29</v>
      </c>
      <c r="B40" s="1" t="s">
        <v>30</v>
      </c>
      <c r="C40" s="4"/>
      <c r="D40" s="4"/>
      <c r="E40" s="4"/>
      <c r="F40" s="4"/>
    </row>
    <row r="41" spans="1:6">
      <c r="A41" s="1" t="s">
        <v>111</v>
      </c>
      <c r="B41" s="1" t="s">
        <v>112</v>
      </c>
    </row>
    <row r="42" spans="1:6">
      <c r="A42" s="1" t="s">
        <v>113</v>
      </c>
      <c r="B42" s="1" t="s">
        <v>115</v>
      </c>
    </row>
    <row r="43" spans="1:6">
      <c r="A43" s="1" t="s">
        <v>114</v>
      </c>
      <c r="B43" s="1" t="s">
        <v>116</v>
      </c>
    </row>
    <row r="44" spans="1:6">
      <c r="A44" s="1" t="s">
        <v>31</v>
      </c>
      <c r="B44" s="1" t="s">
        <v>109</v>
      </c>
    </row>
    <row r="45" spans="1:6">
      <c r="A45" s="1" t="s">
        <v>32</v>
      </c>
      <c r="B45" s="1" t="s">
        <v>67</v>
      </c>
    </row>
    <row r="46" spans="1:6">
      <c r="A46" s="1" t="s">
        <v>33</v>
      </c>
    </row>
    <row r="47" spans="1:6">
      <c r="A47" s="1" t="s">
        <v>34</v>
      </c>
      <c r="B47" s="1">
        <f>2.4*25.4</f>
        <v>60.959999999999994</v>
      </c>
    </row>
    <row r="48" spans="1:6">
      <c r="A48" s="1" t="s">
        <v>35</v>
      </c>
    </row>
    <row r="49" spans="1:2">
      <c r="A49" s="1" t="s">
        <v>36</v>
      </c>
      <c r="B49" s="1">
        <v>100</v>
      </c>
    </row>
    <row r="50" spans="1:2">
      <c r="A50" s="1" t="s">
        <v>37</v>
      </c>
      <c r="B50" s="1" t="s">
        <v>67</v>
      </c>
    </row>
    <row r="51" spans="1:2">
      <c r="A51" s="1" t="s">
        <v>38</v>
      </c>
    </row>
    <row r="52" spans="1:2">
      <c r="A52" s="1" t="s">
        <v>39</v>
      </c>
    </row>
    <row r="53" spans="1:2">
      <c r="A53" s="1" t="s">
        <v>40</v>
      </c>
    </row>
    <row r="54" spans="1:2">
      <c r="A54" s="1" t="s">
        <v>41</v>
      </c>
    </row>
    <row r="55" spans="1:2">
      <c r="A55" s="1" t="s">
        <v>42</v>
      </c>
    </row>
    <row r="56" spans="1:2">
      <c r="A56" s="1" t="s">
        <v>43</v>
      </c>
    </row>
    <row r="57" spans="1:2">
      <c r="A57" s="1" t="s">
        <v>44</v>
      </c>
    </row>
    <row r="58" spans="1:2">
      <c r="A58" s="1" t="s">
        <v>45</v>
      </c>
    </row>
    <row r="59" spans="1:2">
      <c r="A59" s="1" t="s">
        <v>46</v>
      </c>
    </row>
    <row r="60" spans="1:2">
      <c r="A60" s="1" t="s">
        <v>47</v>
      </c>
    </row>
    <row r="61" spans="1:2">
      <c r="A61" s="1" t="s">
        <v>48</v>
      </c>
    </row>
    <row r="62" spans="1:2">
      <c r="A62" s="1" t="s">
        <v>49</v>
      </c>
    </row>
    <row r="63" spans="1:2">
      <c r="A63" s="1" t="s">
        <v>50</v>
      </c>
    </row>
    <row r="64" spans="1:2">
      <c r="A64" s="1" t="s">
        <v>51</v>
      </c>
      <c r="B64" s="1" t="s">
        <v>74</v>
      </c>
    </row>
    <row r="65" spans="1:2">
      <c r="A65" s="1" t="s">
        <v>52</v>
      </c>
    </row>
    <row r="66" spans="1:2">
      <c r="A66" s="1" t="s">
        <v>53</v>
      </c>
    </row>
    <row r="67" spans="1:2">
      <c r="A67" s="1" t="s">
        <v>54</v>
      </c>
    </row>
    <row r="68" spans="1:2">
      <c r="A68" s="1" t="s">
        <v>55</v>
      </c>
    </row>
    <row r="69" spans="1:2">
      <c r="A69" s="1" t="s">
        <v>56</v>
      </c>
    </row>
    <row r="70" spans="1:2">
      <c r="A70" s="1" t="s">
        <v>57</v>
      </c>
    </row>
    <row r="71" spans="1:2">
      <c r="A71" s="1" t="s">
        <v>58</v>
      </c>
    </row>
    <row r="72" spans="1:2">
      <c r="A72" s="1" t="s">
        <v>59</v>
      </c>
    </row>
    <row r="73" spans="1:2">
      <c r="A73" s="1" t="s">
        <v>60</v>
      </c>
    </row>
    <row r="74" spans="1:2">
      <c r="A74" s="1" t="s">
        <v>61</v>
      </c>
    </row>
    <row r="75" spans="1:2">
      <c r="A75" s="1" t="s">
        <v>62</v>
      </c>
      <c r="B75" s="1">
        <v>1500</v>
      </c>
    </row>
    <row r="76" spans="1:2">
      <c r="A76" s="1" t="s">
        <v>63</v>
      </c>
      <c r="B76" s="1">
        <v>3000</v>
      </c>
    </row>
    <row r="77" spans="1:2">
      <c r="A77" s="1" t="s">
        <v>64</v>
      </c>
      <c r="B77" s="1" t="s">
        <v>67</v>
      </c>
    </row>
    <row r="78" spans="1:2">
      <c r="A78" s="1" t="s">
        <v>65</v>
      </c>
      <c r="B78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2025-08-13T01:38:26Z</dcterms:modified>
</cp:coreProperties>
</file>