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681095BA-AB1D-034E-A503-29DEFED1DF2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C13" i="1"/>
  <c r="D10" i="1"/>
  <c r="E10" i="1"/>
  <c r="F10" i="1"/>
  <c r="G10" i="1"/>
  <c r="C10" i="1"/>
  <c r="C39" i="1"/>
  <c r="C38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<sst xmlns="http://schemas.openxmlformats.org/spreadsheetml/2006/main" count="121" uniqueCount="108">
  <si>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</si>
  <si>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</si>
  <si>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</si>
  <si>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</si>
  <si>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</si>
  <si>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</si>
  <si>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</si>
  <si>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</si>
  <si>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</si>
  <si>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</si>
  <si>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</si>
  <si>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</si>
  <si>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</si>
  <si>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</si>
  <si>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</si>
  <si>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</si>
  <si>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</si>
  <si>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</si>
  <si>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</si>
  <si>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</si>
  <si>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</si>
  <si>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</si>
  <si>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</si>
  <si>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</si>
  <si>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</si>
  <si>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</si>
  <si>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</si>
  <si>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</si>
  <si>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</si>
  <si>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</si>
  <si>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</si>
  <si>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</si>
  <si>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</si>
  <si>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</si>
  <si>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</si>
  <si>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</si>
  <si>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</si>
  <si>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</si>
  <si>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</si>
  <si>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</si>
  <si>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</si>
  <si>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</si>
  <si>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</si>
  <si>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</si>
  <si>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</si>
  <si>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</si>
  <si>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</si>
  <si>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</si>
  <si>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</si>
  <si>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</si>
  <si>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</si>
  <si>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</si>
  <si>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</si>
  <si>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</si>
  <si>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</si>
  <si>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</si>
  <si>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</si>
  <si>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</si>
  <si>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</si>
  <si>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</si>
  <si>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</si>
  <si>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</si>
  <si>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</si>
  <si>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</si>
  <si>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</si>
  <si>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</si>
  <si>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</si>
  <si>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</si>
  <si>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</si>
  <si>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</si>
  <si>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</si>
  <si>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</si>
  <si>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</si>
  <si>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</si>
  <si>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</si>
  <si>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</si>
  <si>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</si>
  <si>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</si>
  <si>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</si>
  <si>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</si>
  <si>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</si>
  <si>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</si>
  <si>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</si>
  <si>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</si>
  <si>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</si>
  <si>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</si>
  <si>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</si>
  <si>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</si>
  <si>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</si>
  <si>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</si>
  <si>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</si>
  <si>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</si>
  <si>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</si>
  <si>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</si>
  <si>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</si>
  <si>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</si>
  <si>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</si>
  <si>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</si>
  <si>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</si>
  <si>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</si>
  <si>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</si>
  <si>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Fenrir Stainless (long)</t>
  </si>
  <si>
    <t>class</t>
  </si>
  <si>
    <t>hardtail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</si>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</sst>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9" workbookViewId="0">
      <selection activeCell="B37" sqref="B3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100</v>
      </c>
    </row>
    <row r="7" spans="1:7" x14ac:dyDescent="0.3">
      <c r="A7" t="s">
        <v>7</v>
      </c>
      <c r="B7" s="1" t="s">
        <v>92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68-C11</f>
        <v>67.75</v>
      </c>
      <c r="D10">
        <f t="shared" ref="D10:G10" si="0">68-D11</f>
        <v>67.75</v>
      </c>
      <c r="E10">
        <f t="shared" si="0"/>
        <v>67.75</v>
      </c>
      <c r="F10">
        <f t="shared" si="0"/>
        <v>67.75</v>
      </c>
      <c r="G10">
        <f t="shared" si="0"/>
        <v>67.75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75-C11</f>
        <v>74.75</v>
      </c>
      <c r="D13">
        <f t="shared" ref="D13:G13" si="1">75-D11</f>
        <v>74.75</v>
      </c>
      <c r="E13">
        <f t="shared" si="1"/>
        <v>74.75</v>
      </c>
      <c r="F13">
        <f t="shared" si="1"/>
        <v>74.75</v>
      </c>
      <c r="G13">
        <f t="shared" si="1"/>
        <v>74.75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68</v>
      </c>
      <c r="D15">
        <v>68</v>
      </c>
      <c r="E15">
        <v>68</v>
      </c>
      <c r="F15">
        <v>68</v>
      </c>
      <c r="G15">
        <v>68</v>
      </c>
    </row>
    <row r="16" spans="1:7" x14ac:dyDescent="0.3">
      <c r="A16" t="s">
        <v>44</v>
      </c>
      <c r="B16" t="s">
        <v>29</v>
      </c>
      <c r="C16">
        <v>450</v>
      </c>
      <c r="D16">
        <v>450</v>
      </c>
      <c r="E16">
        <v>450</v>
      </c>
      <c r="F16">
        <v>450</v>
      </c>
      <c r="G16">
        <v>450</v>
      </c>
    </row>
    <row r="17" spans="1:7" x14ac:dyDescent="0.3">
      <c r="A17" t="s">
        <v>30</v>
      </c>
      <c r="B17" t="s">
        <v>31</v>
      </c>
      <c r="C17">
        <v>1110</v>
      </c>
      <c r="D17">
        <v>1120</v>
      </c>
      <c r="E17">
        <v>1150</v>
      </c>
      <c r="F17">
        <v>1170</v>
      </c>
      <c r="G17">
        <v>1190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v>147.32</v>
      </c>
      <c r="D31">
        <v>160.02000000000001</v>
      </c>
      <c r="E31">
        <v>168.91</v>
      </c>
      <c r="F31">
        <v>179.07</v>
      </c>
      <c r="G31">
        <v>189.23</v>
      </c>
    </row>
    <row r="32" spans="1:7" x14ac:dyDescent="0.3">
      <c r="A32" t="s">
        <v>53</v>
      </c>
      <c r="C32">
        <v>160.02000000000001</v>
      </c>
      <c r="D32">
        <v>168.91</v>
      </c>
      <c r="E32">
        <v>179.07</v>
      </c>
      <c r="F32">
        <v>189.23</v>
      </c>
      <c r="G32">
        <v>198.12</v>
      </c>
    </row>
    <row r="33" spans="1:7" ht="22" x14ac:dyDescent="0.3">
      <c r="C33" s="2"/>
      <c r="D33" s="2"/>
      <c r="E33" s="2"/>
      <c r="F33" s="2"/>
      <c r="G33" s="2"/>
    </row>
    <row r="34" spans="1:7" x14ac:dyDescent="0.3">
      <c r="A34" t="s">
        <v>54</v>
      </c>
      <c r="B34" t="s">
        <v>55</v>
      </c>
    </row>
    <row r="35" spans="1:7" ht="22" x14ac:dyDescent="0.3">
      <c r="A35" t="s">
        <v>102</v>
      </c>
      <c r="B35" t="s">
        <v>103</v>
      </c>
      <c r="C35" s="2" t="s">
        <v>95</v>
      </c>
      <c r="D35" s="2" t="s">
        <v>96</v>
      </c>
      <c r="E35" s="2" t="s">
        <v>97</v>
      </c>
      <c r="F35" s="2" t="s">
        <v>98</v>
      </c>
      <c r="G35" s="2" t="s">
        <v>99</v>
      </c>
    </row>
    <row r="36" spans="1:7" x14ac:dyDescent="0.3">
      <c r="A36" t="s">
        <v>104</v>
      </c>
      <c r="B36" t="s">
        <v>105</v>
      </c>
    </row>
    <row r="37" spans="1:7" x14ac:dyDescent="0.3">
      <c r="A37" t="s">
        <v>106</v>
      </c>
      <c r="B37" s="1" t="s">
        <v>107</v>
      </c>
    </row>
    <row r="38" spans="1:7" x14ac:dyDescent="0.3">
      <c r="A38" t="s">
        <v>56</v>
      </c>
      <c r="B38" t="s">
        <v>57</v>
      </c>
      <c r="C38">
        <f>2.8*25.4</f>
        <v>71.11999999999999</v>
      </c>
    </row>
    <row r="39" spans="1:7" x14ac:dyDescent="0.3">
      <c r="A39" t="s">
        <v>58</v>
      </c>
      <c r="B39" s="1" t="s">
        <v>93</v>
      </c>
      <c r="C39">
        <f>3 * 25.4</f>
        <v>76.199999999999989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</row>
    <row r="42" spans="1:7" x14ac:dyDescent="0.3">
      <c r="A42" t="s">
        <v>61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 t="s">
        <v>94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93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94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94</v>
      </c>
    </row>
    <row r="65" spans="1:2" x14ac:dyDescent="0.3">
      <c r="A65" t="s">
        <v>84</v>
      </c>
      <c r="B65" s="1" t="s">
        <v>94</v>
      </c>
    </row>
    <row r="66" spans="1:2" x14ac:dyDescent="0.3">
      <c r="A66" t="s">
        <v>85</v>
      </c>
      <c r="B66" s="1" t="s">
        <v>94</v>
      </c>
    </row>
    <row r="67" spans="1:2" x14ac:dyDescent="0.3">
      <c r="A67" t="s">
        <v>86</v>
      </c>
      <c r="B67" s="1" t="s">
        <v>94</v>
      </c>
    </row>
    <row r="68" spans="1:2" x14ac:dyDescent="0.3">
      <c r="A68" t="s">
        <v>87</v>
      </c>
      <c r="B68" s="1" t="s">
        <v>94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2025-08-13T01:35:25Z</dcterms:modified>
</cp:coreProperties>
</file>