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9D6AD81C-5176-EF45-A185-57D96BC0A62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C30" i="1"/>
  <c r="D30" i="1"/>
  <c r="E30" i="1"/>
  <c r="F30" i="1"/>
  <c r="B41" i="1"/>
  <c r="B42" i="1"/>
  <c r="D10" i="1"/>
  <c r="E10" i="1"/>
  <c r="F10" i="1"/>
  <c r="C10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<sst xmlns="http://schemas.openxmlformats.org/spreadsheetml/2006/main" count="118" uniqueCount="112">
  <si>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</si>
  <si>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</si>
  <si>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</si>
  <si>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</si>
  <si>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</si>
  <si>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</si>
  <si>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</si>
  <si>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</si>
  <si>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</si>
  <si>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</si>
  <si>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</si>
  <si>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</si>
  <si>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</si>
  <si>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</si>
  <si>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</si>
  <si>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</si>
  <si>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</si>
  <si>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</si>
  <si>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</si>
  <si>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</si>
  <si>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</si>
  <si>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</si>
  <si>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</si>
  <si>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</si>
  <si>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</si>
  <si>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</si>
  <si>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</si>
  <si>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</si>
  <si>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</si>
  <si>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</si>
  <si>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</si>
  <si>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</si>
  <si>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</si>
  <si>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</si>
  <si>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</si>
  <si>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</si>
  <si>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</si>
  <si>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</si>
  <si>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</si>
  <si>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</si>
  <si>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</si>
  <si>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</si>
  <si>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</si>
  <si>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</si>
  <si>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</si>
  <si>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</si>
  <si>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</si>
  <si>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</si>
  <si>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</si>
  <si>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</si>
  <si>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</si>
  <si>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</si>
  <si>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</si>
  <si>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</si>
  <si>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</si>
  <si>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</si>
  <si>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</si>
  <si>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</si>
  <si>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</si>
  <si>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</si>
  <si>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</si>
  <si>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</si>
  <si>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</si>
  <si>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</si>
  <si>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</si>
  <si>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</si>
  <si>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</si>
  <si>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</si>
  <si>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</si>
  <si>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</si>
  <si>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</si>
  <si>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</si>
  <si>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</si>
  <si>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</si>
  <si>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</si>
  <si>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</si>
  <si>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</si>
  <si>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</si>
  <si>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</si>
  <si>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</si>
  <si>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</si>
  <si>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</si>
  <si>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us</t>
  </si>
  <si>
    <t>Tumbleweed</t>
  </si>
  <si>
    <t>Prospector</t>
  </si>
  <si>
    <t>Frame Geometry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</si>
  <si>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</si>
  <si>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</si>
  <si>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</si>
  <si>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</si>
  <si>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</si>
  <si>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</si>
  <si>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</si>
  <si>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</si>
  <si>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Bottom Bracket Drop*</t>
  </si>
  <si>
    <t>Chainstay Length*</t>
  </si>
  <si>
    <t>Head Tube Length</t>
  </si>
  <si>
    <t>Standover**</t>
  </si>
  <si>
    <t>63-69cm</t>
  </si>
  <si>
    <t>68-73cm</t>
  </si>
  <si>
    <t>74-81cm</t>
  </si>
  <si>
    <t>80-88cm</t>
  </si>
  <si>
    <t>https://tumbleweed.cc/collections/bikes/products/prospector</t>
  </si>
  <si>
    <t>Recoended Rider Height</t>
  </si>
  <si>
    <t>5'2-5'7</t>
  </si>
  <si>
    <t>5'6-5'10</t>
  </si>
  <si>
    <t>5'10-6'2</t>
  </si>
  <si>
    <t>6'1-6'7</t>
  </si>
  <si>
    <t>Recoended Rider Saddle Height</t>
  </si>
  <si>
    <t>flat bar</t>
  </si>
  <si>
    <t>steel</t>
  </si>
  <si>
    <t>a8:f32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</si>
</sst>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A28" workbookViewId="0">
      <selection activeCell="B39" sqref="B39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83</v>
      </c>
    </row>
    <row r="2" spans="1:11">
      <c r="A2" t="s">
        <v>1</v>
      </c>
      <c r="B2" s="1" t="s">
        <v>84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45883</v>
      </c>
    </row>
    <row r="5" spans="1:11">
      <c r="A5" t="s">
        <v>5</v>
      </c>
      <c r="B5" t="s">
        <v>102</v>
      </c>
    </row>
    <row r="7" spans="1:11" ht="22">
      <c r="A7" t="s">
        <v>6</v>
      </c>
      <c r="B7" s="1" t="s">
        <v>111</v>
      </c>
      <c r="C7" s="3"/>
    </row>
    <row r="8" spans="1:11" ht="21">
      <c r="A8" t="s">
        <v>7</v>
      </c>
      <c r="B8" s="4" t="s">
        <v>85</v>
      </c>
      <c r="C8" s="4" t="s">
        <v>86</v>
      </c>
      <c r="D8" s="4" t="s">
        <v>87</v>
      </c>
      <c r="E8" s="4" t="s">
        <v>88</v>
      </c>
      <c r="F8" s="4" t="s">
        <v>89</v>
      </c>
    </row>
    <row r="9" spans="1:11" ht="21">
      <c r="A9" t="s">
        <v>8</v>
      </c>
      <c r="B9" s="5" t="s">
        <v>90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91</v>
      </c>
      <c r="C10" s="4">
        <f>H10*25.4</f>
        <v>381</v>
      </c>
      <c r="D10" s="4">
        <f t="shared" ref="D10:F10" si="0">I10*25.4</f>
        <v>431.79999999999995</v>
      </c>
      <c r="E10" s="4">
        <f t="shared" si="0"/>
        <v>482.59999999999997</v>
      </c>
      <c r="F10" s="4">
        <f t="shared" si="0"/>
        <v>546.1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92</v>
      </c>
      <c r="C11" s="6">
        <v>69.5</v>
      </c>
      <c r="D11" s="6">
        <v>69.5</v>
      </c>
      <c r="E11" s="6">
        <v>69.5</v>
      </c>
      <c r="F11" s="6">
        <v>69.5</v>
      </c>
    </row>
    <row r="12" spans="1:11" ht="21">
      <c r="A12" t="s">
        <v>13</v>
      </c>
      <c r="B12" s="5" t="s">
        <v>93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94</v>
      </c>
      <c r="C13" s="6">
        <v>58.5</v>
      </c>
      <c r="D13" s="6">
        <v>58.5</v>
      </c>
      <c r="E13" s="6">
        <v>58.5</v>
      </c>
      <c r="F13" s="6">
        <v>58.5</v>
      </c>
    </row>
    <row r="14" spans="1:11" ht="21">
      <c r="A14" t="s">
        <v>11</v>
      </c>
      <c r="B14" s="5" t="s">
        <v>95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96</v>
      </c>
      <c r="C15" s="6">
        <v>110</v>
      </c>
      <c r="D15" s="6">
        <v>130</v>
      </c>
      <c r="E15" s="6">
        <v>145</v>
      </c>
      <c r="F15" s="6">
        <v>160</v>
      </c>
    </row>
    <row r="16" spans="1:11" ht="21">
      <c r="A16" t="s">
        <v>20</v>
      </c>
      <c r="B16" s="5" t="s">
        <v>76</v>
      </c>
      <c r="C16" s="6">
        <v>482</v>
      </c>
      <c r="D16" s="6">
        <v>482</v>
      </c>
      <c r="E16" s="6">
        <v>482</v>
      </c>
      <c r="F16" s="6">
        <v>482</v>
      </c>
    </row>
    <row r="17" spans="1:7" ht="21">
      <c r="A17" t="s">
        <v>18</v>
      </c>
      <c r="B17" s="5" t="s">
        <v>77</v>
      </c>
      <c r="C17" s="6">
        <v>1128</v>
      </c>
      <c r="D17" s="6">
        <v>1149</v>
      </c>
      <c r="E17" s="6">
        <v>1170</v>
      </c>
      <c r="F17" s="6">
        <v>1191</v>
      </c>
    </row>
    <row r="18" spans="1:7" ht="21">
      <c r="A18" t="s">
        <v>15</v>
      </c>
      <c r="B18" s="5" t="s">
        <v>75</v>
      </c>
      <c r="C18" s="6">
        <v>53</v>
      </c>
      <c r="D18" s="6">
        <v>53</v>
      </c>
      <c r="E18" s="6">
        <v>53</v>
      </c>
      <c r="F18" s="6">
        <v>53</v>
      </c>
    </row>
    <row r="19" spans="1:7" ht="21">
      <c r="A19" t="s">
        <v>16</v>
      </c>
      <c r="B19" s="5" t="s">
        <v>74</v>
      </c>
      <c r="C19" s="6">
        <v>608</v>
      </c>
      <c r="D19" s="6">
        <v>626</v>
      </c>
      <c r="E19" s="6">
        <v>640</v>
      </c>
      <c r="F19" s="6">
        <v>655</v>
      </c>
    </row>
    <row r="20" spans="1:7" ht="21">
      <c r="A20" t="s">
        <v>17</v>
      </c>
      <c r="B20" s="5" t="s">
        <v>73</v>
      </c>
      <c r="C20" s="6">
        <v>414</v>
      </c>
      <c r="D20" s="6">
        <v>419</v>
      </c>
      <c r="E20" s="6">
        <v>444</v>
      </c>
      <c r="F20" s="6">
        <v>461</v>
      </c>
    </row>
    <row r="21" spans="1:7" ht="21">
      <c r="A21" s="1" t="s">
        <v>25</v>
      </c>
      <c r="B21" s="5" t="s">
        <v>97</v>
      </c>
      <c r="C21" s="6">
        <v>772</v>
      </c>
      <c r="D21" s="6">
        <v>806</v>
      </c>
      <c r="E21" s="6">
        <v>837</v>
      </c>
      <c r="F21" s="6">
        <v>871</v>
      </c>
    </row>
    <row r="22" spans="1:7" ht="21">
      <c r="A22" t="s">
        <v>23</v>
      </c>
      <c r="B22" s="5"/>
      <c r="C22" s="6"/>
      <c r="D22" s="6"/>
      <c r="E22" s="6"/>
      <c r="F22" s="6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650</v>
      </c>
      <c r="D28" s="1">
        <v>650</v>
      </c>
      <c r="E28" s="1">
        <v>650</v>
      </c>
      <c r="F28" s="1">
        <v>650</v>
      </c>
    </row>
    <row r="29" spans="1:7">
      <c r="A29" t="s">
        <v>27</v>
      </c>
      <c r="C29">
        <f>2.8*25.4</f>
        <v>71.11999999999999</v>
      </c>
      <c r="D29">
        <f t="shared" ref="D29:F29" si="1">2.8*25.4</f>
        <v>71.11999999999999</v>
      </c>
      <c r="E29">
        <f t="shared" si="1"/>
        <v>71.11999999999999</v>
      </c>
      <c r="F29">
        <f t="shared" si="1"/>
        <v>71.11999999999999</v>
      </c>
    </row>
    <row r="30" spans="1:7">
      <c r="A30" t="s">
        <v>28</v>
      </c>
      <c r="C30">
        <f>3*25.4</f>
        <v>76.199999999999989</v>
      </c>
      <c r="D30">
        <f t="shared" ref="D30:F30" si="2">3*25.4</f>
        <v>76.199999999999989</v>
      </c>
      <c r="E30">
        <f t="shared" si="2"/>
        <v>76.199999999999989</v>
      </c>
      <c r="F30">
        <f t="shared" si="2"/>
        <v>76.199999999999989</v>
      </c>
    </row>
    <row r="31" spans="1:7">
      <c r="A31" t="s">
        <v>29</v>
      </c>
      <c r="C31">
        <f>C33*2.54</f>
        <v>157.47999999999999</v>
      </c>
      <c r="D31">
        <f>AVERAGE(D33,C34)*2.54</f>
        <v>168.91</v>
      </c>
      <c r="E31">
        <f t="shared" ref="E31:F31" si="3">AVERAGE(E33,D34)*2.54</f>
        <v>177.8</v>
      </c>
      <c r="F31">
        <f t="shared" si="3"/>
        <v>186.69</v>
      </c>
    </row>
    <row r="32" spans="1:7">
      <c r="A32" t="s">
        <v>30</v>
      </c>
      <c r="C32" s="1">
        <f>D31</f>
        <v>168.91</v>
      </c>
      <c r="D32" s="1">
        <f t="shared" ref="D32:E32" si="4">E31</f>
        <v>177.8</v>
      </c>
      <c r="E32" s="1">
        <f t="shared" si="4"/>
        <v>186.69</v>
      </c>
      <c r="F32">
        <f t="shared" ref="F32" si="5">F34*2.54</f>
        <v>200.66</v>
      </c>
    </row>
    <row r="33" spans="1:7">
      <c r="C33">
        <v>62</v>
      </c>
      <c r="D33">
        <v>66</v>
      </c>
      <c r="E33">
        <v>70</v>
      </c>
      <c r="F33">
        <v>73</v>
      </c>
    </row>
    <row r="34" spans="1:7">
      <c r="A34" t="s">
        <v>31</v>
      </c>
      <c r="B34" t="s">
        <v>32</v>
      </c>
      <c r="C34">
        <v>67</v>
      </c>
      <c r="D34">
        <v>70</v>
      </c>
      <c r="E34">
        <v>74</v>
      </c>
      <c r="F34">
        <v>79</v>
      </c>
    </row>
    <row r="35" spans="1:7" ht="21">
      <c r="A35" t="s">
        <v>69</v>
      </c>
      <c r="B35" t="s">
        <v>70</v>
      </c>
      <c r="C35" s="6" t="s">
        <v>104</v>
      </c>
      <c r="D35" s="6" t="s">
        <v>105</v>
      </c>
      <c r="E35" s="6" t="s">
        <v>106</v>
      </c>
      <c r="F35" s="6" t="s">
        <v>107</v>
      </c>
      <c r="G35" s="5" t="s">
        <v>103</v>
      </c>
    </row>
    <row r="36" spans="1:7" ht="21">
      <c r="A36" t="s">
        <v>71</v>
      </c>
      <c r="B36" s="1" t="s">
        <v>109</v>
      </c>
      <c r="C36" s="6" t="s">
        <v>98</v>
      </c>
      <c r="D36" s="6" t="s">
        <v>99</v>
      </c>
      <c r="E36" s="6" t="s">
        <v>100</v>
      </c>
      <c r="F36" s="6" t="s">
        <v>101</v>
      </c>
      <c r="G36" s="5" t="s">
        <v>108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110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  <c r="B42">
        <f>3.8*25.4</f>
        <v>96.52</v>
      </c>
    </row>
    <row r="43" spans="1:7">
      <c r="A43" t="s">
        <v>39</v>
      </c>
      <c r="B43">
        <v>100</v>
      </c>
    </row>
    <row r="44" spans="1:7">
      <c r="A44" t="s">
        <v>40</v>
      </c>
      <c r="B44" s="1" t="s">
        <v>35</v>
      </c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45</v>
      </c>
      <c r="B49" s="1" t="s">
        <v>80</v>
      </c>
    </row>
    <row r="50" spans="1:2">
      <c r="A50" t="s">
        <v>46</v>
      </c>
    </row>
    <row r="51" spans="1:2">
      <c r="A51" t="s">
        <v>47</v>
      </c>
      <c r="B51">
        <v>31.6</v>
      </c>
    </row>
    <row r="52" spans="1:2">
      <c r="A52" t="s">
        <v>48</v>
      </c>
      <c r="B52" s="1" t="s">
        <v>81</v>
      </c>
    </row>
    <row r="53" spans="1:2">
      <c r="A53" t="s">
        <v>49</v>
      </c>
    </row>
    <row r="54" spans="1:2">
      <c r="A54" t="s">
        <v>50</v>
      </c>
    </row>
    <row r="55" spans="1:2">
      <c r="A55" t="s">
        <v>51</v>
      </c>
      <c r="B55">
        <v>180</v>
      </c>
    </row>
    <row r="56" spans="1:2">
      <c r="A56" t="s">
        <v>52</v>
      </c>
      <c r="B56">
        <v>180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  <c r="B59" s="1"/>
    </row>
    <row r="60" spans="1:2">
      <c r="A60" t="s">
        <v>56</v>
      </c>
      <c r="B60" s="1" t="s">
        <v>35</v>
      </c>
    </row>
    <row r="61" spans="1:2">
      <c r="A61" t="s">
        <v>57</v>
      </c>
    </row>
    <row r="62" spans="1:2">
      <c r="A62" t="s">
        <v>58</v>
      </c>
      <c r="B62">
        <v>2</v>
      </c>
    </row>
    <row r="63" spans="1:2">
      <c r="A63" t="s">
        <v>59</v>
      </c>
      <c r="B63">
        <v>1</v>
      </c>
    </row>
    <row r="64" spans="1:2">
      <c r="A64" t="s">
        <v>60</v>
      </c>
      <c r="B64" s="1" t="s">
        <v>35</v>
      </c>
    </row>
    <row r="65" spans="1:2">
      <c r="A65" t="s">
        <v>61</v>
      </c>
    </row>
    <row r="66" spans="1:2">
      <c r="A66" t="s">
        <v>62</v>
      </c>
      <c r="B66" s="1" t="s">
        <v>35</v>
      </c>
    </row>
    <row r="67" spans="1:2">
      <c r="A67" t="s">
        <v>63</v>
      </c>
      <c r="B67" s="1" t="s">
        <v>35</v>
      </c>
    </row>
    <row r="68" spans="1:2">
      <c r="A68" t="s">
        <v>64</v>
      </c>
      <c r="B68" s="1" t="s">
        <v>35</v>
      </c>
    </row>
    <row r="69" spans="1:2">
      <c r="A69" t="s">
        <v>65</v>
      </c>
      <c r="B69">
        <v>1550</v>
      </c>
    </row>
    <row r="70" spans="1:2">
      <c r="A70" t="s">
        <v>66</v>
      </c>
      <c r="B70">
        <v>4875</v>
      </c>
    </row>
    <row r="71" spans="1:2">
      <c r="A71" t="s">
        <v>67</v>
      </c>
      <c r="B71" s="1" t="s">
        <v>35</v>
      </c>
    </row>
    <row r="72" spans="1:2">
      <c r="A72" t="s">
        <v>68</v>
      </c>
      <c r="B72" s="1" t="s">
        <v>82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2025-08-14T13:48:33Z</dcterms:modified>
</cp:coreProperties>
</file>