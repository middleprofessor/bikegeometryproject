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51DC3BF-2871-D34B-B46A-FFFFFD613F1E}" xr6:coauthVersionLast="47" xr6:coauthVersionMax="47" xr10:uidLastSave="{00000000-0000-0000-0000-000000000000}"/>
  <bookViews>
    <workbookView xWindow="28460" yWindow="-22000" windowWidth="3064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1" i="1"/>
  <c r="J11" i="1"/>
  <c r="K11" i="1"/>
  <c r="H11" i="1"/>
</calcChain>
</file>

<file path=xl/sharedStrings.xml><?xml version="1.0" encoding="utf-8"?>
<sst xmlns="http://schemas.openxmlformats.org/spreadsheetml/2006/main" count="97" uniqueCount="97">
  <si>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</si>
  <si>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</si>
  <si>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</si>
  <si>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</si>
  <si>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</si>
  <si>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</si>
  <si>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</si>
  <si>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</si>
  <si>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</si>
  <si>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</si>
  <si>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</si>
  <si>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</si>
  <si>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</si>
  <si>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</si>
  <si>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</si>
  <si>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fork_offset_rake</t>
  </si>
  <si>
    <t>stack</t>
  </si>
  <si>
    <t>reach</t>
  </si>
  <si>
    <t>standover</t>
  </si>
  <si>
    <t>stem_length</t>
  </si>
  <si>
    <t>handlebar_width</t>
  </si>
  <si>
    <t>crank_length</t>
  </si>
  <si>
    <t>frame_weight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</si>
  <si>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</si>
  <si>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</si>
  <si>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</si>
  <si>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</si>
  <si>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</si>
  <si>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</si>
  <si>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</si>
  <si>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</si>
  <si>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</si>
  <si>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</si>
  <si>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</si>
  <si>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</si>
  <si>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</si>
  <si>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</si>
  <si>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</si>
  <si>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</si>
  <si>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</si>
  <si>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</si>
  <si>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</si>
  <si>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</si>
  <si>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</si>
  <si>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</si>
  <si>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</si>
  <si>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</si>
  <si>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</si>
  <si>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</si>
  <si>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</si>
  <si>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</si>
  <si>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</si>
  <si>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</si>
  <si>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</si>
  <si>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</si>
  <si>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</si>
  <si>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</si>
  <si>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</si>
  <si>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</si>
  <si>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</si>
  <si>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</si>
  <si>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</si>
  <si>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</si>
  <si>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</si>
  <si>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</si>
  <si>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</si>
  <si>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</si>
  <si>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</si>
  <si>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</si>
  <si>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</si>
  <si>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</si>
  <si>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</si>
  <si>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M</t>
  </si>
  <si>
    <t>Stack</t>
  </si>
  <si>
    <t>Reach</t>
  </si>
  <si>
    <t>S</t>
  </si>
  <si>
    <t>L</t>
  </si>
  <si>
    <t>XL</t>
  </si>
  <si>
    <t>aluminum</t>
  </si>
  <si>
    <t>yes</t>
  </si>
  <si>
    <t>both</t>
  </si>
  <si>
    <t>Titici</t>
  </si>
  <si>
    <t>Alloi</t>
  </si>
  <si>
    <t>Asola, Mantua, Italy</t>
  </si>
  <si>
    <t>EUR</t>
  </si>
  <si>
    <t>Measure</t>
  </si>
  <si>
    <t>A (Seat Tube Length)</t>
  </si>
  <si>
    <t>B (Top Tube Length)</t>
  </si>
  <si>
    <t>C (Head Tube Length)</t>
  </si>
  <si>
    <t>D (Chainstay Length)</t>
  </si>
  <si>
    <t>E (Seat Tube Angle °)</t>
  </si>
  <si>
    <t>F (Head Tube Angle °)</t>
  </si>
  <si>
    <t>https://www.titici.com/product/alloi/</t>
  </si>
  <si>
    <t>https://www.titici.com/wp-content/uploads/2023/04/TITICI-ALLOI-studio-sconto.png</t>
  </si>
  <si>
    <t>integrated</t>
  </si>
  <si>
    <t>a8:f30</t>
  </si>
  <si>
    <r>
      <t>estimated from HT</t>
    </r>
    <r>
      <rPr>
        <u/>
        <sz val="14"/>
        <color rgb="FF000000"/>
        <rFont val="Futura"/>
        <family val="2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</si>
</sst>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u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D19" sqref="D19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s="1" t="s">
        <v>81</v>
      </c>
    </row>
    <row r="2" spans="1:11" x14ac:dyDescent="0.3">
      <c r="A2" t="s">
        <v>1</v>
      </c>
      <c r="B2" s="1" t="s">
        <v>82</v>
      </c>
    </row>
    <row r="3" spans="1:11" x14ac:dyDescent="0.3">
      <c r="A3" t="s">
        <v>2</v>
      </c>
      <c r="B3">
        <v>2025</v>
      </c>
    </row>
    <row r="4" spans="1:11" x14ac:dyDescent="0.3">
      <c r="A4" t="s">
        <v>3</v>
      </c>
      <c r="B4" s="2">
        <v>45954</v>
      </c>
    </row>
    <row r="5" spans="1:11" x14ac:dyDescent="0.3">
      <c r="A5" t="s">
        <v>4</v>
      </c>
      <c r="B5" t="s">
        <v>92</v>
      </c>
    </row>
    <row r="6" spans="1:11" x14ac:dyDescent="0.3">
      <c r="B6" t="s">
        <v>93</v>
      </c>
    </row>
    <row r="7" spans="1:11" x14ac:dyDescent="0.3">
      <c r="A7" t="s">
        <v>5</v>
      </c>
      <c r="B7" s="1" t="s">
        <v>95</v>
      </c>
    </row>
    <row r="8" spans="1:11" x14ac:dyDescent="0.3">
      <c r="A8" t="s">
        <v>6</v>
      </c>
      <c r="B8" t="s">
        <v>85</v>
      </c>
      <c r="C8" t="s">
        <v>75</v>
      </c>
      <c r="D8" t="s">
        <v>72</v>
      </c>
      <c r="E8" t="s">
        <v>76</v>
      </c>
      <c r="F8" t="s">
        <v>77</v>
      </c>
    </row>
    <row r="9" spans="1:11" x14ac:dyDescent="0.3">
      <c r="A9" t="s">
        <v>7</v>
      </c>
      <c r="B9" t="s">
        <v>86</v>
      </c>
      <c r="C9">
        <v>460</v>
      </c>
      <c r="D9">
        <v>490</v>
      </c>
      <c r="E9">
        <v>520</v>
      </c>
      <c r="F9">
        <v>550</v>
      </c>
    </row>
    <row r="10" spans="1:11" x14ac:dyDescent="0.3">
      <c r="A10" t="s">
        <v>8</v>
      </c>
      <c r="B10" t="s">
        <v>87</v>
      </c>
      <c r="C10">
        <v>530</v>
      </c>
      <c r="D10">
        <v>550</v>
      </c>
      <c r="E10">
        <v>570</v>
      </c>
      <c r="F10">
        <v>590</v>
      </c>
    </row>
    <row r="11" spans="1:11" x14ac:dyDescent="0.3">
      <c r="A11" t="s">
        <v>9</v>
      </c>
      <c r="B11" s="1" t="s">
        <v>88</v>
      </c>
      <c r="C11">
        <v>130</v>
      </c>
      <c r="D11">
        <v>145</v>
      </c>
      <c r="E11">
        <v>165</v>
      </c>
      <c r="F11">
        <v>185</v>
      </c>
      <c r="H11" s="1">
        <f>C11*2.74</f>
        <v>356.20000000000005</v>
      </c>
      <c r="I11" s="1">
        <f t="shared" ref="I11:K11" si="0">D11*2.74</f>
        <v>397.3</v>
      </c>
      <c r="J11" s="1">
        <f t="shared" si="0"/>
        <v>452.1</v>
      </c>
      <c r="K11" s="1">
        <f t="shared" si="0"/>
        <v>506.90000000000003</v>
      </c>
    </row>
    <row r="12" spans="1:11" x14ac:dyDescent="0.3">
      <c r="A12" t="s">
        <v>12</v>
      </c>
      <c r="B12" s="1" t="s">
        <v>89</v>
      </c>
      <c r="C12">
        <v>425</v>
      </c>
      <c r="D12">
        <v>425</v>
      </c>
      <c r="E12">
        <v>425</v>
      </c>
      <c r="F12">
        <v>425</v>
      </c>
      <c r="H12" s="1"/>
      <c r="I12" s="1"/>
      <c r="J12" s="1"/>
      <c r="K12" s="1"/>
    </row>
    <row r="13" spans="1:11" x14ac:dyDescent="0.3">
      <c r="A13" t="s">
        <v>10</v>
      </c>
      <c r="B13" t="s">
        <v>90</v>
      </c>
      <c r="C13">
        <v>74</v>
      </c>
      <c r="D13">
        <v>73.5</v>
      </c>
      <c r="E13">
        <v>73</v>
      </c>
      <c r="F13">
        <v>72.5</v>
      </c>
    </row>
    <row r="14" spans="1:11" x14ac:dyDescent="0.3">
      <c r="A14" t="s">
        <v>11</v>
      </c>
      <c r="B14" t="s">
        <v>91</v>
      </c>
      <c r="C14">
        <v>70</v>
      </c>
      <c r="D14">
        <v>71</v>
      </c>
      <c r="E14">
        <v>71.5</v>
      </c>
      <c r="F14">
        <v>72</v>
      </c>
    </row>
    <row r="15" spans="1:11" x14ac:dyDescent="0.3">
      <c r="A15" t="s">
        <v>16</v>
      </c>
      <c r="B15" t="s">
        <v>73</v>
      </c>
      <c r="C15">
        <v>545.53</v>
      </c>
      <c r="D15">
        <v>558.5</v>
      </c>
      <c r="E15">
        <v>579.34</v>
      </c>
      <c r="F15">
        <v>600.26</v>
      </c>
    </row>
    <row r="16" spans="1:11" x14ac:dyDescent="0.3">
      <c r="A16" t="s">
        <v>17</v>
      </c>
      <c r="B16" t="s">
        <v>74</v>
      </c>
      <c r="C16">
        <v>371.1</v>
      </c>
      <c r="D16">
        <v>391.95</v>
      </c>
      <c r="E16">
        <v>391.95</v>
      </c>
      <c r="F16">
        <v>400.43</v>
      </c>
    </row>
    <row r="17" spans="1:9" x14ac:dyDescent="0.3">
      <c r="A17" t="s">
        <v>14</v>
      </c>
    </row>
    <row r="18" spans="1:9" x14ac:dyDescent="0.3">
      <c r="A18" t="s">
        <v>13</v>
      </c>
      <c r="D18">
        <v>1029.5</v>
      </c>
      <c r="I18">
        <f>D11*7.1</f>
        <v>1029.5</v>
      </c>
    </row>
    <row r="19" spans="1:9" x14ac:dyDescent="0.3">
      <c r="A19" t="s">
        <v>26</v>
      </c>
      <c r="C19">
        <v>397</v>
      </c>
      <c r="D19">
        <v>397</v>
      </c>
      <c r="E19">
        <v>397</v>
      </c>
      <c r="F19">
        <v>397</v>
      </c>
      <c r="G19" s="1" t="s">
        <v>96</v>
      </c>
    </row>
    <row r="20" spans="1:9" x14ac:dyDescent="0.3">
      <c r="A20" t="s">
        <v>15</v>
      </c>
    </row>
    <row r="21" spans="1:9" x14ac:dyDescent="0.3">
      <c r="A21" t="s">
        <v>18</v>
      </c>
    </row>
    <row r="22" spans="1:9" x14ac:dyDescent="0.3">
      <c r="A22" t="s">
        <v>22</v>
      </c>
      <c r="D22">
        <v>1690</v>
      </c>
    </row>
    <row r="23" spans="1:9" x14ac:dyDescent="0.3">
      <c r="A23" t="s">
        <v>19</v>
      </c>
    </row>
    <row r="24" spans="1:9" x14ac:dyDescent="0.3">
      <c r="A24" t="s">
        <v>20</v>
      </c>
    </row>
    <row r="25" spans="1:9" x14ac:dyDescent="0.3">
      <c r="A25" t="s">
        <v>21</v>
      </c>
    </row>
    <row r="26" spans="1:9" x14ac:dyDescent="0.3">
      <c r="A26" t="s">
        <v>23</v>
      </c>
      <c r="C26">
        <v>700</v>
      </c>
      <c r="D26">
        <v>700</v>
      </c>
      <c r="E26">
        <v>700</v>
      </c>
      <c r="F26">
        <v>700</v>
      </c>
    </row>
    <row r="27" spans="1:9" x14ac:dyDescent="0.3">
      <c r="A27" t="s">
        <v>24</v>
      </c>
      <c r="C27">
        <v>38</v>
      </c>
      <c r="D27">
        <v>38</v>
      </c>
      <c r="E27">
        <v>38</v>
      </c>
      <c r="F27">
        <v>38</v>
      </c>
      <c r="I27" s="1"/>
    </row>
    <row r="28" spans="1:9" x14ac:dyDescent="0.3">
      <c r="A28" t="s">
        <v>25</v>
      </c>
      <c r="C28">
        <v>45</v>
      </c>
      <c r="D28">
        <v>45</v>
      </c>
      <c r="E28">
        <v>45</v>
      </c>
      <c r="F28">
        <v>45</v>
      </c>
    </row>
    <row r="29" spans="1:9" x14ac:dyDescent="0.3">
      <c r="A29" t="s">
        <v>27</v>
      </c>
      <c r="C29">
        <v>165</v>
      </c>
      <c r="D29">
        <v>173</v>
      </c>
      <c r="E29">
        <v>179</v>
      </c>
      <c r="F29">
        <v>188</v>
      </c>
    </row>
    <row r="30" spans="1:9" x14ac:dyDescent="0.3">
      <c r="A30" t="s">
        <v>28</v>
      </c>
      <c r="C30">
        <v>172</v>
      </c>
      <c r="D30">
        <v>178</v>
      </c>
      <c r="E30">
        <v>187</v>
      </c>
      <c r="F30">
        <v>196</v>
      </c>
    </row>
    <row r="32" spans="1:9" x14ac:dyDescent="0.3">
      <c r="A32" t="s">
        <v>29</v>
      </c>
      <c r="B32" t="s">
        <v>30</v>
      </c>
    </row>
    <row r="33" spans="1:2" x14ac:dyDescent="0.3">
      <c r="A33" t="s">
        <v>66</v>
      </c>
      <c r="B33" t="s">
        <v>67</v>
      </c>
    </row>
    <row r="34" spans="1:2" x14ac:dyDescent="0.3">
      <c r="A34" t="s">
        <v>68</v>
      </c>
      <c r="B34" s="1" t="s">
        <v>80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31</v>
      </c>
      <c r="B36" s="1" t="s">
        <v>78</v>
      </c>
    </row>
    <row r="37" spans="1:2" x14ac:dyDescent="0.3">
      <c r="A37" t="s">
        <v>32</v>
      </c>
      <c r="B37" s="1"/>
    </row>
    <row r="38" spans="1:2" x14ac:dyDescent="0.3">
      <c r="A38" t="s">
        <v>33</v>
      </c>
    </row>
    <row r="39" spans="1:2" x14ac:dyDescent="0.3">
      <c r="A39" t="s">
        <v>34</v>
      </c>
      <c r="B39">
        <v>45</v>
      </c>
    </row>
    <row r="40" spans="1:2" x14ac:dyDescent="0.3">
      <c r="A40" t="s">
        <v>35</v>
      </c>
      <c r="B40">
        <v>50</v>
      </c>
    </row>
    <row r="41" spans="1:2" x14ac:dyDescent="0.3">
      <c r="A41" t="s">
        <v>36</v>
      </c>
      <c r="B41" s="1"/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  <c r="B45">
        <v>142</v>
      </c>
    </row>
    <row r="46" spans="1:2" x14ac:dyDescent="0.3">
      <c r="A46" t="s">
        <v>41</v>
      </c>
      <c r="B46">
        <v>100</v>
      </c>
    </row>
    <row r="47" spans="1:2" x14ac:dyDescent="0.3">
      <c r="A47" t="s">
        <v>42</v>
      </c>
      <c r="B47" s="1"/>
    </row>
    <row r="48" spans="1:2" x14ac:dyDescent="0.3">
      <c r="A48" t="s">
        <v>43</v>
      </c>
    </row>
    <row r="49" spans="1:2" x14ac:dyDescent="0.3">
      <c r="A49" t="s">
        <v>44</v>
      </c>
      <c r="B49">
        <v>31.6</v>
      </c>
    </row>
    <row r="50" spans="1:2" x14ac:dyDescent="0.3">
      <c r="A50" t="s">
        <v>45</v>
      </c>
      <c r="B50" s="1" t="s">
        <v>79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  <c r="B56" s="1" t="s">
        <v>94</v>
      </c>
    </row>
    <row r="57" spans="1:2" x14ac:dyDescent="0.3">
      <c r="A57" t="s">
        <v>52</v>
      </c>
      <c r="B57" s="1"/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  <c r="B60">
        <v>2</v>
      </c>
    </row>
    <row r="61" spans="1:2" x14ac:dyDescent="0.3">
      <c r="A61" t="s">
        <v>56</v>
      </c>
    </row>
    <row r="62" spans="1:2" x14ac:dyDescent="0.3">
      <c r="A62" t="s">
        <v>57</v>
      </c>
      <c r="B62">
        <v>1</v>
      </c>
    </row>
    <row r="63" spans="1:2" x14ac:dyDescent="0.3">
      <c r="A63" t="s">
        <v>58</v>
      </c>
      <c r="B63">
        <v>3</v>
      </c>
    </row>
    <row r="64" spans="1:2" x14ac:dyDescent="0.3">
      <c r="A64" t="s">
        <v>59</v>
      </c>
      <c r="B64" s="1"/>
    </row>
    <row r="65" spans="1:2" x14ac:dyDescent="0.3">
      <c r="A65" t="s">
        <v>60</v>
      </c>
      <c r="B65" s="1"/>
    </row>
    <row r="66" spans="1:2" x14ac:dyDescent="0.3">
      <c r="A66" t="s">
        <v>61</v>
      </c>
      <c r="B66" s="1"/>
    </row>
    <row r="67" spans="1:2" x14ac:dyDescent="0.3">
      <c r="A67" t="s">
        <v>62</v>
      </c>
      <c r="B67">
        <v>1990</v>
      </c>
    </row>
    <row r="68" spans="1:2" x14ac:dyDescent="0.3">
      <c r="A68" t="s">
        <v>63</v>
      </c>
      <c r="B68">
        <v>2990</v>
      </c>
    </row>
    <row r="69" spans="1:2" x14ac:dyDescent="0.3">
      <c r="A69" t="s">
        <v>64</v>
      </c>
    </row>
    <row r="70" spans="1:2" x14ac:dyDescent="0.3">
      <c r="A70" t="s">
        <v>65</v>
      </c>
      <c r="B70" s="1" t="s">
        <v>84</v>
      </c>
    </row>
    <row r="71" spans="1:2" x14ac:dyDescent="0.3">
      <c r="A71" t="s">
        <v>71</v>
      </c>
      <c r="B71" s="1" t="s">
        <v>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2025-10-24T12:15:53Z</dcterms:modified>
</cp:coreProperties>
</file>