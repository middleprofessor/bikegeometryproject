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9CB451-14D1-B241-BF9E-CE9C77970E93}" xr6:coauthVersionLast="47" xr6:coauthVersionMax="47" xr10:uidLastSave="{00000000-0000-0000-0000-000000000000}"/>
  <bookViews>
    <workbookView xWindow="3520" yWindow="880" windowWidth="2528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H33" i="1"/>
  <c r="C33" i="1"/>
  <c r="D34" i="1"/>
  <c r="E34" i="1"/>
  <c r="C34" i="1"/>
  <c r="E33" i="1"/>
  <c r="F33" i="1"/>
  <c r="G33" i="1"/>
  <c r="D33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D25" i="1"/>
  <c r="E25" i="1"/>
  <c r="F25" i="1"/>
  <c r="G25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C25" i="1"/>
  <c r="C15" i="1"/>
  <c r="C16" i="1"/>
  <c r="C17" i="1"/>
  <c r="C18" i="1"/>
  <c r="C19" i="1"/>
  <c r="C20" i="1"/>
  <c r="C21" i="1"/>
  <c r="C22" i="1"/>
  <c r="C23" i="1"/>
  <c r="C24" i="1"/>
  <c r="C13" i="1"/>
  <c r="C12" i="1"/>
  <c r="C10" i="1"/>
  <c r="C11" i="1"/>
  <c r="C14" i="1"/>
  <c r="C9" i="1"/>
  <c r="H8" i="1"/>
  <c r="C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<sst xmlns="http://schemas.openxmlformats.org/spreadsheetml/2006/main" count="117" uniqueCount="107">
  <si>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</si>
  <si>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</si>
  <si>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</si>
  <si>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</si>
  <si>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</si>
  <si>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</si>
  <si>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</si>
  <si>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</si>
  <si>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</si>
  <si>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</si>
  <si>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</si>
  <si>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</si>
  <si>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</si>
  <si>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</si>
  <si>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</si>
  <si>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</si>
  <si>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</si>
  <si>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</si>
  <si>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</si>
  <si>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</si>
  <si>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</si>
  <si>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</si>
  <si>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</si>
  <si>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</si>
  <si>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</si>
  <si>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</si>
  <si>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</si>
  <si>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</si>
  <si>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</si>
  <si>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</si>
  <si>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</si>
  <si>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</si>
  <si>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</si>
  <si>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</si>
  <si>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</si>
  <si>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</si>
  <si>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</si>
  <si>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</si>
  <si>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</si>
  <si>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</si>
  <si>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</si>
  <si>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</si>
  <si>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</si>
  <si>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</si>
  <si>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</si>
  <si>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</si>
  <si>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</si>
  <si>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</si>
  <si>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</si>
  <si>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</si>
  <si>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</si>
  <si>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</si>
  <si>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</si>
  <si>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</si>
  <si>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</si>
  <si>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</si>
  <si>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</si>
  <si>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</si>
  <si>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</si>
  <si>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</si>
  <si>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</si>
  <si>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</si>
  <si>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</si>
  <si>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</si>
  <si>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</si>
  <si>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</si>
  <si>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</si>
  <si>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</si>
  <si>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</si>
  <si>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</si>
  <si>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</si>
  <si>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</si>
  <si>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</si>
  <si>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</si>
  <si>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</si>
  <si>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</si>
  <si>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</si>
  <si>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</si>
  <si>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</si>
  <si>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</si>
  <si>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E Seat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</si>
  <si>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</si>
  <si>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</si>
  <si>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</si>
  <si>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</si>
  <si>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</si>
  <si>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</si>
  <si>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</si>
  <si>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</si>
  <si>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</si>
  <si>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0 Stack (cm)</t>
  </si>
  <si>
    <t>P Reach (cm)</t>
  </si>
  <si>
    <t>Q Axle to Crown</t>
  </si>
  <si>
    <t>Frame Size</t>
  </si>
  <si>
    <t>axle_crown</t>
  </si>
  <si>
    <t>https://www.cannondale.com/en-us/bikes/road/gravel/topstone-carbon</t>
  </si>
  <si>
    <t>suspension</t>
  </si>
  <si>
    <t>yes</t>
  </si>
  <si>
    <t>internal</t>
  </si>
  <si>
    <t>threaded</t>
  </si>
  <si>
    <t>a8:h34</t>
  </si>
  <si>
    <t xml:space="preserve">Topstone Carbon Lefty </t>
  </si>
  <si>
    <t>frame is 52, fork is 47</t>
  </si>
  <si>
    <t>https://embed.widencdn.net/img/dorelrl/xwgowtrst8/1700px@1x/C25_C15135U_Topstone_Crb_LTD_Lefty_AXS_TGE_PD.webp?color=E2DCD9&amp;q=99</t>
  </si>
  <si>
    <t>location</t>
  </si>
  <si>
    <t>Wilton, Connecticut,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</si>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</sst>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tabSelected="1" topLeftCell="A58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101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45887</v>
      </c>
    </row>
    <row r="5" spans="1:16" x14ac:dyDescent="0.3">
      <c r="A5" t="s">
        <v>5</v>
      </c>
      <c r="B5" t="s">
        <v>95</v>
      </c>
    </row>
    <row r="6" spans="1:16" x14ac:dyDescent="0.3">
      <c r="B6" t="s">
        <v>103</v>
      </c>
    </row>
    <row r="7" spans="1:16" x14ac:dyDescent="0.3">
      <c r="A7" t="s">
        <v>6</v>
      </c>
      <c r="B7" s="3" t="s">
        <v>100</v>
      </c>
    </row>
    <row r="8" spans="1:16" x14ac:dyDescent="0.3">
      <c r="A8" t="s">
        <v>7</v>
      </c>
      <c r="B8" s="3" t="s">
        <v>93</v>
      </c>
      <c r="C8">
        <f>K8</f>
        <v>47</v>
      </c>
      <c r="D8">
        <f t="shared" ref="D8:G8" si="0">L8</f>
        <v>51</v>
      </c>
      <c r="E8">
        <f t="shared" si="0"/>
        <v>54</v>
      </c>
      <c r="F8">
        <f t="shared" si="0"/>
        <v>56</v>
      </c>
      <c r="G8">
        <f t="shared" si="0"/>
        <v>58</v>
      </c>
      <c r="H8">
        <f>P8</f>
        <v>61</v>
      </c>
      <c r="J8" s="2"/>
      <c r="K8" s="2">
        <v>47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8</v>
      </c>
      <c r="B9" t="str">
        <f t="shared" ref="B9:B12" si="1">J9</f>
        <v>A Seat Tube Length (cm)</v>
      </c>
      <c r="C9">
        <f>K9*10</f>
        <v>410</v>
      </c>
      <c r="D9">
        <f t="shared" ref="D9:H11" si="2">L9*10</f>
        <v>446</v>
      </c>
      <c r="E9">
        <f t="shared" si="2"/>
        <v>482</v>
      </c>
      <c r="F9">
        <f t="shared" si="2"/>
        <v>518</v>
      </c>
      <c r="G9">
        <f t="shared" si="2"/>
        <v>554</v>
      </c>
      <c r="H9">
        <f t="shared" si="2"/>
        <v>590</v>
      </c>
      <c r="J9" s="2" t="s">
        <v>76</v>
      </c>
      <c r="K9" s="2">
        <v>41</v>
      </c>
      <c r="L9" s="2">
        <v>44.6</v>
      </c>
      <c r="M9" s="2">
        <v>48.2</v>
      </c>
      <c r="N9" s="2">
        <v>51.8</v>
      </c>
      <c r="O9" s="2">
        <v>55.4</v>
      </c>
      <c r="P9" s="2">
        <v>59</v>
      </c>
    </row>
    <row r="10" spans="1:16" x14ac:dyDescent="0.3">
      <c r="A10" t="s">
        <v>9</v>
      </c>
      <c r="B10" t="str">
        <f t="shared" si="1"/>
        <v>B Top Tube Horizontal (cm)</v>
      </c>
      <c r="C10">
        <f t="shared" ref="C10:C11" si="3">K10*10</f>
        <v>532</v>
      </c>
      <c r="D10">
        <f t="shared" si="2"/>
        <v>543</v>
      </c>
      <c r="E10">
        <f t="shared" si="2"/>
        <v>554</v>
      </c>
      <c r="F10">
        <f t="shared" si="2"/>
        <v>564</v>
      </c>
      <c r="G10">
        <f t="shared" si="2"/>
        <v>576</v>
      </c>
      <c r="H10">
        <f t="shared" si="2"/>
        <v>593</v>
      </c>
      <c r="J10" s="2" t="s">
        <v>77</v>
      </c>
      <c r="K10" s="2">
        <v>53.2</v>
      </c>
      <c r="L10" s="2">
        <v>54.3</v>
      </c>
      <c r="M10" s="2">
        <v>55.4</v>
      </c>
      <c r="N10" s="2">
        <v>56.4</v>
      </c>
      <c r="O10" s="2">
        <v>57.6</v>
      </c>
      <c r="P10" s="2">
        <v>59.3</v>
      </c>
    </row>
    <row r="11" spans="1:16" x14ac:dyDescent="0.3">
      <c r="A11" t="s">
        <v>10</v>
      </c>
      <c r="B11" t="str">
        <f t="shared" si="1"/>
        <v>C Top Tube Actual (cm)</v>
      </c>
      <c r="C11">
        <f t="shared" si="3"/>
        <v>510</v>
      </c>
      <c r="D11">
        <f t="shared" si="2"/>
        <v>520</v>
      </c>
      <c r="E11">
        <f t="shared" si="2"/>
        <v>531</v>
      </c>
      <c r="F11">
        <f t="shared" si="2"/>
        <v>543</v>
      </c>
      <c r="G11">
        <f t="shared" si="2"/>
        <v>557</v>
      </c>
      <c r="H11">
        <f t="shared" si="2"/>
        <v>574</v>
      </c>
      <c r="J11" s="2" t="s">
        <v>78</v>
      </c>
      <c r="K11" s="2">
        <v>51</v>
      </c>
      <c r="L11" s="2">
        <v>52</v>
      </c>
      <c r="M11" s="2">
        <v>53.1</v>
      </c>
      <c r="N11" s="2">
        <v>54.3</v>
      </c>
      <c r="O11" s="2">
        <v>55.7</v>
      </c>
      <c r="P11" s="2">
        <v>57.4</v>
      </c>
    </row>
    <row r="12" spans="1:16" x14ac:dyDescent="0.3">
      <c r="A12" t="s">
        <v>11</v>
      </c>
      <c r="B12" t="str">
        <f t="shared" si="1"/>
        <v>D Head Tube Angle</v>
      </c>
      <c r="C12">
        <f>K12</f>
        <v>69.900000000000006</v>
      </c>
      <c r="D12">
        <f t="shared" ref="D12:H12" si="4">L12</f>
        <v>70.7</v>
      </c>
      <c r="E12">
        <f t="shared" si="4"/>
        <v>70.7</v>
      </c>
      <c r="F12">
        <f t="shared" si="4"/>
        <v>70.7</v>
      </c>
      <c r="G12">
        <f t="shared" si="4"/>
        <v>70.7</v>
      </c>
      <c r="H12">
        <f t="shared" si="4"/>
        <v>70.7</v>
      </c>
      <c r="J12" s="2" t="s">
        <v>79</v>
      </c>
      <c r="K12" s="2">
        <v>69.900000000000006</v>
      </c>
      <c r="L12" s="2">
        <v>70.7</v>
      </c>
      <c r="M12" s="2">
        <v>70.7</v>
      </c>
      <c r="N12" s="2">
        <v>70.7</v>
      </c>
      <c r="O12" s="2">
        <v>70.7</v>
      </c>
      <c r="P12" s="2">
        <v>70.7</v>
      </c>
    </row>
    <row r="13" spans="1:16" x14ac:dyDescent="0.3">
      <c r="A13" t="s">
        <v>12</v>
      </c>
      <c r="B13" t="str">
        <f t="shared" ref="B13:B25" si="5">J13</f>
        <v>E Seat Tube Angle</v>
      </c>
      <c r="C13">
        <f>K13</f>
        <v>73.099999999999994</v>
      </c>
      <c r="D13">
        <f>L13</f>
        <v>73.099999999999994</v>
      </c>
      <c r="E13">
        <f>M13</f>
        <v>73.099999999999994</v>
      </c>
      <c r="F13">
        <f>N13</f>
        <v>73.099999999999994</v>
      </c>
      <c r="G13">
        <f>O13</f>
        <v>73.099999999999994</v>
      </c>
      <c r="H13">
        <f>P13</f>
        <v>73.099999999999994</v>
      </c>
      <c r="J13" s="2" t="s">
        <v>80</v>
      </c>
      <c r="K13" s="2">
        <v>73.099999999999994</v>
      </c>
      <c r="L13" s="2">
        <v>73.099999999999994</v>
      </c>
      <c r="M13" s="2">
        <v>73.099999999999994</v>
      </c>
      <c r="N13" s="2">
        <v>73.099999999999994</v>
      </c>
      <c r="O13" s="2">
        <v>73.099999999999994</v>
      </c>
      <c r="P13" s="2">
        <v>73.099999999999994</v>
      </c>
    </row>
    <row r="14" spans="1:16" x14ac:dyDescent="0.3">
      <c r="A14" t="s">
        <v>13</v>
      </c>
      <c r="B14" t="str">
        <f t="shared" si="5"/>
        <v>F Standover (cm)</v>
      </c>
      <c r="C14">
        <f t="shared" ref="C14:C24" si="6">K14*10</f>
        <v>716</v>
      </c>
      <c r="D14">
        <f t="shared" ref="D14:D24" si="7">L14*10</f>
        <v>741</v>
      </c>
      <c r="E14">
        <f t="shared" ref="E14:E24" si="8">M14*10</f>
        <v>772</v>
      </c>
      <c r="F14">
        <f t="shared" ref="F14:F24" si="9">N14*10</f>
        <v>800</v>
      </c>
      <c r="G14">
        <f t="shared" ref="G14:G24" si="10">O14*10</f>
        <v>831</v>
      </c>
      <c r="H14">
        <f t="shared" ref="H14:H24" si="11">P14*10</f>
        <v>864</v>
      </c>
      <c r="J14" s="2" t="s">
        <v>81</v>
      </c>
      <c r="K14" s="2">
        <v>71.599999999999994</v>
      </c>
      <c r="L14" s="2">
        <v>74.099999999999994</v>
      </c>
      <c r="M14" s="2">
        <v>77.2</v>
      </c>
      <c r="N14" s="2">
        <v>80</v>
      </c>
      <c r="O14" s="2">
        <v>83.1</v>
      </c>
      <c r="P14" s="2">
        <v>86.4</v>
      </c>
    </row>
    <row r="15" spans="1:16" x14ac:dyDescent="0.3">
      <c r="A15" t="s">
        <v>14</v>
      </c>
      <c r="B15" t="str">
        <f t="shared" si="5"/>
        <v>G Head Tube Length (cm)</v>
      </c>
      <c r="C15">
        <f t="shared" si="6"/>
        <v>97</v>
      </c>
      <c r="D15">
        <f t="shared" si="7"/>
        <v>101</v>
      </c>
      <c r="E15">
        <f t="shared" si="8"/>
        <v>123</v>
      </c>
      <c r="F15">
        <f t="shared" si="9"/>
        <v>142</v>
      </c>
      <c r="G15">
        <f t="shared" si="10"/>
        <v>164</v>
      </c>
      <c r="H15">
        <f t="shared" si="11"/>
        <v>196</v>
      </c>
      <c r="J15" s="2" t="s">
        <v>82</v>
      </c>
      <c r="K15" s="2">
        <v>9.6999999999999993</v>
      </c>
      <c r="L15" s="2">
        <v>10.1</v>
      </c>
      <c r="M15" s="2">
        <v>12.3</v>
      </c>
      <c r="N15" s="2">
        <v>14.2</v>
      </c>
      <c r="O15" s="2">
        <v>16.399999999999999</v>
      </c>
      <c r="P15" s="2">
        <v>19.600000000000001</v>
      </c>
    </row>
    <row r="16" spans="1:16" x14ac:dyDescent="0.3">
      <c r="A16" t="s">
        <v>15</v>
      </c>
      <c r="B16" t="str">
        <f t="shared" si="5"/>
        <v>H Wheelbase (cm)</v>
      </c>
      <c r="C16">
        <f t="shared" si="6"/>
        <v>1009</v>
      </c>
      <c r="D16">
        <f t="shared" si="7"/>
        <v>1012</v>
      </c>
      <c r="E16">
        <f t="shared" si="8"/>
        <v>1026</v>
      </c>
      <c r="F16">
        <f t="shared" si="9"/>
        <v>1036</v>
      </c>
      <c r="G16">
        <f t="shared" si="10"/>
        <v>1050</v>
      </c>
      <c r="H16">
        <f t="shared" si="11"/>
        <v>1069</v>
      </c>
      <c r="J16" s="2" t="s">
        <v>83</v>
      </c>
      <c r="K16" s="2">
        <v>100.9</v>
      </c>
      <c r="L16" s="2">
        <v>101.2</v>
      </c>
      <c r="M16" s="2">
        <v>102.6</v>
      </c>
      <c r="N16" s="2">
        <v>103.6</v>
      </c>
      <c r="O16" s="2">
        <v>105</v>
      </c>
      <c r="P16" s="2">
        <v>106.9</v>
      </c>
    </row>
    <row r="17" spans="1:16" x14ac:dyDescent="0.3">
      <c r="A17" t="s">
        <v>16</v>
      </c>
      <c r="B17" t="str">
        <f t="shared" si="5"/>
        <v>I Front Center (cm)</v>
      </c>
      <c r="C17">
        <f t="shared" si="6"/>
        <v>601</v>
      </c>
      <c r="D17">
        <f t="shared" si="7"/>
        <v>605</v>
      </c>
      <c r="E17">
        <f t="shared" si="8"/>
        <v>617</v>
      </c>
      <c r="F17">
        <f t="shared" si="9"/>
        <v>628</v>
      </c>
      <c r="G17">
        <f t="shared" si="10"/>
        <v>641</v>
      </c>
      <c r="H17">
        <f t="shared" si="11"/>
        <v>659</v>
      </c>
      <c r="J17" s="2" t="s">
        <v>84</v>
      </c>
      <c r="K17" s="2">
        <v>60.1</v>
      </c>
      <c r="L17" s="2">
        <v>60.5</v>
      </c>
      <c r="M17" s="2">
        <v>61.7</v>
      </c>
      <c r="N17" s="2">
        <v>62.8</v>
      </c>
      <c r="O17" s="2">
        <v>64.099999999999994</v>
      </c>
      <c r="P17" s="2">
        <v>65.900000000000006</v>
      </c>
    </row>
    <row r="18" spans="1:16" x14ac:dyDescent="0.3">
      <c r="A18" t="s">
        <v>17</v>
      </c>
      <c r="B18" t="str">
        <f t="shared" si="5"/>
        <v>J Chain Stay Length (cm)</v>
      </c>
      <c r="C18">
        <f t="shared" si="6"/>
        <v>420</v>
      </c>
      <c r="D18">
        <f t="shared" si="7"/>
        <v>420</v>
      </c>
      <c r="E18">
        <f t="shared" si="8"/>
        <v>420</v>
      </c>
      <c r="F18">
        <f t="shared" si="9"/>
        <v>420</v>
      </c>
      <c r="G18">
        <f t="shared" si="10"/>
        <v>420</v>
      </c>
      <c r="H18">
        <f t="shared" si="11"/>
        <v>420</v>
      </c>
      <c r="J18" s="2" t="s">
        <v>85</v>
      </c>
      <c r="K18" s="2">
        <v>42</v>
      </c>
      <c r="L18" s="2">
        <v>42</v>
      </c>
      <c r="M18" s="2">
        <v>42</v>
      </c>
      <c r="N18" s="2">
        <v>42</v>
      </c>
      <c r="O18" s="2">
        <v>42</v>
      </c>
      <c r="P18" s="2">
        <v>42</v>
      </c>
    </row>
    <row r="19" spans="1:16" x14ac:dyDescent="0.3">
      <c r="A19" t="s">
        <v>18</v>
      </c>
      <c r="B19" t="str">
        <f t="shared" si="5"/>
        <v>K Bottom Bracket Drop (cm)</v>
      </c>
      <c r="C19">
        <f t="shared" si="6"/>
        <v>79</v>
      </c>
      <c r="D19">
        <f t="shared" si="7"/>
        <v>79</v>
      </c>
      <c r="E19">
        <f t="shared" si="8"/>
        <v>76</v>
      </c>
      <c r="F19">
        <f t="shared" si="9"/>
        <v>76</v>
      </c>
      <c r="G19">
        <f t="shared" si="10"/>
        <v>74</v>
      </c>
      <c r="H19">
        <f t="shared" si="11"/>
        <v>74</v>
      </c>
      <c r="J19" s="2" t="s">
        <v>86</v>
      </c>
      <c r="K19" s="2">
        <v>7.9</v>
      </c>
      <c r="L19" s="2">
        <v>7.9</v>
      </c>
      <c r="M19" s="2">
        <v>7.6</v>
      </c>
      <c r="N19" s="2">
        <v>7.6</v>
      </c>
      <c r="O19" s="2">
        <v>7.4</v>
      </c>
      <c r="P19" s="2">
        <v>7.4</v>
      </c>
    </row>
    <row r="20" spans="1:16" x14ac:dyDescent="0.3">
      <c r="A20" t="s">
        <v>19</v>
      </c>
      <c r="B20" t="str">
        <f t="shared" si="5"/>
        <v>L Bottom Bracket Height (cm)</v>
      </c>
      <c r="C20">
        <f t="shared" si="6"/>
        <v>280</v>
      </c>
      <c r="D20">
        <f t="shared" si="7"/>
        <v>280</v>
      </c>
      <c r="E20">
        <f t="shared" si="8"/>
        <v>283</v>
      </c>
      <c r="F20">
        <f t="shared" si="9"/>
        <v>283</v>
      </c>
      <c r="G20">
        <f t="shared" si="10"/>
        <v>285</v>
      </c>
      <c r="H20">
        <f t="shared" si="11"/>
        <v>285</v>
      </c>
      <c r="J20" s="2" t="s">
        <v>87</v>
      </c>
      <c r="K20" s="2">
        <v>28</v>
      </c>
      <c r="L20" s="2">
        <v>28</v>
      </c>
      <c r="M20" s="2">
        <v>28.3</v>
      </c>
      <c r="N20" s="2">
        <v>28.3</v>
      </c>
      <c r="O20" s="2">
        <v>28.5</v>
      </c>
      <c r="P20" s="2">
        <v>28.5</v>
      </c>
    </row>
    <row r="21" spans="1:16" x14ac:dyDescent="0.3">
      <c r="A21" t="s">
        <v>20</v>
      </c>
      <c r="B21" t="str">
        <f t="shared" si="5"/>
        <v>M Fork Rake (cm)</v>
      </c>
      <c r="C21">
        <f t="shared" si="6"/>
        <v>55</v>
      </c>
      <c r="D21">
        <f t="shared" si="7"/>
        <v>55</v>
      </c>
      <c r="E21">
        <f t="shared" si="8"/>
        <v>55</v>
      </c>
      <c r="F21">
        <f t="shared" si="9"/>
        <v>55</v>
      </c>
      <c r="G21">
        <f t="shared" si="10"/>
        <v>55</v>
      </c>
      <c r="H21">
        <f t="shared" si="11"/>
        <v>55</v>
      </c>
      <c r="J21" s="2" t="s">
        <v>88</v>
      </c>
      <c r="K21" s="2">
        <v>5.5</v>
      </c>
      <c r="L21" s="2">
        <v>5.5</v>
      </c>
      <c r="M21" s="2">
        <v>5.5</v>
      </c>
      <c r="N21" s="2">
        <v>5.5</v>
      </c>
      <c r="O21" s="2">
        <v>5.5</v>
      </c>
      <c r="P21" s="2">
        <v>5.5</v>
      </c>
    </row>
    <row r="22" spans="1:16" x14ac:dyDescent="0.3">
      <c r="A22" t="s">
        <v>21</v>
      </c>
      <c r="B22" t="str">
        <f t="shared" si="5"/>
        <v>N Trail (cm)</v>
      </c>
      <c r="C22">
        <f t="shared" si="6"/>
        <v>73</v>
      </c>
      <c r="D22">
        <f t="shared" si="7"/>
        <v>67</v>
      </c>
      <c r="E22">
        <f t="shared" si="8"/>
        <v>67</v>
      </c>
      <c r="F22">
        <f t="shared" si="9"/>
        <v>67</v>
      </c>
      <c r="G22">
        <f t="shared" si="10"/>
        <v>67</v>
      </c>
      <c r="H22">
        <f t="shared" si="11"/>
        <v>67</v>
      </c>
      <c r="J22" s="2" t="s">
        <v>89</v>
      </c>
      <c r="K22" s="2">
        <v>7.3</v>
      </c>
      <c r="L22" s="2">
        <v>6.7</v>
      </c>
      <c r="M22" s="2">
        <v>6.7</v>
      </c>
      <c r="N22" s="2">
        <v>6.7</v>
      </c>
      <c r="O22" s="2">
        <v>6.7</v>
      </c>
      <c r="P22" s="2">
        <v>6.7</v>
      </c>
    </row>
    <row r="23" spans="1:16" x14ac:dyDescent="0.3">
      <c r="A23" t="s">
        <v>22</v>
      </c>
      <c r="B23" t="str">
        <f t="shared" si="5"/>
        <v>0 Stack (cm)</v>
      </c>
      <c r="C23">
        <f t="shared" si="6"/>
        <v>554</v>
      </c>
      <c r="D23">
        <f t="shared" si="7"/>
        <v>561</v>
      </c>
      <c r="E23">
        <f t="shared" si="8"/>
        <v>579</v>
      </c>
      <c r="F23">
        <f t="shared" si="9"/>
        <v>597</v>
      </c>
      <c r="G23">
        <f t="shared" si="10"/>
        <v>615</v>
      </c>
      <c r="H23">
        <f t="shared" si="11"/>
        <v>646</v>
      </c>
      <c r="J23" s="2" t="s">
        <v>90</v>
      </c>
      <c r="K23" s="2">
        <v>55.4</v>
      </c>
      <c r="L23" s="2">
        <v>56.1</v>
      </c>
      <c r="M23" s="2">
        <v>57.9</v>
      </c>
      <c r="N23" s="2">
        <v>59.7</v>
      </c>
      <c r="O23" s="2">
        <v>61.5</v>
      </c>
      <c r="P23" s="2">
        <v>64.599999999999994</v>
      </c>
    </row>
    <row r="24" spans="1:16" x14ac:dyDescent="0.3">
      <c r="A24" t="s">
        <v>23</v>
      </c>
      <c r="B24" t="str">
        <f t="shared" si="5"/>
        <v>P Reach (cm)</v>
      </c>
      <c r="C24">
        <f t="shared" si="6"/>
        <v>364</v>
      </c>
      <c r="D24">
        <f t="shared" si="7"/>
        <v>373</v>
      </c>
      <c r="E24">
        <f t="shared" si="8"/>
        <v>378</v>
      </c>
      <c r="F24">
        <f t="shared" si="9"/>
        <v>383</v>
      </c>
      <c r="G24">
        <f t="shared" si="10"/>
        <v>389</v>
      </c>
      <c r="H24">
        <f t="shared" si="11"/>
        <v>390</v>
      </c>
      <c r="J24" s="2" t="s">
        <v>91</v>
      </c>
      <c r="K24" s="2">
        <v>36.4</v>
      </c>
      <c r="L24" s="2">
        <v>37.299999999999997</v>
      </c>
      <c r="M24" s="2">
        <v>37.799999999999997</v>
      </c>
      <c r="N24" s="2">
        <v>38.299999999999997</v>
      </c>
      <c r="O24" s="2">
        <v>38.9</v>
      </c>
      <c r="P24" s="2">
        <v>39</v>
      </c>
    </row>
    <row r="25" spans="1:16" x14ac:dyDescent="0.3">
      <c r="A25" s="3" t="s">
        <v>94</v>
      </c>
      <c r="B25" t="str">
        <f t="shared" si="5"/>
        <v>Q Axle to Crown</v>
      </c>
      <c r="C25">
        <f>K25</f>
        <v>429</v>
      </c>
      <c r="D25">
        <f t="shared" ref="D25:H25" si="12">L25</f>
        <v>429</v>
      </c>
      <c r="E25">
        <f t="shared" si="12"/>
        <v>429</v>
      </c>
      <c r="F25">
        <f t="shared" si="12"/>
        <v>429</v>
      </c>
      <c r="G25">
        <f t="shared" si="12"/>
        <v>429</v>
      </c>
      <c r="H25">
        <f t="shared" si="12"/>
        <v>429</v>
      </c>
      <c r="J25" s="2" t="s">
        <v>92</v>
      </c>
      <c r="K25" s="2">
        <v>429</v>
      </c>
      <c r="L25" s="2">
        <v>429</v>
      </c>
      <c r="M25" s="2">
        <v>429</v>
      </c>
      <c r="N25" s="2">
        <v>429</v>
      </c>
      <c r="O25" s="2">
        <v>429</v>
      </c>
      <c r="P25" s="2">
        <v>429</v>
      </c>
    </row>
    <row r="26" spans="1:16" x14ac:dyDescent="0.3">
      <c r="A26" t="s">
        <v>24</v>
      </c>
      <c r="B26" t="s">
        <v>24</v>
      </c>
    </row>
    <row r="27" spans="1:16" x14ac:dyDescent="0.3">
      <c r="A27" t="s">
        <v>25</v>
      </c>
      <c r="B27" t="s">
        <v>25</v>
      </c>
    </row>
    <row r="28" spans="1:16" x14ac:dyDescent="0.3">
      <c r="A28" t="s">
        <v>26</v>
      </c>
      <c r="B28" t="s">
        <v>26</v>
      </c>
    </row>
    <row r="29" spans="1:16" x14ac:dyDescent="0.3">
      <c r="A29" t="s">
        <v>27</v>
      </c>
    </row>
    <row r="30" spans="1:16" x14ac:dyDescent="0.3">
      <c r="A30" t="s">
        <v>28</v>
      </c>
      <c r="B30" t="s">
        <v>28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6" x14ac:dyDescent="0.3">
      <c r="A31" t="s">
        <v>29</v>
      </c>
      <c r="B31" t="s">
        <v>29</v>
      </c>
      <c r="C31">
        <v>44</v>
      </c>
      <c r="D31">
        <v>44</v>
      </c>
      <c r="E31">
        <v>44</v>
      </c>
      <c r="F31">
        <v>44</v>
      </c>
      <c r="G31">
        <v>44</v>
      </c>
      <c r="H31">
        <v>44</v>
      </c>
    </row>
    <row r="32" spans="1:16" x14ac:dyDescent="0.3">
      <c r="A32" t="s">
        <v>30</v>
      </c>
      <c r="B32" t="s">
        <v>30</v>
      </c>
      <c r="C32">
        <v>47</v>
      </c>
      <c r="D32">
        <v>47</v>
      </c>
      <c r="E32">
        <v>47</v>
      </c>
      <c r="F32">
        <v>47</v>
      </c>
      <c r="G32">
        <v>47</v>
      </c>
      <c r="H32">
        <v>47</v>
      </c>
    </row>
    <row r="33" spans="1:8" x14ac:dyDescent="0.3">
      <c r="A33" t="s">
        <v>31</v>
      </c>
      <c r="B33" t="s">
        <v>31</v>
      </c>
      <c r="C33">
        <f>C37*2.54</f>
        <v>149.86000000000001</v>
      </c>
      <c r="D33">
        <f>AVERAGE(D37,C38)*2.54</f>
        <v>166.37</v>
      </c>
      <c r="E33">
        <f t="shared" ref="E33:H33" si="13">AVERAGE(E37,D38)*2.54</f>
        <v>173.99</v>
      </c>
      <c r="F33">
        <f t="shared" si="13"/>
        <v>179.07</v>
      </c>
      <c r="G33">
        <f t="shared" si="13"/>
        <v>184.15</v>
      </c>
      <c r="H33">
        <f t="shared" si="13"/>
        <v>191.77</v>
      </c>
    </row>
    <row r="34" spans="1:8" x14ac:dyDescent="0.3">
      <c r="A34" t="s">
        <v>32</v>
      </c>
      <c r="B34" t="s">
        <v>32</v>
      </c>
      <c r="C34">
        <f>D33</f>
        <v>166.37</v>
      </c>
      <c r="D34">
        <f t="shared" ref="D34:E34" si="14">E33</f>
        <v>173.99</v>
      </c>
      <c r="E34">
        <f t="shared" si="14"/>
        <v>179.07</v>
      </c>
      <c r="F34">
        <f>G33</f>
        <v>184.15</v>
      </c>
      <c r="G34">
        <f>H33</f>
        <v>191.77</v>
      </c>
      <c r="H34">
        <f>H38*2.54</f>
        <v>200.66</v>
      </c>
    </row>
    <row r="36" spans="1:8" x14ac:dyDescent="0.3">
      <c r="A36" t="s">
        <v>33</v>
      </c>
      <c r="B36" t="s">
        <v>34</v>
      </c>
    </row>
    <row r="37" spans="1:8" x14ac:dyDescent="0.3">
      <c r="A37" t="s">
        <v>71</v>
      </c>
      <c r="B37" t="s">
        <v>72</v>
      </c>
      <c r="C37">
        <v>59</v>
      </c>
      <c r="D37">
        <v>65</v>
      </c>
      <c r="E37">
        <v>68</v>
      </c>
      <c r="F37">
        <v>70</v>
      </c>
      <c r="G37">
        <v>72</v>
      </c>
      <c r="H37">
        <v>75</v>
      </c>
    </row>
    <row r="38" spans="1:8" x14ac:dyDescent="0.3">
      <c r="A38" t="s">
        <v>73</v>
      </c>
      <c r="B38" t="s">
        <v>74</v>
      </c>
      <c r="C38">
        <v>66</v>
      </c>
      <c r="D38">
        <v>69</v>
      </c>
      <c r="E38">
        <v>71</v>
      </c>
      <c r="F38">
        <v>73</v>
      </c>
      <c r="G38">
        <v>76</v>
      </c>
      <c r="H38">
        <v>79</v>
      </c>
    </row>
    <row r="39" spans="1:8" x14ac:dyDescent="0.3">
      <c r="A39" t="s">
        <v>75</v>
      </c>
      <c r="B39" s="3" t="s">
        <v>96</v>
      </c>
    </row>
    <row r="40" spans="1:8" x14ac:dyDescent="0.3">
      <c r="A40" t="s">
        <v>35</v>
      </c>
      <c r="B40" t="s">
        <v>36</v>
      </c>
    </row>
    <row r="41" spans="1:8" x14ac:dyDescent="0.3">
      <c r="A41" t="s">
        <v>37</v>
      </c>
      <c r="B41" s="3" t="s">
        <v>97</v>
      </c>
    </row>
    <row r="42" spans="1:8" x14ac:dyDescent="0.3">
      <c r="A42" t="s">
        <v>38</v>
      </c>
    </row>
    <row r="43" spans="1:8" x14ac:dyDescent="0.3">
      <c r="A43" t="s">
        <v>39</v>
      </c>
      <c r="B43">
        <v>47</v>
      </c>
      <c r="C43" s="3" t="s">
        <v>102</v>
      </c>
    </row>
    <row r="44" spans="1:8" x14ac:dyDescent="0.3">
      <c r="A44" t="s">
        <v>40</v>
      </c>
    </row>
    <row r="45" spans="1:8" x14ac:dyDescent="0.3">
      <c r="A45" t="s">
        <v>41</v>
      </c>
      <c r="B45">
        <v>40</v>
      </c>
    </row>
    <row r="46" spans="1:8" x14ac:dyDescent="0.3">
      <c r="A46" t="s">
        <v>42</v>
      </c>
      <c r="B46">
        <v>40</v>
      </c>
    </row>
    <row r="47" spans="1:8" x14ac:dyDescent="0.3">
      <c r="A47" t="s">
        <v>43</v>
      </c>
      <c r="B47" s="4"/>
    </row>
    <row r="48" spans="1:8" x14ac:dyDescent="0.3">
      <c r="A48" t="s">
        <v>44</v>
      </c>
      <c r="B48">
        <v>30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47</v>
      </c>
      <c r="B51" s="3" t="s">
        <v>99</v>
      </c>
    </row>
    <row r="52" spans="1:2" x14ac:dyDescent="0.3">
      <c r="A52" t="s">
        <v>48</v>
      </c>
    </row>
    <row r="53" spans="1:2" x14ac:dyDescent="0.3">
      <c r="A53" t="s">
        <v>49</v>
      </c>
      <c r="B53">
        <v>27.2</v>
      </c>
    </row>
    <row r="54" spans="1:2" x14ac:dyDescent="0.3">
      <c r="A54" t="s">
        <v>50</v>
      </c>
      <c r="B54" s="3" t="s">
        <v>97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  <c r="B61" s="3" t="s">
        <v>98</v>
      </c>
    </row>
    <row r="62" spans="1:2" x14ac:dyDescent="0.3">
      <c r="A62" t="s">
        <v>58</v>
      </c>
    </row>
    <row r="63" spans="1:2" x14ac:dyDescent="0.3">
      <c r="A63" t="s">
        <v>59</v>
      </c>
      <c r="B63" s="3" t="s">
        <v>97</v>
      </c>
    </row>
    <row r="64" spans="1:2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>
        <v>6999</v>
      </c>
    </row>
    <row r="73" spans="1:2" x14ac:dyDescent="0.3">
      <c r="A73" t="s">
        <v>69</v>
      </c>
    </row>
    <row r="74" spans="1:2" x14ac:dyDescent="0.3">
      <c r="A74" t="s">
        <v>70</v>
      </c>
      <c r="B74" s="3" t="s">
        <v>106</v>
      </c>
    </row>
    <row r="75" spans="1:2" x14ac:dyDescent="0.3">
      <c r="A75" t="s">
        <v>104</v>
      </c>
      <c r="B75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2025-10-17T11:52:40Z</dcterms:modified>
</cp:coreProperties>
</file>