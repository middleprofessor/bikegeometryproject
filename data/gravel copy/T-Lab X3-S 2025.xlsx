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6AC5479-2E10-2C4E-A027-A8560F628354}" xr6:coauthVersionLast="47" xr6:coauthVersionMax="47" xr10:uidLastSave="{00000000-0000-0000-0000-000000000000}"/>
  <bookViews>
    <workbookView xWindow="11540" yWindow="10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C34" i="1"/>
  <c r="D34" i="1"/>
  <c r="E34" i="1"/>
  <c r="D33" i="1"/>
  <c r="D31" i="1" s="1"/>
  <c r="C32" i="1" s="1"/>
  <c r="E33" i="1"/>
  <c r="E31" i="1" s="1"/>
  <c r="D32" i="1" s="1"/>
  <c r="C33" i="1"/>
  <c r="C31" i="1" s="1"/>
</calcChain>
</file>

<file path=xl/sharedStrings.xml><?xml version="1.0" encoding="utf-8"?>
<sst xmlns="http://schemas.openxmlformats.org/spreadsheetml/2006/main" count="111" uniqueCount="110">
  <si>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</si>
  <si>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</si>
  <si>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</si>
  <si>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</si>
  <si>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</si>
  <si>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</si>
  <si>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</si>
  <si>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</si>
  <si>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</si>
  <si>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</si>
  <si>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</si>
  <si>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</si>
  <si>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</si>
  <si>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</si>
  <si>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</si>
  <si>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</si>
  <si>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</si>
  <si>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</si>
  <si>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</si>
  <si>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</si>
  <si>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</si>
  <si>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</si>
  <si>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</si>
  <si>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</si>
  <si>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</si>
  <si>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</si>
  <si>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</si>
  <si>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</si>
  <si>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</si>
  <si>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</si>
  <si>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</si>
  <si>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</si>
  <si>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</si>
  <si>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</si>
  <si>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</si>
  <si>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</si>
  <si>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</si>
  <si>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</si>
  <si>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</si>
  <si>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</si>
  <si>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</si>
  <si>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</si>
  <si>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</si>
  <si>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</si>
  <si>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</si>
  <si>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</si>
  <si>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</si>
  <si>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</si>
  <si>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</si>
  <si>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</si>
  <si>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</si>
  <si>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</si>
  <si>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</si>
  <si>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</si>
  <si>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</si>
  <si>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</si>
  <si>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</si>
  <si>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</si>
  <si>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</si>
  <si>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</si>
  <si>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</si>
  <si>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</si>
  <si>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</si>
  <si>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</si>
  <si>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</si>
  <si>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</si>
  <si>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</si>
  <si>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</si>
  <si>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</si>
  <si>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</si>
  <si>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S</t>
  </si>
  <si>
    <t>M</t>
  </si>
  <si>
    <t>L</t>
  </si>
  <si>
    <t>rider_min_spec</t>
  </si>
  <si>
    <t>Head Tube Angle</t>
  </si>
  <si>
    <t>Seat Tube Angle</t>
  </si>
  <si>
    <t>Standover Height</t>
  </si>
  <si>
    <t>rider_max_spec</t>
  </si>
  <si>
    <t>https://t-lab-bikes.com/en-us/bikes/gravel-x3</t>
  </si>
  <si>
    <t>T-Lab</t>
  </si>
  <si>
    <t>titanium</t>
  </si>
  <si>
    <t>press fit</t>
  </si>
  <si>
    <t>Frame Size</t>
  </si>
  <si>
    <t>Seat Tube Length (center-to-top)</t>
  </si>
  <si>
    <t>Top Tube Length (horizontal)</t>
  </si>
  <si>
    <t>Frame Stack</t>
  </si>
  <si>
    <t>Frame Reach</t>
  </si>
  <si>
    <t>Bottom Bracket Drop</t>
  </si>
  <si>
    <t>Fork Rake</t>
  </si>
  <si>
    <t>Front Center Distance</t>
  </si>
  <si>
    <t>Trail</t>
  </si>
  <si>
    <t>Chain Stay Length</t>
  </si>
  <si>
    <t>class</t>
  </si>
  <si>
    <t>gravel</t>
  </si>
  <si>
    <t>handlebar</t>
  </si>
  <si>
    <t>drop bar</t>
  </si>
  <si>
    <t>fork</t>
  </si>
  <si>
    <t>X3-S</t>
  </si>
  <si>
    <t>5’-4” to 5’-8”</t>
  </si>
  <si>
    <t>5’-8” to 6’-0”</t>
  </si>
  <si>
    <t>6’-0” to 6’-4”</t>
  </si>
  <si>
    <t>Head Tube Length</t>
  </si>
  <si>
    <t>suspension</t>
  </si>
  <si>
    <t>a8:e34</t>
  </si>
  <si>
    <t>estimated 436</t>
  </si>
  <si>
    <t>internal</t>
  </si>
  <si>
    <t>https://tlab-bike.transforms.svdcdn.com/production/upload/images/X3fi_side.jpg?w=1600&amp;q=80&amp;auto=format&amp;fit=crop&amp;crop=focalpoint&amp;fp-x=0.5&amp;fp-y=0.5&amp;dm=1741375385&amp;s=dbae0a5b58fd0bc78358506bbcd910d8</t>
  </si>
  <si>
    <t>USD</t>
  </si>
  <si>
    <t>location</t>
  </si>
  <si>
    <t>Montreal, Québec,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</si>
</sst>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 Medium"/>
    </font>
    <font>
      <sz val="14"/>
      <color rgb="FF000000"/>
      <name val="Futura Medium"/>
    </font>
    <font>
      <sz val="14"/>
      <color rgb="FF000000"/>
      <name val="Futura Medium"/>
    </font>
    <font>
      <sz val="14"/>
      <color rgb="FF202020"/>
      <name val="Futura Medium"/>
    </font>
    <font>
      <sz val="16"/>
      <color rgb="FF000000"/>
      <name val="Arial"/>
      <family val="2"/>
    </font>
    <font>
      <sz val="16"/>
      <color rgb="FF000000"/>
      <name val="Arial"/>
      <family val="2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51" workbookViewId="0">
      <selection activeCell="A75" sqref="A75:B75"/>
    </sheetView>
  </sheetViews>
  <sheetFormatPr baseColWidth="10" defaultRowHeight="20" x14ac:dyDescent="0.3"/>
  <cols>
    <col min="1" max="2" width="19.6640625" style="1" customWidth="1"/>
    <col min="3" max="7" width="12.44140625" style="1" customWidth="1"/>
    <col min="8" max="16384" width="10.77734375" style="1"/>
  </cols>
  <sheetData>
    <row r="1" spans="1:8" x14ac:dyDescent="0.3">
      <c r="A1" s="1" t="s">
        <v>0</v>
      </c>
      <c r="B1" s="1" t="s">
        <v>79</v>
      </c>
    </row>
    <row r="2" spans="1:8" x14ac:dyDescent="0.3">
      <c r="A2" s="1" t="s">
        <v>1</v>
      </c>
      <c r="B2" s="1" t="s">
        <v>97</v>
      </c>
    </row>
    <row r="3" spans="1:8" x14ac:dyDescent="0.3">
      <c r="A3" s="1" t="s">
        <v>2</v>
      </c>
      <c r="B3" s="1">
        <v>2025</v>
      </c>
    </row>
    <row r="4" spans="1:8" x14ac:dyDescent="0.3">
      <c r="A4" s="1" t="s">
        <v>3</v>
      </c>
      <c r="B4" s="2">
        <v>45887</v>
      </c>
    </row>
    <row r="5" spans="1:8" x14ac:dyDescent="0.3">
      <c r="A5" s="1" t="s">
        <v>4</v>
      </c>
      <c r="B5" s="1" t="s">
        <v>78</v>
      </c>
    </row>
    <row r="6" spans="1:8" x14ac:dyDescent="0.3">
      <c r="B6" s="1" t="s">
        <v>106</v>
      </c>
    </row>
    <row r="7" spans="1:8" x14ac:dyDescent="0.3">
      <c r="A7" s="1" t="s">
        <v>5</v>
      </c>
      <c r="B7" s="1" t="s">
        <v>103</v>
      </c>
    </row>
    <row r="8" spans="1:8" ht="22" x14ac:dyDescent="0.3">
      <c r="A8" s="1" t="s">
        <v>6</v>
      </c>
      <c r="B8" s="6" t="s">
        <v>82</v>
      </c>
      <c r="C8" s="6" t="s">
        <v>70</v>
      </c>
      <c r="D8" s="6" t="s">
        <v>71</v>
      </c>
      <c r="E8" s="6" t="s">
        <v>72</v>
      </c>
      <c r="G8" s="3"/>
      <c r="H8" s="3"/>
    </row>
    <row r="9" spans="1:8" ht="22" x14ac:dyDescent="0.3">
      <c r="A9" s="1" t="s">
        <v>19</v>
      </c>
      <c r="B9" s="7" t="s">
        <v>76</v>
      </c>
      <c r="C9" s="7">
        <v>786</v>
      </c>
      <c r="D9" s="7">
        <v>804</v>
      </c>
      <c r="E9" s="7">
        <v>824</v>
      </c>
      <c r="G9" s="4"/>
      <c r="H9" s="4"/>
    </row>
    <row r="10" spans="1:8" ht="22" x14ac:dyDescent="0.3">
      <c r="A10" s="1" t="s">
        <v>8</v>
      </c>
      <c r="B10" s="7" t="s">
        <v>75</v>
      </c>
      <c r="C10" s="7">
        <v>73.5</v>
      </c>
      <c r="D10" s="7">
        <v>73.5</v>
      </c>
      <c r="E10" s="7">
        <v>73.5</v>
      </c>
      <c r="G10" s="4"/>
      <c r="H10" s="4"/>
    </row>
    <row r="11" spans="1:8" ht="22" x14ac:dyDescent="0.3">
      <c r="A11" s="1" t="s">
        <v>7</v>
      </c>
      <c r="B11" s="7" t="s">
        <v>83</v>
      </c>
      <c r="C11" s="7">
        <v>500</v>
      </c>
      <c r="D11" s="7">
        <v>520</v>
      </c>
      <c r="E11" s="7">
        <v>540</v>
      </c>
      <c r="G11" s="4"/>
      <c r="H11" s="4"/>
    </row>
    <row r="12" spans="1:8" ht="22" x14ac:dyDescent="0.3">
      <c r="A12" s="1" t="s">
        <v>9</v>
      </c>
      <c r="B12" s="7" t="s">
        <v>84</v>
      </c>
      <c r="C12" s="7">
        <v>554</v>
      </c>
      <c r="D12" s="7">
        <v>577</v>
      </c>
      <c r="E12" s="7">
        <v>593</v>
      </c>
      <c r="G12" s="4"/>
      <c r="H12" s="4"/>
    </row>
    <row r="13" spans="1:8" ht="22" x14ac:dyDescent="0.3">
      <c r="A13" s="1" t="s">
        <v>11</v>
      </c>
      <c r="B13" s="7" t="s">
        <v>74</v>
      </c>
      <c r="C13" s="7">
        <v>69</v>
      </c>
      <c r="D13" s="7">
        <v>69</v>
      </c>
      <c r="E13" s="7">
        <v>69</v>
      </c>
      <c r="G13" s="4"/>
      <c r="H13" s="4"/>
    </row>
    <row r="14" spans="1:8" ht="22" x14ac:dyDescent="0.3">
      <c r="A14" s="1" t="s">
        <v>10</v>
      </c>
      <c r="B14" s="7" t="s">
        <v>101</v>
      </c>
      <c r="C14" s="7">
        <v>120</v>
      </c>
      <c r="D14" s="7">
        <v>140</v>
      </c>
      <c r="E14" s="7">
        <v>160</v>
      </c>
      <c r="G14" s="4"/>
      <c r="H14" s="4"/>
    </row>
    <row r="15" spans="1:8" ht="22" x14ac:dyDescent="0.3">
      <c r="A15" s="1" t="s">
        <v>17</v>
      </c>
      <c r="B15" s="7" t="s">
        <v>85</v>
      </c>
      <c r="C15" s="7">
        <v>573</v>
      </c>
      <c r="D15" s="7">
        <v>592</v>
      </c>
      <c r="E15" s="7">
        <v>610</v>
      </c>
      <c r="G15" s="4"/>
      <c r="H15" s="4"/>
    </row>
    <row r="16" spans="1:8" ht="22" x14ac:dyDescent="0.3">
      <c r="A16" s="1" t="s">
        <v>18</v>
      </c>
      <c r="B16" s="7" t="s">
        <v>86</v>
      </c>
      <c r="C16" s="7">
        <v>384</v>
      </c>
      <c r="D16" s="7">
        <v>402</v>
      </c>
      <c r="E16" s="7">
        <v>412</v>
      </c>
      <c r="G16" s="4"/>
      <c r="H16" s="4"/>
    </row>
    <row r="17" spans="1:8" ht="22" x14ac:dyDescent="0.3">
      <c r="A17" s="1" t="s">
        <v>16</v>
      </c>
      <c r="B17" s="7" t="s">
        <v>87</v>
      </c>
      <c r="C17" s="7">
        <v>70</v>
      </c>
      <c r="D17" s="7">
        <v>70</v>
      </c>
      <c r="E17" s="7">
        <v>70</v>
      </c>
      <c r="G17" s="4"/>
      <c r="H17" s="4"/>
    </row>
    <row r="18" spans="1:8" ht="22" x14ac:dyDescent="0.3">
      <c r="A18" s="1" t="s">
        <v>12</v>
      </c>
      <c r="B18" s="7" t="s">
        <v>88</v>
      </c>
      <c r="C18" s="7">
        <v>45</v>
      </c>
      <c r="D18" s="7">
        <v>45</v>
      </c>
      <c r="E18" s="7">
        <v>45</v>
      </c>
      <c r="G18" s="4"/>
      <c r="H18" s="4"/>
    </row>
    <row r="19" spans="1:8" ht="22" x14ac:dyDescent="0.3">
      <c r="A19" s="1" t="s">
        <v>66</v>
      </c>
      <c r="B19" s="7" t="s">
        <v>89</v>
      </c>
      <c r="C19" s="7">
        <v>629</v>
      </c>
      <c r="D19" s="7">
        <v>654</v>
      </c>
      <c r="E19" s="7">
        <v>671</v>
      </c>
      <c r="G19" s="4"/>
      <c r="H19" s="4"/>
    </row>
    <row r="20" spans="1:8" ht="22" x14ac:dyDescent="0.3">
      <c r="A20" s="1" t="s">
        <v>13</v>
      </c>
      <c r="B20" s="7" t="s">
        <v>90</v>
      </c>
      <c r="C20" s="7">
        <v>90</v>
      </c>
      <c r="D20" s="7">
        <v>90</v>
      </c>
      <c r="E20" s="7">
        <v>90</v>
      </c>
      <c r="G20" s="4"/>
      <c r="H20" s="4"/>
    </row>
    <row r="21" spans="1:8" ht="22" x14ac:dyDescent="0.3">
      <c r="A21" s="1" t="s">
        <v>15</v>
      </c>
      <c r="B21" s="7" t="s">
        <v>91</v>
      </c>
      <c r="C21" s="7">
        <v>429</v>
      </c>
      <c r="D21" s="7">
        <v>429</v>
      </c>
      <c r="E21" s="7">
        <v>429</v>
      </c>
      <c r="G21" s="4"/>
      <c r="H21" s="4"/>
    </row>
    <row r="22" spans="1:8" ht="22" x14ac:dyDescent="0.3">
      <c r="A22" s="1" t="s">
        <v>14</v>
      </c>
      <c r="B22" s="7" t="s">
        <v>68</v>
      </c>
      <c r="C22" s="7">
        <v>1049</v>
      </c>
      <c r="D22" s="7">
        <v>1073</v>
      </c>
      <c r="E22" s="7">
        <v>1091</v>
      </c>
      <c r="G22" s="4"/>
      <c r="H22" s="4"/>
    </row>
    <row r="23" spans="1:8" x14ac:dyDescent="0.3">
      <c r="A23" s="1" t="s">
        <v>24</v>
      </c>
      <c r="F23" s="1" t="s">
        <v>104</v>
      </c>
    </row>
    <row r="24" spans="1:8" x14ac:dyDescent="0.3">
      <c r="A24" s="1" t="s">
        <v>69</v>
      </c>
      <c r="B24" s="8"/>
      <c r="C24"/>
      <c r="D24"/>
      <c r="E24"/>
      <c r="F24"/>
    </row>
    <row r="25" spans="1:8" x14ac:dyDescent="0.3">
      <c r="A25" s="1" t="s">
        <v>20</v>
      </c>
    </row>
    <row r="26" spans="1:8" x14ac:dyDescent="0.3">
      <c r="A26" s="1" t="s">
        <v>21</v>
      </c>
    </row>
    <row r="27" spans="1:8" x14ac:dyDescent="0.3">
      <c r="A27" s="1" t="s">
        <v>22</v>
      </c>
    </row>
    <row r="28" spans="1:8" x14ac:dyDescent="0.3">
      <c r="A28" s="1" t="s">
        <v>23</v>
      </c>
      <c r="C28" s="1">
        <v>700</v>
      </c>
      <c r="D28" s="1">
        <v>700</v>
      </c>
      <c r="E28" s="1">
        <v>700</v>
      </c>
    </row>
    <row r="29" spans="1:8" x14ac:dyDescent="0.3">
      <c r="A29" s="1" t="s">
        <v>25</v>
      </c>
      <c r="C29" s="1">
        <v>45</v>
      </c>
      <c r="D29" s="1">
        <v>45</v>
      </c>
      <c r="E29" s="1">
        <v>45</v>
      </c>
    </row>
    <row r="30" spans="1:8" x14ac:dyDescent="0.3">
      <c r="A30" s="1" t="s">
        <v>26</v>
      </c>
      <c r="C30" s="1">
        <v>50</v>
      </c>
      <c r="D30" s="1">
        <v>50</v>
      </c>
      <c r="E30" s="1">
        <v>50</v>
      </c>
    </row>
    <row r="31" spans="1:8" x14ac:dyDescent="0.3">
      <c r="A31" s="1" t="s">
        <v>27</v>
      </c>
      <c r="C31" s="1">
        <f>C33</f>
        <v>162.56</v>
      </c>
      <c r="D31" s="1">
        <f>AVERAGE(D33,C34)</f>
        <v>172.72</v>
      </c>
      <c r="E31" s="1">
        <f>AVERAGE(E33,D34)</f>
        <v>182.88</v>
      </c>
    </row>
    <row r="32" spans="1:8" x14ac:dyDescent="0.3">
      <c r="A32" s="1" t="s">
        <v>28</v>
      </c>
      <c r="C32" s="1">
        <f>D31</f>
        <v>172.72</v>
      </c>
      <c r="D32" s="1">
        <f t="shared" ref="D32" si="0">E31</f>
        <v>182.88</v>
      </c>
      <c r="E32" s="1">
        <f>E34</f>
        <v>193.04</v>
      </c>
    </row>
    <row r="33" spans="1:8" x14ac:dyDescent="0.3">
      <c r="A33" s="1" t="s">
        <v>73</v>
      </c>
      <c r="C33" s="1">
        <f>C35*2.54</f>
        <v>162.56</v>
      </c>
      <c r="D33" s="1">
        <f t="shared" ref="D33:E34" si="1">D35*2.54</f>
        <v>172.72</v>
      </c>
      <c r="E33" s="1">
        <f t="shared" si="1"/>
        <v>182.88</v>
      </c>
    </row>
    <row r="34" spans="1:8" x14ac:dyDescent="0.3">
      <c r="A34" s="1" t="s">
        <v>77</v>
      </c>
      <c r="C34" s="1">
        <f>C36*2.54</f>
        <v>172.72</v>
      </c>
      <c r="D34" s="1">
        <f t="shared" si="1"/>
        <v>182.88</v>
      </c>
      <c r="E34" s="1">
        <f t="shared" si="1"/>
        <v>193.04</v>
      </c>
    </row>
    <row r="35" spans="1:8" x14ac:dyDescent="0.3">
      <c r="C35" s="5">
        <v>64</v>
      </c>
      <c r="D35" s="5">
        <v>68</v>
      </c>
      <c r="E35" s="5">
        <v>72</v>
      </c>
      <c r="F35" s="5"/>
    </row>
    <row r="36" spans="1:8" x14ac:dyDescent="0.3">
      <c r="A36" s="1" t="s">
        <v>29</v>
      </c>
      <c r="B36" s="1" t="s">
        <v>30</v>
      </c>
      <c r="C36" s="1">
        <v>68</v>
      </c>
      <c r="D36" s="1">
        <v>72</v>
      </c>
      <c r="E36" s="1">
        <v>76</v>
      </c>
    </row>
    <row r="37" spans="1:8" ht="22" x14ac:dyDescent="0.3">
      <c r="A37" s="1" t="s">
        <v>92</v>
      </c>
      <c r="B37" s="1" t="s">
        <v>93</v>
      </c>
      <c r="C37" s="7" t="s">
        <v>98</v>
      </c>
      <c r="D37" s="7" t="s">
        <v>99</v>
      </c>
      <c r="E37" s="7" t="s">
        <v>100</v>
      </c>
      <c r="F37" s="4"/>
      <c r="G37" s="4"/>
      <c r="H37" s="4"/>
    </row>
    <row r="38" spans="1:8" x14ac:dyDescent="0.3">
      <c r="A38" s="1" t="s">
        <v>94</v>
      </c>
      <c r="B38" s="1" t="s">
        <v>95</v>
      </c>
    </row>
    <row r="39" spans="1:8" x14ac:dyDescent="0.3">
      <c r="A39" s="1" t="s">
        <v>96</v>
      </c>
      <c r="B39" s="1" t="s">
        <v>102</v>
      </c>
    </row>
    <row r="40" spans="1:8" x14ac:dyDescent="0.3">
      <c r="A40" s="1" t="s">
        <v>31</v>
      </c>
      <c r="B40" s="1" t="s">
        <v>80</v>
      </c>
    </row>
    <row r="41" spans="1:8" x14ac:dyDescent="0.3">
      <c r="A41" s="1" t="s">
        <v>32</v>
      </c>
      <c r="B41" s="1" t="s">
        <v>67</v>
      </c>
    </row>
    <row r="42" spans="1:8" x14ac:dyDescent="0.3">
      <c r="A42" s="1" t="s">
        <v>33</v>
      </c>
    </row>
    <row r="43" spans="1:8" x14ac:dyDescent="0.3">
      <c r="A43" s="1" t="s">
        <v>34</v>
      </c>
      <c r="B43" s="1">
        <v>50</v>
      </c>
    </row>
    <row r="44" spans="1:8" x14ac:dyDescent="0.3">
      <c r="A44" s="1" t="s">
        <v>35</v>
      </c>
    </row>
    <row r="45" spans="1:8" x14ac:dyDescent="0.3">
      <c r="A45" s="1" t="s">
        <v>36</v>
      </c>
      <c r="B45" s="1">
        <v>40</v>
      </c>
    </row>
    <row r="46" spans="1:8" x14ac:dyDescent="0.3">
      <c r="A46" s="1" t="s">
        <v>37</v>
      </c>
      <c r="B46" s="1">
        <v>40</v>
      </c>
    </row>
    <row r="47" spans="1:8" x14ac:dyDescent="0.3">
      <c r="A47" s="1" t="s">
        <v>38</v>
      </c>
    </row>
    <row r="48" spans="1:8" x14ac:dyDescent="0.3">
      <c r="A48" s="1" t="s">
        <v>39</v>
      </c>
    </row>
    <row r="49" spans="1:2" x14ac:dyDescent="0.3">
      <c r="A49" s="1" t="s">
        <v>40</v>
      </c>
    </row>
    <row r="50" spans="1:2" x14ac:dyDescent="0.3">
      <c r="A50" s="1" t="s">
        <v>41</v>
      </c>
    </row>
    <row r="51" spans="1:2" x14ac:dyDescent="0.3">
      <c r="A51" s="1" t="s">
        <v>42</v>
      </c>
      <c r="B51" s="1" t="s">
        <v>81</v>
      </c>
    </row>
    <row r="52" spans="1:2" x14ac:dyDescent="0.3">
      <c r="A52" s="1" t="s">
        <v>43</v>
      </c>
    </row>
    <row r="53" spans="1:2" x14ac:dyDescent="0.3">
      <c r="A53" s="1" t="s">
        <v>44</v>
      </c>
    </row>
    <row r="54" spans="1:2" x14ac:dyDescent="0.3">
      <c r="A54" s="1" t="s">
        <v>45</v>
      </c>
      <c r="B54" s="1" t="s">
        <v>67</v>
      </c>
    </row>
    <row r="55" spans="1:2" x14ac:dyDescent="0.3">
      <c r="A55" s="1" t="s">
        <v>46</v>
      </c>
    </row>
    <row r="56" spans="1:2" x14ac:dyDescent="0.3">
      <c r="A56" s="1" t="s">
        <v>47</v>
      </c>
    </row>
    <row r="57" spans="1:2" x14ac:dyDescent="0.3">
      <c r="A57" s="1" t="s">
        <v>48</v>
      </c>
    </row>
    <row r="58" spans="1:2" x14ac:dyDescent="0.3">
      <c r="A58" s="1" t="s">
        <v>49</v>
      </c>
    </row>
    <row r="59" spans="1:2" x14ac:dyDescent="0.3">
      <c r="A59" s="1" t="s">
        <v>50</v>
      </c>
    </row>
    <row r="60" spans="1:2" x14ac:dyDescent="0.3">
      <c r="A60" s="1" t="s">
        <v>51</v>
      </c>
    </row>
    <row r="61" spans="1:2" x14ac:dyDescent="0.3">
      <c r="A61" s="1" t="s">
        <v>52</v>
      </c>
      <c r="B61" s="1" t="s">
        <v>105</v>
      </c>
    </row>
    <row r="62" spans="1:2" x14ac:dyDescent="0.3">
      <c r="A62" s="1" t="s">
        <v>53</v>
      </c>
    </row>
    <row r="63" spans="1:2" x14ac:dyDescent="0.3">
      <c r="A63" s="1" t="s">
        <v>54</v>
      </c>
    </row>
    <row r="64" spans="1:2" x14ac:dyDescent="0.3">
      <c r="A64" s="1" t="s">
        <v>55</v>
      </c>
      <c r="B64" s="1">
        <v>2</v>
      </c>
    </row>
    <row r="65" spans="1:2" x14ac:dyDescent="0.3">
      <c r="A65" s="1" t="s">
        <v>56</v>
      </c>
    </row>
    <row r="66" spans="1:2" x14ac:dyDescent="0.3">
      <c r="A66" s="1" t="s">
        <v>57</v>
      </c>
    </row>
    <row r="67" spans="1:2" x14ac:dyDescent="0.3">
      <c r="A67" s="1" t="s">
        <v>58</v>
      </c>
    </row>
    <row r="68" spans="1:2" x14ac:dyDescent="0.3">
      <c r="A68" s="1" t="s">
        <v>59</v>
      </c>
    </row>
    <row r="69" spans="1:2" x14ac:dyDescent="0.3">
      <c r="A69" s="1" t="s">
        <v>60</v>
      </c>
    </row>
    <row r="70" spans="1:2" x14ac:dyDescent="0.3">
      <c r="A70" s="1" t="s">
        <v>61</v>
      </c>
    </row>
    <row r="71" spans="1:2" x14ac:dyDescent="0.3">
      <c r="A71" s="1" t="s">
        <v>62</v>
      </c>
      <c r="B71" s="1">
        <v>4675</v>
      </c>
    </row>
    <row r="72" spans="1:2" x14ac:dyDescent="0.3">
      <c r="A72" s="1" t="s">
        <v>63</v>
      </c>
    </row>
    <row r="73" spans="1:2" x14ac:dyDescent="0.3">
      <c r="A73" s="1" t="s">
        <v>64</v>
      </c>
    </row>
    <row r="74" spans="1:2" x14ac:dyDescent="0.3">
      <c r="A74" s="1" t="s">
        <v>65</v>
      </c>
      <c r="B74" s="1" t="s">
        <v>107</v>
      </c>
    </row>
    <row r="75" spans="1:2" x14ac:dyDescent="0.3">
      <c r="A75" s="1" t="s">
        <v>108</v>
      </c>
      <c r="B75" s="1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2025-10-17T23:52:08Z</dcterms:modified>
</cp:coreProperties>
</file>