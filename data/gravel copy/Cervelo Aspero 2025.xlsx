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6A43928-828C-9449-AA79-043DD4306F9A}" xr6:coauthVersionLast="47" xr6:coauthVersionMax="47" xr10:uidLastSave="{00000000-0000-0000-0000-000000000000}"/>
  <bookViews>
    <workbookView xWindow="4760" yWindow="2060" windowWidth="24040" windowHeight="14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C35" i="1"/>
</calcChain>
</file>

<file path=xl/sharedStrings.xml><?xml version="1.0" encoding="utf-8"?>
<sst xmlns="http://schemas.openxmlformats.org/spreadsheetml/2006/main" count="111" uniqueCount="109">
  <si>
    <t>brand</t>
  </si>
  <si>
    <t>Cervelo</t>
  </si>
  <si>
    <t>model</t>
  </si>
  <si>
    <t>Aspero</t>
  </si>
  <si>
    <t>model year</t>
  </si>
  <si>
    <t>2024</t>
  </si>
  <si>
    <t>input date</t>
  </si>
  <si>
    <t>URL</t>
  </si>
  <si>
    <t>https://www.cervelo.com/en-US/bikes/aspero</t>
  </si>
  <si>
    <t>07-Jul-2025</t>
  </si>
  <si>
    <t>data_range</t>
  </si>
  <si>
    <t>a8:h32</t>
  </si>
  <si>
    <t>frame_size</t>
  </si>
  <si>
    <t>frame size</t>
  </si>
  <si>
    <t>48</t>
  </si>
  <si>
    <t>51</t>
  </si>
  <si>
    <t>54</t>
  </si>
  <si>
    <t>56</t>
  </si>
  <si>
    <t>58</t>
  </si>
  <si>
    <t>61</t>
  </si>
  <si>
    <t>reach</t>
  </si>
  <si>
    <t>Reach | mm</t>
  </si>
  <si>
    <t>stack</t>
  </si>
  <si>
    <t>Stack | mm</t>
  </si>
  <si>
    <t>head_tube_angle</t>
  </si>
  <si>
    <t>Head Tube Angle</t>
  </si>
  <si>
    <t>front_center</t>
  </si>
  <si>
    <t>Front Center | mm</t>
  </si>
  <si>
    <t>bottom_bracket_drop</t>
  </si>
  <si>
    <t>Bottom Bracket Drop | mm</t>
  </si>
  <si>
    <t>head_tube_length</t>
  </si>
  <si>
    <t>Head Tube Length | mm</t>
  </si>
  <si>
    <t>top_tube_effective_length</t>
  </si>
  <si>
    <t>Top Tube Length | mm</t>
  </si>
  <si>
    <t>seat_tube_angle</t>
  </si>
  <si>
    <t>Seat Tube Angle</t>
  </si>
  <si>
    <t>standover</t>
  </si>
  <si>
    <t>Standover Height | mm</t>
  </si>
  <si>
    <t>trail</t>
  </si>
  <si>
    <t>Trail | mm</t>
  </si>
  <si>
    <t>wheel_size</t>
  </si>
  <si>
    <t>Wheel Size</t>
  </si>
  <si>
    <t>fork_offset_rake</t>
  </si>
  <si>
    <t>Fork Offset | mm</t>
  </si>
  <si>
    <t>wheelbase</t>
  </si>
  <si>
    <t>Wheelbase | mm</t>
  </si>
  <si>
    <t>chainstay_length</t>
  </si>
  <si>
    <t>Chainstay Length | mm</t>
  </si>
  <si>
    <t>seat_tube_length</t>
  </si>
  <si>
    <t>axle_crown</t>
  </si>
  <si>
    <t>handlebar_width</t>
  </si>
  <si>
    <t>stem_length</t>
  </si>
  <si>
    <t>crank_length</t>
  </si>
  <si>
    <t>frame_weight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</si>
  <si>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</si>
  <si>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</si>
  <si>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</si>
  <si>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</si>
  <si>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</si>
  <si>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</si>
  <si>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</si>
  <si>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</si>
  <si>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</si>
  <si>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</si>
  <si>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</si>
  <si>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</si>
  <si>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</si>
  <si>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</si>
  <si>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</si>
  <si>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</si>
  <si>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</si>
  <si>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</si>
  <si>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</si>
  <si>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</si>
  <si>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</si>
  <si>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</si>
  <si>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</si>
  <si>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</si>
  <si>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</si>
  <si>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</si>
  <si>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</si>
  <si>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</si>
  <si>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</si>
  <si>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</si>
  <si>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</si>
  <si>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</si>
  <si>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</si>
  <si>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</si>
  <si>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</si>
  <si>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</si>
  <si>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</si>
  <si>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</si>
  <si>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</si>
  <si>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</si>
  <si>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</si>
  <si>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</si>
  <si>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3400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</si>
  <si>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</si>
  <si>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</si>
  <si>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</si>
  <si>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</si>
  <si>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</si>
  <si>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</si>
  <si>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</si>
  <si>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</si>
  <si>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https://www.cervelo.com/_next/image?url=https%3A%2F%2Fimages.prismic.io%2Fcervelo%2FaFxeH3fc4bHWiuqL_0L0ASBXV2C-PROFILE-Web.png%3Fauto%3Dformat%2Ccompress&amp;w=2600&amp;q=99</t>
  </si>
  <si>
    <t>location</t>
  </si>
  <si>
    <t>Aliso Viejo, California,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</si>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</sst>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3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105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370</v>
      </c>
      <c r="D9">
        <v>379</v>
      </c>
      <c r="E9">
        <v>388</v>
      </c>
      <c r="F9">
        <v>397</v>
      </c>
      <c r="G9">
        <v>406</v>
      </c>
      <c r="H9">
        <v>415</v>
      </c>
    </row>
    <row r="10" spans="1:8" x14ac:dyDescent="0.3">
      <c r="A10" t="s">
        <v>22</v>
      </c>
      <c r="B10" t="s">
        <v>23</v>
      </c>
      <c r="C10">
        <v>505</v>
      </c>
      <c r="D10">
        <v>530</v>
      </c>
      <c r="E10">
        <v>555</v>
      </c>
      <c r="F10">
        <v>580</v>
      </c>
      <c r="G10">
        <v>605</v>
      </c>
      <c r="H10">
        <v>630</v>
      </c>
    </row>
    <row r="11" spans="1:8" x14ac:dyDescent="0.3">
      <c r="A11" t="s">
        <v>24</v>
      </c>
      <c r="B11" t="s">
        <v>25</v>
      </c>
      <c r="C11">
        <v>71</v>
      </c>
      <c r="D11">
        <v>71.5</v>
      </c>
      <c r="E11">
        <v>72</v>
      </c>
      <c r="F11">
        <v>72</v>
      </c>
      <c r="G11">
        <v>72</v>
      </c>
      <c r="H11">
        <v>72</v>
      </c>
    </row>
    <row r="12" spans="1:8" x14ac:dyDescent="0.3">
      <c r="A12" t="s">
        <v>26</v>
      </c>
      <c r="B12" t="s">
        <v>27</v>
      </c>
      <c r="C12">
        <v>577</v>
      </c>
      <c r="D12">
        <v>587</v>
      </c>
      <c r="E12">
        <v>597</v>
      </c>
      <c r="F12">
        <v>614</v>
      </c>
      <c r="G12">
        <v>631</v>
      </c>
      <c r="H12">
        <v>648</v>
      </c>
    </row>
    <row r="13" spans="1:8" x14ac:dyDescent="0.3">
      <c r="A13" t="s">
        <v>28</v>
      </c>
      <c r="B13" t="s">
        <v>29</v>
      </c>
      <c r="C13">
        <v>78.5</v>
      </c>
      <c r="D13">
        <v>78.5</v>
      </c>
      <c r="E13">
        <v>76</v>
      </c>
      <c r="F13">
        <v>76</v>
      </c>
      <c r="G13">
        <v>73.5</v>
      </c>
      <c r="H13">
        <v>73.5</v>
      </c>
    </row>
    <row r="14" spans="1:8" x14ac:dyDescent="0.3">
      <c r="A14" t="s">
        <v>30</v>
      </c>
      <c r="B14" t="s">
        <v>31</v>
      </c>
      <c r="C14">
        <v>83</v>
      </c>
      <c r="D14">
        <v>107</v>
      </c>
      <c r="E14">
        <v>133</v>
      </c>
      <c r="F14">
        <v>159</v>
      </c>
      <c r="G14">
        <v>188</v>
      </c>
      <c r="H14">
        <v>214</v>
      </c>
    </row>
    <row r="15" spans="1:8" x14ac:dyDescent="0.3">
      <c r="A15" t="s">
        <v>32</v>
      </c>
      <c r="B15" t="s">
        <v>33</v>
      </c>
      <c r="C15">
        <v>512</v>
      </c>
      <c r="D15">
        <v>532</v>
      </c>
      <c r="E15">
        <v>553</v>
      </c>
      <c r="F15">
        <v>575</v>
      </c>
      <c r="G15">
        <v>591</v>
      </c>
      <c r="H15">
        <v>608</v>
      </c>
    </row>
    <row r="16" spans="1:8" x14ac:dyDescent="0.3">
      <c r="A16" t="s">
        <v>34</v>
      </c>
      <c r="B16" t="s">
        <v>35</v>
      </c>
      <c r="C16">
        <v>74.5</v>
      </c>
      <c r="D16">
        <v>74</v>
      </c>
      <c r="E16">
        <v>73.5</v>
      </c>
      <c r="F16">
        <v>73</v>
      </c>
      <c r="G16">
        <v>73</v>
      </c>
      <c r="H16">
        <v>73</v>
      </c>
    </row>
    <row r="17" spans="1:8" x14ac:dyDescent="0.3">
      <c r="A17" t="s">
        <v>36</v>
      </c>
      <c r="B17" t="s">
        <v>37</v>
      </c>
      <c r="C17">
        <v>681</v>
      </c>
      <c r="D17">
        <v>704</v>
      </c>
      <c r="E17">
        <v>733</v>
      </c>
      <c r="F17">
        <v>757</v>
      </c>
      <c r="G17">
        <v>784</v>
      </c>
      <c r="H17">
        <v>808</v>
      </c>
    </row>
    <row r="18" spans="1:8" x14ac:dyDescent="0.3">
      <c r="A18" t="s">
        <v>38</v>
      </c>
      <c r="B18" t="s">
        <v>39</v>
      </c>
      <c r="C18">
        <v>62</v>
      </c>
      <c r="D18">
        <v>62</v>
      </c>
      <c r="E18">
        <v>62</v>
      </c>
      <c r="F18">
        <v>62</v>
      </c>
      <c r="G18">
        <v>62</v>
      </c>
      <c r="H18">
        <v>62</v>
      </c>
    </row>
    <row r="19" spans="1:8" x14ac:dyDescent="0.3">
      <c r="A19" t="s">
        <v>40</v>
      </c>
      <c r="B19" t="s">
        <v>41</v>
      </c>
      <c r="C19">
        <v>700</v>
      </c>
      <c r="D19">
        <v>700</v>
      </c>
      <c r="E19">
        <v>700</v>
      </c>
      <c r="F19">
        <v>700</v>
      </c>
      <c r="G19">
        <v>700</v>
      </c>
      <c r="H19">
        <v>700</v>
      </c>
    </row>
    <row r="20" spans="1:8" x14ac:dyDescent="0.3">
      <c r="A20" t="s">
        <v>42</v>
      </c>
      <c r="B20" t="s">
        <v>43</v>
      </c>
      <c r="C20">
        <v>52</v>
      </c>
      <c r="D20">
        <v>49</v>
      </c>
      <c r="E20">
        <v>46</v>
      </c>
      <c r="F20">
        <v>46</v>
      </c>
      <c r="G20">
        <v>46</v>
      </c>
      <c r="H20">
        <v>46</v>
      </c>
    </row>
    <row r="21" spans="1:8" x14ac:dyDescent="0.3">
      <c r="A21" t="s">
        <v>44</v>
      </c>
      <c r="B21" t="s">
        <v>45</v>
      </c>
      <c r="C21">
        <v>990</v>
      </c>
      <c r="D21">
        <v>999</v>
      </c>
      <c r="E21">
        <v>1010</v>
      </c>
      <c r="F21">
        <v>1028</v>
      </c>
      <c r="G21">
        <v>1046</v>
      </c>
      <c r="H21">
        <v>1063</v>
      </c>
    </row>
    <row r="22" spans="1:8" x14ac:dyDescent="0.3">
      <c r="A22" t="s">
        <v>46</v>
      </c>
      <c r="B22" t="s">
        <v>47</v>
      </c>
      <c r="C22">
        <v>425</v>
      </c>
      <c r="D22">
        <v>425</v>
      </c>
      <c r="E22">
        <v>425</v>
      </c>
      <c r="F22">
        <v>425</v>
      </c>
      <c r="G22">
        <v>425</v>
      </c>
      <c r="H22">
        <v>425</v>
      </c>
    </row>
    <row r="23" spans="1:8" x14ac:dyDescent="0.3">
      <c r="A23" t="s">
        <v>48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  <c r="C26">
        <v>80</v>
      </c>
      <c r="D26">
        <v>80</v>
      </c>
      <c r="E26">
        <v>90</v>
      </c>
      <c r="F26">
        <v>90</v>
      </c>
      <c r="G26">
        <v>100</v>
      </c>
      <c r="H26">
        <v>100</v>
      </c>
    </row>
    <row r="27" spans="1:8" x14ac:dyDescent="0.3">
      <c r="A27" t="s">
        <v>52</v>
      </c>
    </row>
    <row r="28" spans="1:8" x14ac:dyDescent="0.3">
      <c r="A28" t="s">
        <v>53</v>
      </c>
    </row>
    <row r="29" spans="1:8" x14ac:dyDescent="0.3">
      <c r="A29" t="s">
        <v>54</v>
      </c>
      <c r="C29">
        <v>45</v>
      </c>
      <c r="D29">
        <v>45</v>
      </c>
      <c r="E29">
        <v>40</v>
      </c>
      <c r="F29">
        <v>45</v>
      </c>
      <c r="G29">
        <v>45</v>
      </c>
      <c r="H29">
        <v>45</v>
      </c>
    </row>
    <row r="30" spans="1:8" x14ac:dyDescent="0.3">
      <c r="A30" t="s">
        <v>55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56</v>
      </c>
      <c r="C31">
        <v>150</v>
      </c>
      <c r="D31">
        <v>160</v>
      </c>
      <c r="E31">
        <v>168</v>
      </c>
      <c r="F31">
        <v>176</v>
      </c>
      <c r="G31">
        <v>184</v>
      </c>
      <c r="H31">
        <v>192</v>
      </c>
    </row>
    <row r="32" spans="1:8" x14ac:dyDescent="0.3">
      <c r="A32" t="s">
        <v>57</v>
      </c>
      <c r="C32">
        <v>160</v>
      </c>
      <c r="D32">
        <v>168</v>
      </c>
      <c r="E32">
        <v>176</v>
      </c>
      <c r="F32">
        <v>184</v>
      </c>
      <c r="G32">
        <v>192</v>
      </c>
      <c r="H32">
        <v>200</v>
      </c>
    </row>
    <row r="34" spans="1:8" x14ac:dyDescent="0.3">
      <c r="A34" t="s">
        <v>58</v>
      </c>
      <c r="B34" t="s">
        <v>59</v>
      </c>
      <c r="C34" s="1" t="s">
        <v>38</v>
      </c>
    </row>
    <row r="35" spans="1:8" x14ac:dyDescent="0.3">
      <c r="A35" t="s">
        <v>99</v>
      </c>
      <c r="B35" t="s">
        <v>100</v>
      </c>
      <c r="C35">
        <f>((622 + 2*C29)/2*COS(C11*PI()/180) - C20)/SIN(C11*PI()/180)</f>
        <v>67.584354909413989</v>
      </c>
      <c r="D35">
        <f t="shared" ref="D35:H35" si="0">((622 + 2*D29)/2*COS(D11*PI()/180) - D20)/SIN(D11*PI()/180)</f>
        <v>67.445810646055747</v>
      </c>
      <c r="E35">
        <f t="shared" si="0"/>
        <v>65.679551062789841</v>
      </c>
      <c r="F35">
        <f t="shared" si="0"/>
        <v>67.304149543954367</v>
      </c>
      <c r="G35">
        <f t="shared" si="0"/>
        <v>67.304149543954367</v>
      </c>
      <c r="H35">
        <f t="shared" si="0"/>
        <v>67.304149543954367</v>
      </c>
    </row>
    <row r="36" spans="1:8" x14ac:dyDescent="0.3">
      <c r="A36" t="s">
        <v>101</v>
      </c>
      <c r="B36" t="s">
        <v>102</v>
      </c>
    </row>
    <row r="37" spans="1:8" x14ac:dyDescent="0.3">
      <c r="A37" t="s">
        <v>103</v>
      </c>
      <c r="B37" t="s">
        <v>104</v>
      </c>
    </row>
    <row r="38" spans="1:8" x14ac:dyDescent="0.3">
      <c r="A38" t="s">
        <v>60</v>
      </c>
      <c r="B38" t="s">
        <v>61</v>
      </c>
    </row>
    <row r="39" spans="1:8" x14ac:dyDescent="0.3">
      <c r="A39" t="s">
        <v>62</v>
      </c>
      <c r="B39" t="s">
        <v>63</v>
      </c>
    </row>
    <row r="40" spans="1:8" x14ac:dyDescent="0.3">
      <c r="A40" t="s">
        <v>64</v>
      </c>
    </row>
    <row r="41" spans="1:8" x14ac:dyDescent="0.3">
      <c r="A41" t="s">
        <v>65</v>
      </c>
      <c r="B41">
        <v>45</v>
      </c>
    </row>
    <row r="42" spans="1:8" x14ac:dyDescent="0.3">
      <c r="A42" t="s">
        <v>66</v>
      </c>
      <c r="B42">
        <v>47</v>
      </c>
    </row>
    <row r="43" spans="1:8" x14ac:dyDescent="0.3">
      <c r="A43" t="s">
        <v>67</v>
      </c>
    </row>
    <row r="44" spans="1:8" x14ac:dyDescent="0.3">
      <c r="A44" t="s">
        <v>68</v>
      </c>
    </row>
    <row r="45" spans="1:8" x14ac:dyDescent="0.3">
      <c r="A45" t="s">
        <v>69</v>
      </c>
    </row>
    <row r="46" spans="1:8" x14ac:dyDescent="0.3">
      <c r="A46" t="s">
        <v>70</v>
      </c>
    </row>
    <row r="47" spans="1:8" x14ac:dyDescent="0.3">
      <c r="A47" t="s">
        <v>71</v>
      </c>
    </row>
    <row r="48" spans="1:8" x14ac:dyDescent="0.3">
      <c r="A48" t="s">
        <v>72</v>
      </c>
    </row>
    <row r="49" spans="1:2" x14ac:dyDescent="0.3">
      <c r="A49" t="s">
        <v>73</v>
      </c>
      <c r="B49" t="s">
        <v>74</v>
      </c>
    </row>
    <row r="50" spans="1:2" x14ac:dyDescent="0.3">
      <c r="A50" t="s">
        <v>75</v>
      </c>
    </row>
    <row r="51" spans="1:2" x14ac:dyDescent="0.3">
      <c r="A51" t="s">
        <v>76</v>
      </c>
    </row>
    <row r="52" spans="1:2" x14ac:dyDescent="0.3">
      <c r="A52" t="s">
        <v>77</v>
      </c>
      <c r="B52" t="s">
        <v>63</v>
      </c>
    </row>
    <row r="53" spans="1:2" x14ac:dyDescent="0.3">
      <c r="A53" t="s">
        <v>78</v>
      </c>
    </row>
    <row r="54" spans="1:2" x14ac:dyDescent="0.3">
      <c r="A54" t="s">
        <v>79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2" x14ac:dyDescent="0.3">
      <c r="A65" t="s">
        <v>90</v>
      </c>
    </row>
    <row r="66" spans="1:2" x14ac:dyDescent="0.3">
      <c r="A66" t="s">
        <v>91</v>
      </c>
    </row>
    <row r="67" spans="1:2" x14ac:dyDescent="0.3">
      <c r="A67" t="s">
        <v>92</v>
      </c>
    </row>
    <row r="68" spans="1:2" x14ac:dyDescent="0.3">
      <c r="A68" t="s">
        <v>93</v>
      </c>
    </row>
    <row r="69" spans="1:2" x14ac:dyDescent="0.3">
      <c r="A69" t="s">
        <v>94</v>
      </c>
    </row>
    <row r="70" spans="1:2" x14ac:dyDescent="0.3">
      <c r="A70" t="s">
        <v>95</v>
      </c>
      <c r="B70" t="s">
        <v>96</v>
      </c>
    </row>
    <row r="71" spans="1:2" x14ac:dyDescent="0.3">
      <c r="A71" t="s">
        <v>97</v>
      </c>
    </row>
    <row r="72" spans="1:2" x14ac:dyDescent="0.3">
      <c r="A72" t="s">
        <v>98</v>
      </c>
      <c r="B72" s="1" t="s">
        <v>108</v>
      </c>
    </row>
    <row r="73" spans="1:2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2025-10-17T11:54:55Z</dcterms:modified>
</cp:coreProperties>
</file>