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72B8CBF-FE8E-1E4B-B764-D0617DC68F0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H31" i="1"/>
  <c r="C31" i="1"/>
  <c r="E30" i="1"/>
  <c r="D31" i="1" s="1"/>
  <c r="F30" i="1"/>
  <c r="E31" i="1" s="1"/>
  <c r="G30" i="1"/>
  <c r="F31" i="1" s="1"/>
  <c r="H30" i="1"/>
  <c r="I30" i="1"/>
  <c r="D30" i="1"/>
</calcChain>
</file>

<file path=xl/sharedStrings.xml><?xml version="1.0" encoding="utf-8"?>
<sst xmlns="http://schemas.openxmlformats.org/spreadsheetml/2006/main" count="127" uniqueCount="119">
  <si>
    <t>brand</t>
  </si>
  <si>
    <t>Salsa</t>
  </si>
  <si>
    <t>model</t>
  </si>
  <si>
    <t xml:space="preserve">Warbird </t>
  </si>
  <si>
    <t>model_year</t>
  </si>
  <si>
    <t>input_date</t>
  </si>
  <si>
    <t>url</t>
  </si>
  <si>
    <t>data_range</t>
  </si>
  <si>
    <t>frame_size</t>
  </si>
  <si>
    <t>49cm</t>
  </si>
  <si>
    <t>52.5cm</t>
  </si>
  <si>
    <t>54.5cm</t>
  </si>
  <si>
    <t>56cm</t>
  </si>
  <si>
    <t>57.5cm</t>
  </si>
  <si>
    <t>59cm</t>
  </si>
  <si>
    <t>61cm</t>
  </si>
  <si>
    <t>top_tube_effective_length</t>
  </si>
  <si>
    <t>A. Effective Top Tube</t>
  </si>
  <si>
    <t>standover</t>
  </si>
  <si>
    <t>B. Stand Over</t>
  </si>
  <si>
    <t>reach</t>
  </si>
  <si>
    <t>C. Reach</t>
  </si>
  <si>
    <t>stack</t>
  </si>
  <si>
    <t>D. Stack</t>
  </si>
  <si>
    <t>seat_tube_length</t>
  </si>
  <si>
    <t>E. Total Seat Tube Length</t>
  </si>
  <si>
    <t>head_tube_length</t>
  </si>
  <si>
    <t>F. Headtube Length</t>
  </si>
  <si>
    <t>head_tube_angle</t>
  </si>
  <si>
    <t>G. Headtube Angle</t>
  </si>
  <si>
    <t>seat_tube_angle</t>
  </si>
  <si>
    <t>H. Seat Tube Angle</t>
  </si>
  <si>
    <t>bottom_bracket_drop</t>
  </si>
  <si>
    <t>I. BB Drop</t>
  </si>
  <si>
    <t>chainstay_length</t>
  </si>
  <si>
    <t>K. Chainstay Length</t>
  </si>
  <si>
    <t>axle_crown</t>
  </si>
  <si>
    <t>L. Fork Length Axle to Crown</t>
  </si>
  <si>
    <t>fork_offset_rake</t>
  </si>
  <si>
    <t>M. Fork Offset</t>
  </si>
  <si>
    <t>wheelbase</t>
  </si>
  <si>
    <t>N. Wheelbase</t>
  </si>
  <si>
    <t>crank_length</t>
  </si>
  <si>
    <t>Crank Arm Length</t>
  </si>
  <si>
    <t>handlebar_width</t>
  </si>
  <si>
    <t>Handlebar Width</t>
  </si>
  <si>
    <t>stem_length</t>
  </si>
  <si>
    <t>Stem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</si>
  <si>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</si>
  <si>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</si>
  <si>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</si>
  <si>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</si>
  <si>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</si>
  <si>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</si>
  <si>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</si>
  <si>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</si>
  <si>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</si>
  <si>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</si>
  <si>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</si>
  <si>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</si>
  <si>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</si>
  <si>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</si>
  <si>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</si>
  <si>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</si>
  <si>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</si>
  <si>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</si>
  <si>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</si>
  <si>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</si>
  <si>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</si>
  <si>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</si>
  <si>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</si>
  <si>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</si>
  <si>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</si>
  <si>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</si>
  <si>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</si>
  <si>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</si>
  <si>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</si>
  <si>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</si>
  <si>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</si>
  <si>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</si>
  <si>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</si>
  <si>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</si>
  <si>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</si>
  <si>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</si>
  <si>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</si>
  <si>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</si>
  <si>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</si>
  <si>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</si>
  <si>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</si>
  <si>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</si>
  <si>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</si>
  <si>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</si>
  <si>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</si>
  <si>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</si>
  <si>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</si>
  <si>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</si>
  <si>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</si>
  <si>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</si>
  <si>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Size</t>
  </si>
  <si>
    <t>J. BB Height</t>
  </si>
  <si>
    <t>Recommended Rider Height</t>
  </si>
  <si>
    <t>14.0 - 157.0</t>
  </si>
  <si>
    <t>155.0 - 165.0</t>
  </si>
  <si>
    <t>162.0 - 173.0</t>
  </si>
  <si>
    <t>170.0 - 180.0</t>
  </si>
  <si>
    <t>178.0 - 188.0</t>
  </si>
  <si>
    <t>185.0 - 193.0</t>
  </si>
  <si>
    <t>bb_height</t>
  </si>
  <si>
    <t>https://www.salsacycles.com/collections/warbird</t>
  </si>
  <si>
    <t>yes</t>
  </si>
  <si>
    <t>press fit</t>
  </si>
  <si>
    <t>rider_min_spec</t>
  </si>
  <si>
    <t>rider_max_spec</t>
  </si>
  <si>
    <t>a8:i33</t>
  </si>
  <si>
    <t>https://www.salsacycles.com/cdn/shop/files/salsa-warbird-c-force-axs-wide-bike-black-BK01421-1920x1080-uc-1.png?v=1738780114</t>
  </si>
  <si>
    <t>location</t>
  </si>
  <si>
    <t>Bloomington, Minnesota, USA</t>
  </si>
  <si>
    <t>USD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</si>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</sst>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topLeftCell="A39" workbookViewId="0">
      <selection activeCell="B60" sqref="B60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>
        <v>2025</v>
      </c>
    </row>
    <row r="4" spans="1:9" x14ac:dyDescent="0.3">
      <c r="A4" t="s">
        <v>5</v>
      </c>
      <c r="B4" s="1">
        <v>45887</v>
      </c>
    </row>
    <row r="5" spans="1:9" x14ac:dyDescent="0.3">
      <c r="A5" t="s">
        <v>6</v>
      </c>
      <c r="B5" t="s">
        <v>108</v>
      </c>
    </row>
    <row r="6" spans="1:9" x14ac:dyDescent="0.3">
      <c r="B6" t="s">
        <v>114</v>
      </c>
    </row>
    <row r="7" spans="1:9" x14ac:dyDescent="0.3">
      <c r="A7" t="s">
        <v>7</v>
      </c>
      <c r="B7" s="4" t="s">
        <v>113</v>
      </c>
    </row>
    <row r="8" spans="1:9" x14ac:dyDescent="0.3">
      <c r="A8" t="s">
        <v>8</v>
      </c>
      <c r="B8" s="2" t="s">
        <v>98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</row>
    <row r="9" spans="1:9" x14ac:dyDescent="0.3">
      <c r="A9" t="s">
        <v>16</v>
      </c>
      <c r="B9" s="2" t="s">
        <v>17</v>
      </c>
      <c r="C9" s="3">
        <v>499</v>
      </c>
      <c r="D9" s="3">
        <v>525</v>
      </c>
      <c r="E9" s="3">
        <v>545</v>
      </c>
      <c r="F9" s="3">
        <v>560</v>
      </c>
      <c r="G9" s="3">
        <v>575</v>
      </c>
      <c r="H9" s="3">
        <v>590</v>
      </c>
      <c r="I9" s="3">
        <v>610</v>
      </c>
    </row>
    <row r="10" spans="1:9" x14ac:dyDescent="0.3">
      <c r="A10" t="s">
        <v>18</v>
      </c>
      <c r="B10" s="2" t="s">
        <v>19</v>
      </c>
      <c r="C10" s="3">
        <v>670.2</v>
      </c>
      <c r="D10" s="3">
        <v>714.48</v>
      </c>
      <c r="E10" s="3">
        <v>744.3</v>
      </c>
      <c r="F10" s="3">
        <v>770.11</v>
      </c>
      <c r="G10" s="3">
        <v>785.96</v>
      </c>
      <c r="H10" s="3">
        <v>808.4</v>
      </c>
      <c r="I10" s="3">
        <v>830.55</v>
      </c>
    </row>
    <row r="11" spans="1:9" x14ac:dyDescent="0.3">
      <c r="A11" t="s">
        <v>20</v>
      </c>
      <c r="B11" s="2" t="s">
        <v>21</v>
      </c>
      <c r="C11" s="3">
        <v>360.24</v>
      </c>
      <c r="D11" s="3">
        <v>368.13</v>
      </c>
      <c r="E11" s="3">
        <v>371.97</v>
      </c>
      <c r="F11" s="3">
        <v>381.19</v>
      </c>
      <c r="G11" s="3">
        <v>390.42</v>
      </c>
      <c r="H11" s="3">
        <v>399.65</v>
      </c>
      <c r="I11" s="3">
        <v>407.74</v>
      </c>
    </row>
    <row r="12" spans="1:9" x14ac:dyDescent="0.3">
      <c r="A12" s="4" t="s">
        <v>22</v>
      </c>
      <c r="B12" s="2" t="s">
        <v>23</v>
      </c>
      <c r="C12" s="3">
        <v>517.85</v>
      </c>
      <c r="D12" s="3">
        <v>547.09</v>
      </c>
      <c r="E12" s="3">
        <v>565.97</v>
      </c>
      <c r="F12" s="3">
        <v>584.85</v>
      </c>
      <c r="G12" s="3">
        <v>603.73</v>
      </c>
      <c r="H12" s="3">
        <v>622.61</v>
      </c>
      <c r="I12" s="3">
        <v>641.5</v>
      </c>
    </row>
    <row r="13" spans="1:9" x14ac:dyDescent="0.3">
      <c r="A13" t="s">
        <v>24</v>
      </c>
      <c r="B13" s="2" t="s">
        <v>25</v>
      </c>
      <c r="C13" s="3">
        <v>390</v>
      </c>
      <c r="D13" s="3">
        <v>440</v>
      </c>
      <c r="E13" s="3">
        <v>475</v>
      </c>
      <c r="F13" s="3">
        <v>510</v>
      </c>
      <c r="G13" s="3">
        <v>520</v>
      </c>
      <c r="H13" s="3">
        <v>545</v>
      </c>
      <c r="I13" s="3">
        <v>570</v>
      </c>
    </row>
    <row r="14" spans="1:9" x14ac:dyDescent="0.3">
      <c r="A14" t="s">
        <v>26</v>
      </c>
      <c r="B14" s="2" t="s">
        <v>27</v>
      </c>
      <c r="C14" s="3">
        <v>90</v>
      </c>
      <c r="D14" s="3">
        <v>120</v>
      </c>
      <c r="E14" s="3">
        <v>140</v>
      </c>
      <c r="F14" s="3">
        <v>160</v>
      </c>
      <c r="G14" s="3">
        <v>180</v>
      </c>
      <c r="H14" s="3">
        <v>200</v>
      </c>
      <c r="I14" s="3">
        <v>220</v>
      </c>
    </row>
    <row r="15" spans="1:9" x14ac:dyDescent="0.3">
      <c r="A15" t="s">
        <v>28</v>
      </c>
      <c r="B15" s="2" t="s">
        <v>29</v>
      </c>
      <c r="C15" s="3">
        <v>71</v>
      </c>
      <c r="D15" s="3">
        <v>70.75</v>
      </c>
      <c r="E15" s="3">
        <v>70.75</v>
      </c>
      <c r="F15" s="3">
        <v>70.75</v>
      </c>
      <c r="G15" s="3">
        <v>70.75</v>
      </c>
      <c r="H15" s="3">
        <v>70.75</v>
      </c>
      <c r="I15" s="3">
        <v>70.75</v>
      </c>
    </row>
    <row r="16" spans="1:9" x14ac:dyDescent="0.3">
      <c r="A16" t="s">
        <v>30</v>
      </c>
      <c r="B16" s="2" t="s">
        <v>31</v>
      </c>
      <c r="C16" s="3">
        <v>75</v>
      </c>
      <c r="D16" s="3">
        <v>74</v>
      </c>
      <c r="E16" s="3">
        <v>73</v>
      </c>
      <c r="F16" s="3">
        <v>73</v>
      </c>
      <c r="G16" s="3">
        <v>73</v>
      </c>
      <c r="H16" s="3">
        <v>73</v>
      </c>
      <c r="I16" s="3">
        <v>72.5</v>
      </c>
    </row>
    <row r="17" spans="1:9" x14ac:dyDescent="0.3">
      <c r="A17" t="s">
        <v>32</v>
      </c>
      <c r="B17" s="2" t="s">
        <v>33</v>
      </c>
      <c r="C17" s="3">
        <v>70</v>
      </c>
      <c r="D17" s="3">
        <v>70</v>
      </c>
      <c r="E17" s="3">
        <v>70</v>
      </c>
      <c r="F17" s="3">
        <v>70</v>
      </c>
      <c r="G17" s="3">
        <v>70</v>
      </c>
      <c r="H17" s="3">
        <v>70</v>
      </c>
      <c r="I17" s="3">
        <v>70</v>
      </c>
    </row>
    <row r="18" spans="1:9" x14ac:dyDescent="0.3">
      <c r="A18" s="4" t="s">
        <v>107</v>
      </c>
      <c r="B18" s="2" t="s">
        <v>99</v>
      </c>
      <c r="C18" s="3">
        <v>279</v>
      </c>
      <c r="D18" s="3">
        <v>279</v>
      </c>
      <c r="E18" s="3">
        <v>279</v>
      </c>
      <c r="F18" s="3">
        <v>279</v>
      </c>
      <c r="G18" s="3">
        <v>279</v>
      </c>
      <c r="H18" s="3">
        <v>279</v>
      </c>
      <c r="I18" s="3">
        <v>279</v>
      </c>
    </row>
    <row r="19" spans="1:9" x14ac:dyDescent="0.3">
      <c r="A19" t="s">
        <v>34</v>
      </c>
      <c r="B19" s="2" t="s">
        <v>35</v>
      </c>
      <c r="C19" s="3">
        <v>430</v>
      </c>
      <c r="D19" s="3">
        <v>430</v>
      </c>
      <c r="E19" s="3">
        <v>430</v>
      </c>
      <c r="F19" s="3">
        <v>430</v>
      </c>
      <c r="G19" s="3">
        <v>430</v>
      </c>
      <c r="H19" s="3">
        <v>430</v>
      </c>
      <c r="I19" s="3">
        <v>430</v>
      </c>
    </row>
    <row r="20" spans="1:9" x14ac:dyDescent="0.3">
      <c r="A20" t="s">
        <v>36</v>
      </c>
      <c r="B20" s="2" t="s">
        <v>37</v>
      </c>
      <c r="C20" s="3">
        <v>405</v>
      </c>
      <c r="D20" s="3">
        <v>405</v>
      </c>
      <c r="E20" s="3">
        <v>405</v>
      </c>
      <c r="F20" s="3">
        <v>405</v>
      </c>
      <c r="G20" s="3">
        <v>405</v>
      </c>
      <c r="H20" s="3">
        <v>405</v>
      </c>
      <c r="I20" s="3">
        <v>405</v>
      </c>
    </row>
    <row r="21" spans="1:9" x14ac:dyDescent="0.3">
      <c r="A21" t="s">
        <v>38</v>
      </c>
      <c r="B21" s="2" t="s">
        <v>39</v>
      </c>
      <c r="C21" s="3">
        <v>50</v>
      </c>
      <c r="D21" s="3">
        <v>50</v>
      </c>
      <c r="E21" s="3">
        <v>50</v>
      </c>
      <c r="F21" s="3">
        <v>50</v>
      </c>
      <c r="G21" s="3">
        <v>50</v>
      </c>
      <c r="H21" s="3">
        <v>50</v>
      </c>
      <c r="I21" s="3">
        <v>50</v>
      </c>
    </row>
    <row r="22" spans="1:9" x14ac:dyDescent="0.3">
      <c r="A22" t="s">
        <v>40</v>
      </c>
      <c r="B22" s="2" t="s">
        <v>41</v>
      </c>
      <c r="C22" s="3">
        <v>996.14</v>
      </c>
      <c r="D22" s="3">
        <v>1011.96</v>
      </c>
      <c r="E22" s="3">
        <v>1022.39</v>
      </c>
      <c r="F22" s="3">
        <v>1038.21</v>
      </c>
      <c r="G22" s="3">
        <v>1054.03</v>
      </c>
      <c r="H22" s="3">
        <v>1069.8499999999999</v>
      </c>
      <c r="I22" s="3">
        <v>1084.54</v>
      </c>
    </row>
    <row r="23" spans="1:9" x14ac:dyDescent="0.3">
      <c r="A23" t="s">
        <v>42</v>
      </c>
      <c r="B23" s="2" t="s">
        <v>43</v>
      </c>
      <c r="C23" s="3">
        <v>165</v>
      </c>
      <c r="D23" s="3">
        <v>170</v>
      </c>
      <c r="E23" s="3">
        <v>170</v>
      </c>
      <c r="F23" s="3">
        <v>172.5</v>
      </c>
      <c r="G23" s="3">
        <v>172.5</v>
      </c>
      <c r="H23" s="3">
        <v>175</v>
      </c>
      <c r="I23" s="3">
        <v>175</v>
      </c>
    </row>
    <row r="24" spans="1:9" x14ac:dyDescent="0.3">
      <c r="A24" t="s">
        <v>44</v>
      </c>
      <c r="B24" s="2" t="s">
        <v>45</v>
      </c>
      <c r="C24" s="3">
        <v>380</v>
      </c>
      <c r="D24" s="3">
        <v>400</v>
      </c>
      <c r="E24" s="3">
        <v>420</v>
      </c>
      <c r="F24" s="3">
        <v>440</v>
      </c>
      <c r="G24" s="3">
        <v>460</v>
      </c>
      <c r="H24" s="3">
        <v>460</v>
      </c>
      <c r="I24" s="3">
        <v>460</v>
      </c>
    </row>
    <row r="25" spans="1:9" x14ac:dyDescent="0.3">
      <c r="A25" t="s">
        <v>46</v>
      </c>
      <c r="B25" s="2" t="s">
        <v>47</v>
      </c>
      <c r="C25" s="3">
        <v>60</v>
      </c>
      <c r="D25" s="3">
        <v>70</v>
      </c>
      <c r="E25" s="3">
        <v>80</v>
      </c>
      <c r="F25" s="3">
        <v>90</v>
      </c>
      <c r="G25" s="3">
        <v>90</v>
      </c>
      <c r="H25" s="3">
        <v>100</v>
      </c>
      <c r="I25" s="3">
        <v>110</v>
      </c>
    </row>
    <row r="26" spans="1:9" x14ac:dyDescent="0.3">
      <c r="A26" t="s">
        <v>48</v>
      </c>
    </row>
    <row r="27" spans="1:9" x14ac:dyDescent="0.3">
      <c r="A27" t="s">
        <v>49</v>
      </c>
      <c r="C27" s="3">
        <v>700</v>
      </c>
      <c r="D27" s="3">
        <v>700</v>
      </c>
      <c r="E27" s="3">
        <v>700</v>
      </c>
      <c r="F27" s="3">
        <v>700</v>
      </c>
      <c r="G27" s="3">
        <v>700</v>
      </c>
      <c r="H27" s="3">
        <v>700</v>
      </c>
      <c r="I27" s="3">
        <v>700</v>
      </c>
    </row>
    <row r="28" spans="1:9" x14ac:dyDescent="0.3">
      <c r="A28" t="s">
        <v>50</v>
      </c>
      <c r="B28" t="s">
        <v>50</v>
      </c>
      <c r="C28">
        <v>42</v>
      </c>
      <c r="D28">
        <v>42</v>
      </c>
      <c r="E28">
        <v>42</v>
      </c>
      <c r="F28">
        <v>42</v>
      </c>
      <c r="G28">
        <v>42</v>
      </c>
      <c r="H28">
        <v>42</v>
      </c>
      <c r="I28">
        <v>42</v>
      </c>
    </row>
    <row r="29" spans="1:9" x14ac:dyDescent="0.3">
      <c r="A29" t="s">
        <v>51</v>
      </c>
      <c r="B29" t="s">
        <v>51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  <c r="I29">
        <v>45</v>
      </c>
    </row>
    <row r="30" spans="1:9" x14ac:dyDescent="0.3">
      <c r="A30" t="s">
        <v>52</v>
      </c>
      <c r="B30" t="s">
        <v>52</v>
      </c>
      <c r="C30">
        <v>142</v>
      </c>
      <c r="D30">
        <f>AVERAGE(D32,C33)</f>
        <v>156</v>
      </c>
      <c r="E30">
        <f t="shared" ref="E30:I30" si="0">AVERAGE(E32,D33)</f>
        <v>163.5</v>
      </c>
      <c r="F30">
        <f t="shared" si="0"/>
        <v>171.5</v>
      </c>
      <c r="G30">
        <f t="shared" si="0"/>
        <v>179</v>
      </c>
      <c r="H30">
        <f t="shared" si="0"/>
        <v>186.5</v>
      </c>
      <c r="I30">
        <f t="shared" si="0"/>
        <v>191.5</v>
      </c>
    </row>
    <row r="31" spans="1:9" x14ac:dyDescent="0.3">
      <c r="A31" t="s">
        <v>53</v>
      </c>
      <c r="B31" t="s">
        <v>53</v>
      </c>
      <c r="C31">
        <f>D30</f>
        <v>156</v>
      </c>
      <c r="D31">
        <f t="shared" ref="D31:H31" si="1">E30</f>
        <v>163.5</v>
      </c>
      <c r="E31">
        <f t="shared" si="1"/>
        <v>171.5</v>
      </c>
      <c r="F31">
        <f t="shared" si="1"/>
        <v>179</v>
      </c>
      <c r="G31">
        <f t="shared" si="1"/>
        <v>186.5</v>
      </c>
      <c r="H31">
        <f t="shared" si="1"/>
        <v>191.5</v>
      </c>
      <c r="I31">
        <v>200</v>
      </c>
    </row>
    <row r="32" spans="1:9" x14ac:dyDescent="0.3">
      <c r="A32" s="4" t="s">
        <v>111</v>
      </c>
      <c r="C32">
        <v>150</v>
      </c>
      <c r="D32">
        <v>155</v>
      </c>
      <c r="E32">
        <v>162</v>
      </c>
      <c r="F32">
        <v>170</v>
      </c>
      <c r="G32">
        <v>178</v>
      </c>
      <c r="H32">
        <v>185</v>
      </c>
      <c r="I32">
        <v>190</v>
      </c>
    </row>
    <row r="33" spans="1:10" x14ac:dyDescent="0.3">
      <c r="A33" s="4" t="s">
        <v>112</v>
      </c>
      <c r="C33">
        <v>157</v>
      </c>
      <c r="D33">
        <v>165</v>
      </c>
      <c r="E33">
        <v>173</v>
      </c>
      <c r="F33">
        <v>180</v>
      </c>
      <c r="G33">
        <v>188</v>
      </c>
      <c r="H33">
        <v>193</v>
      </c>
      <c r="I33">
        <v>200</v>
      </c>
    </row>
    <row r="34" spans="1:10" x14ac:dyDescent="0.3">
      <c r="C34" s="3" t="s">
        <v>101</v>
      </c>
      <c r="D34" s="3" t="s">
        <v>102</v>
      </c>
      <c r="E34" s="3" t="s">
        <v>103</v>
      </c>
      <c r="F34" s="3" t="s">
        <v>104</v>
      </c>
      <c r="G34" s="3" t="s">
        <v>105</v>
      </c>
      <c r="H34" s="3" t="s">
        <v>106</v>
      </c>
      <c r="I34" s="3">
        <v>190</v>
      </c>
      <c r="J34" s="2" t="s">
        <v>100</v>
      </c>
    </row>
    <row r="35" spans="1:10" x14ac:dyDescent="0.3">
      <c r="A35" t="s">
        <v>54</v>
      </c>
      <c r="B35" t="s">
        <v>55</v>
      </c>
    </row>
    <row r="36" spans="1:10" x14ac:dyDescent="0.3">
      <c r="A36" t="s">
        <v>92</v>
      </c>
      <c r="B36" t="s">
        <v>93</v>
      </c>
    </row>
    <row r="37" spans="1:10" x14ac:dyDescent="0.3">
      <c r="A37" t="s">
        <v>94</v>
      </c>
      <c r="B37" t="s">
        <v>95</v>
      </c>
    </row>
    <row r="38" spans="1:10" x14ac:dyDescent="0.3">
      <c r="A38" t="s">
        <v>96</v>
      </c>
      <c r="B38" t="s">
        <v>97</v>
      </c>
    </row>
    <row r="39" spans="1:10" x14ac:dyDescent="0.3">
      <c r="A39" t="s">
        <v>56</v>
      </c>
      <c r="B39" t="s">
        <v>57</v>
      </c>
    </row>
    <row r="40" spans="1:10" x14ac:dyDescent="0.3">
      <c r="A40" t="s">
        <v>58</v>
      </c>
      <c r="B40" s="4" t="s">
        <v>109</v>
      </c>
    </row>
    <row r="41" spans="1:10" x14ac:dyDescent="0.3">
      <c r="A41" t="s">
        <v>59</v>
      </c>
    </row>
    <row r="42" spans="1:10" x14ac:dyDescent="0.3">
      <c r="A42" t="s">
        <v>60</v>
      </c>
      <c r="B42">
        <v>45</v>
      </c>
    </row>
    <row r="43" spans="1:10" x14ac:dyDescent="0.3">
      <c r="A43" t="s">
        <v>61</v>
      </c>
      <c r="B43">
        <v>51</v>
      </c>
    </row>
    <row r="44" spans="1:10" x14ac:dyDescent="0.3">
      <c r="A44" t="s">
        <v>62</v>
      </c>
    </row>
    <row r="45" spans="1:10" x14ac:dyDescent="0.3">
      <c r="A45" t="s">
        <v>63</v>
      </c>
    </row>
    <row r="46" spans="1:10" x14ac:dyDescent="0.3">
      <c r="A46" t="s">
        <v>64</v>
      </c>
    </row>
    <row r="47" spans="1:10" x14ac:dyDescent="0.3">
      <c r="A47" t="s">
        <v>65</v>
      </c>
    </row>
    <row r="48" spans="1:10" x14ac:dyDescent="0.3">
      <c r="A48" t="s">
        <v>66</v>
      </c>
      <c r="B48">
        <v>142</v>
      </c>
    </row>
    <row r="49" spans="1:2" x14ac:dyDescent="0.3">
      <c r="A49" t="s">
        <v>67</v>
      </c>
      <c r="B49">
        <v>100</v>
      </c>
    </row>
    <row r="50" spans="1:2" x14ac:dyDescent="0.3">
      <c r="A50" t="s">
        <v>68</v>
      </c>
      <c r="B50" s="4" t="s">
        <v>110</v>
      </c>
    </row>
    <row r="51" spans="1:2" x14ac:dyDescent="0.3">
      <c r="A51" t="s">
        <v>69</v>
      </c>
    </row>
    <row r="52" spans="1:2" x14ac:dyDescent="0.3">
      <c r="A52" t="s">
        <v>70</v>
      </c>
      <c r="B52">
        <v>27.2</v>
      </c>
    </row>
    <row r="53" spans="1:2" x14ac:dyDescent="0.3">
      <c r="A53" t="s">
        <v>71</v>
      </c>
      <c r="B53" s="4" t="s">
        <v>109</v>
      </c>
    </row>
    <row r="54" spans="1:2" x14ac:dyDescent="0.3">
      <c r="A54" t="s">
        <v>72</v>
      </c>
      <c r="B54">
        <v>44</v>
      </c>
    </row>
    <row r="55" spans="1:2" x14ac:dyDescent="0.3">
      <c r="A55" t="s">
        <v>73</v>
      </c>
      <c r="B55" s="4">
        <v>52</v>
      </c>
    </row>
    <row r="56" spans="1:2" x14ac:dyDescent="0.3">
      <c r="A56" t="s">
        <v>74</v>
      </c>
    </row>
    <row r="57" spans="1:2" x14ac:dyDescent="0.3">
      <c r="A57" t="s">
        <v>75</v>
      </c>
    </row>
    <row r="58" spans="1:2" x14ac:dyDescent="0.3">
      <c r="A58" t="s">
        <v>76</v>
      </c>
    </row>
    <row r="59" spans="1:2" x14ac:dyDescent="0.3">
      <c r="A59" t="s">
        <v>77</v>
      </c>
    </row>
    <row r="60" spans="1:2" x14ac:dyDescent="0.3">
      <c r="A60" t="s">
        <v>78</v>
      </c>
      <c r="B60" t="s">
        <v>118</v>
      </c>
    </row>
    <row r="61" spans="1:2" x14ac:dyDescent="0.3">
      <c r="A61" t="s">
        <v>79</v>
      </c>
    </row>
    <row r="62" spans="1:2" x14ac:dyDescent="0.3">
      <c r="A62" t="s">
        <v>80</v>
      </c>
    </row>
    <row r="63" spans="1:2" x14ac:dyDescent="0.3">
      <c r="A63" t="s">
        <v>81</v>
      </c>
      <c r="B63">
        <v>2</v>
      </c>
    </row>
    <row r="64" spans="1:2" x14ac:dyDescent="0.3">
      <c r="A64" t="s">
        <v>82</v>
      </c>
      <c r="B64">
        <v>1</v>
      </c>
    </row>
    <row r="65" spans="1:2" x14ac:dyDescent="0.3">
      <c r="A65" t="s">
        <v>83</v>
      </c>
      <c r="B65">
        <v>1</v>
      </c>
    </row>
    <row r="66" spans="1:2" x14ac:dyDescent="0.3">
      <c r="A66" t="s">
        <v>84</v>
      </c>
      <c r="B66" s="4" t="s">
        <v>109</v>
      </c>
    </row>
    <row r="67" spans="1:2" x14ac:dyDescent="0.3">
      <c r="A67" t="s">
        <v>85</v>
      </c>
      <c r="B67" s="4" t="s">
        <v>109</v>
      </c>
    </row>
    <row r="68" spans="1:2" x14ac:dyDescent="0.3">
      <c r="A68" t="s">
        <v>86</v>
      </c>
      <c r="B68" s="4" t="s">
        <v>109</v>
      </c>
    </row>
    <row r="69" spans="1:2" x14ac:dyDescent="0.3">
      <c r="A69" t="s">
        <v>87</v>
      </c>
    </row>
    <row r="70" spans="1:2" x14ac:dyDescent="0.3">
      <c r="A70" t="s">
        <v>88</v>
      </c>
      <c r="B70">
        <v>2199</v>
      </c>
    </row>
    <row r="71" spans="1:2" x14ac:dyDescent="0.3">
      <c r="A71" t="s">
        <v>89</v>
      </c>
      <c r="B71">
        <v>3199</v>
      </c>
    </row>
    <row r="72" spans="1:2" x14ac:dyDescent="0.3">
      <c r="A72" t="s">
        <v>90</v>
      </c>
    </row>
    <row r="73" spans="1:2" x14ac:dyDescent="0.3">
      <c r="A73" t="s">
        <v>91</v>
      </c>
      <c r="B73" s="4" t="s">
        <v>117</v>
      </c>
    </row>
    <row r="74" spans="1:2" x14ac:dyDescent="0.3">
      <c r="A74" t="s">
        <v>115</v>
      </c>
      <c r="B74" t="s">
        <v>116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2025-11-02T14:53:18Z</dcterms:modified>
</cp:coreProperties>
</file>