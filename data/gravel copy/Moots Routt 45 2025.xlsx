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25D86372-F973-5246-88AA-C21D72973628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E8" i="1"/>
  <c r="F8" i="1"/>
  <c r="G8" i="1"/>
  <c r="H8" i="1"/>
  <c r="I8" i="1"/>
  <c r="D9" i="1"/>
  <c r="E9" i="1"/>
  <c r="F9" i="1"/>
  <c r="G9" i="1"/>
  <c r="H9" i="1"/>
  <c r="I9" i="1"/>
  <c r="D10" i="1"/>
  <c r="E10" i="1"/>
  <c r="F10" i="1"/>
  <c r="G10" i="1"/>
  <c r="H10" i="1"/>
  <c r="I10" i="1"/>
  <c r="D11" i="1"/>
  <c r="E11" i="1"/>
  <c r="F11" i="1"/>
  <c r="G11" i="1"/>
  <c r="H11" i="1"/>
  <c r="I11" i="1"/>
  <c r="D12" i="1"/>
  <c r="E12" i="1"/>
  <c r="F12" i="1"/>
  <c r="G12" i="1"/>
  <c r="H12" i="1"/>
  <c r="I12" i="1"/>
  <c r="D13" i="1"/>
  <c r="E13" i="1"/>
  <c r="F13" i="1"/>
  <c r="G13" i="1"/>
  <c r="H13" i="1"/>
  <c r="I13" i="1"/>
  <c r="D14" i="1"/>
  <c r="E14" i="1"/>
  <c r="F14" i="1"/>
  <c r="G14" i="1"/>
  <c r="H14" i="1"/>
  <c r="I14" i="1"/>
  <c r="D15" i="1"/>
  <c r="E15" i="1"/>
  <c r="F15" i="1"/>
  <c r="G15" i="1"/>
  <c r="H15" i="1"/>
  <c r="I15" i="1"/>
  <c r="D16" i="1"/>
  <c r="E16" i="1"/>
  <c r="F16" i="1"/>
  <c r="G16" i="1"/>
  <c r="H16" i="1"/>
  <c r="I16" i="1"/>
  <c r="C16" i="1"/>
  <c r="C15" i="1"/>
  <c r="C14" i="1"/>
  <c r="C13" i="1"/>
  <c r="C12" i="1"/>
  <c r="C10" i="1"/>
  <c r="C11" i="1"/>
  <c r="C9" i="1"/>
  <c r="C8" i="1"/>
  <c r="I30" i="1"/>
  <c r="I29" i="1"/>
  <c r="H30" i="1" s="1"/>
  <c r="E29" i="1"/>
  <c r="D30" i="1" s="1"/>
  <c r="F29" i="1"/>
  <c r="E30" i="1" s="1"/>
  <c r="G29" i="1"/>
  <c r="F30" i="1" s="1"/>
  <c r="H29" i="1"/>
  <c r="G30" i="1" s="1"/>
  <c r="C29" i="1"/>
  <c r="D29" i="1"/>
  <c r="C30" i="1" s="1"/>
</calcChain>
</file>

<file path=xl/sharedStrings.xml><?xml version="1.0" encoding="utf-8"?>
<sst xmlns="http://schemas.openxmlformats.org/spreadsheetml/2006/main" count="104" uniqueCount="97">
  <si>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</si>
  <si>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</si>
  <si>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</si>
  <si>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</si>
  <si>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</si>
  <si>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</si>
  <si>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</si>
  <si>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</si>
  <si>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</si>
  <si>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</si>
  <si>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</si>
  <si>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</si>
  <si>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</si>
  <si>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</si>
  <si>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</si>
  <si>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</si>
  <si>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</si>
  <si>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</si>
  <si>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</si>
  <si>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</si>
  <si>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</si>
  <si>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</si>
  <si>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</si>
  <si>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</si>
  <si>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</si>
  <si>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</si>
  <si>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</si>
  <si>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</si>
  <si>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</si>
  <si>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</si>
  <si>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</si>
  <si>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</si>
  <si>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</si>
  <si>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</si>
  <si>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</si>
  <si>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</si>
  <si>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</si>
  <si>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</si>
  <si>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</si>
  <si>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</si>
  <si>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</si>
  <si>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</si>
  <si>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</si>
  <si>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</si>
  <si>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</si>
  <si>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</si>
  <si>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</si>
  <si>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</si>
  <si>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</si>
  <si>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</si>
  <si>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</si>
  <si>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</si>
  <si>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</si>
  <si>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</si>
  <si>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</si>
  <si>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</si>
  <si>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</si>
  <si>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</si>
  <si>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</si>
  <si>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</si>
  <si>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</si>
  <si>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</si>
  <si>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</si>
  <si>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</si>
  <si>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</si>
  <si>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</si>
  <si>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</si>
  <si>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</si>
  <si>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</si>
  <si>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yes</t>
  </si>
  <si>
    <t>Stack</t>
  </si>
  <si>
    <t>Reach</t>
  </si>
  <si>
    <t>Head Angle</t>
  </si>
  <si>
    <t>Seat Angle</t>
  </si>
  <si>
    <t>Moots</t>
  </si>
  <si>
    <t>titanium</t>
  </si>
  <si>
    <t>threaded</t>
  </si>
  <si>
    <t>rider_min_spec</t>
  </si>
  <si>
    <t>rider_max_spec</t>
  </si>
  <si>
    <t>drop bar</t>
  </si>
  <si>
    <t>gravel</t>
  </si>
  <si>
    <t>rigid</t>
  </si>
  <si>
    <t>Frame Size (cm)</t>
  </si>
  <si>
    <t>Effective TT (cm)</t>
  </si>
  <si>
    <t>Seat Tube (cm)</t>
  </si>
  <si>
    <t>Head Tube (cm)</t>
  </si>
  <si>
    <t>BB Drop (cm)</t>
  </si>
  <si>
    <t>Chainstay Length (cm)</t>
  </si>
  <si>
    <t>Stand Over (in)</t>
  </si>
  <si>
    <t>Routt 45</t>
  </si>
  <si>
    <t>https://moots.com/bikes/gravel/routt-45/</t>
  </si>
  <si>
    <t>a8:i32</t>
  </si>
  <si>
    <t>internal</t>
  </si>
  <si>
    <t>https://moots.com/wp-content/uploads/2025/08/Routt-45-UDH-Trans-Am-1.jpg.webp</t>
  </si>
  <si>
    <t>location</t>
  </si>
  <si>
    <t>Steamboat Springs, Colorado, USA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</si>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</sst>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topLeftCell="A55" workbookViewId="0">
      <selection activeCell="B72" sqref="B72"/>
    </sheetView>
  </sheetViews>
  <sheetFormatPr baseColWidth="10" defaultRowHeight="20" x14ac:dyDescent="0.3"/>
  <cols>
    <col min="1" max="2" width="19.6640625" customWidth="1"/>
  </cols>
  <sheetData>
    <row r="1" spans="1:17" x14ac:dyDescent="0.3">
      <c r="A1" t="s">
        <v>0</v>
      </c>
      <c r="B1" s="1" t="s">
        <v>74</v>
      </c>
    </row>
    <row r="2" spans="1:17" x14ac:dyDescent="0.3">
      <c r="A2" t="s">
        <v>1</v>
      </c>
      <c r="B2" s="1" t="s">
        <v>89</v>
      </c>
    </row>
    <row r="3" spans="1:17" x14ac:dyDescent="0.3">
      <c r="A3" t="s">
        <v>2</v>
      </c>
      <c r="B3">
        <v>2025</v>
      </c>
    </row>
    <row r="4" spans="1:17" x14ac:dyDescent="0.3">
      <c r="A4" t="s">
        <v>3</v>
      </c>
      <c r="B4" s="2">
        <v>45889</v>
      </c>
    </row>
    <row r="5" spans="1:17" x14ac:dyDescent="0.3">
      <c r="A5" t="s">
        <v>4</v>
      </c>
      <c r="B5" t="s">
        <v>90</v>
      </c>
    </row>
    <row r="6" spans="1:17" x14ac:dyDescent="0.3">
      <c r="B6" t="s">
        <v>93</v>
      </c>
    </row>
    <row r="7" spans="1:17" x14ac:dyDescent="0.3">
      <c r="A7" t="s">
        <v>5</v>
      </c>
      <c r="B7" s="1" t="s">
        <v>91</v>
      </c>
    </row>
    <row r="8" spans="1:17" x14ac:dyDescent="0.3">
      <c r="A8" t="s">
        <v>6</v>
      </c>
      <c r="B8" t="s">
        <v>82</v>
      </c>
      <c r="C8">
        <f>K8</f>
        <v>50</v>
      </c>
      <c r="D8">
        <f t="shared" ref="D8:I8" si="0">L8</f>
        <v>52</v>
      </c>
      <c r="E8">
        <f t="shared" si="0"/>
        <v>54</v>
      </c>
      <c r="F8">
        <f t="shared" si="0"/>
        <v>55</v>
      </c>
      <c r="G8">
        <f t="shared" si="0"/>
        <v>56</v>
      </c>
      <c r="H8">
        <f t="shared" si="0"/>
        <v>58</v>
      </c>
      <c r="I8">
        <f t="shared" si="0"/>
        <v>60</v>
      </c>
      <c r="K8">
        <v>50</v>
      </c>
      <c r="L8">
        <v>52</v>
      </c>
      <c r="M8">
        <v>54</v>
      </c>
      <c r="N8">
        <v>55</v>
      </c>
      <c r="O8">
        <v>56</v>
      </c>
      <c r="P8">
        <v>58</v>
      </c>
      <c r="Q8">
        <v>60</v>
      </c>
    </row>
    <row r="9" spans="1:17" x14ac:dyDescent="0.3">
      <c r="A9" t="s">
        <v>8</v>
      </c>
      <c r="B9" t="s">
        <v>83</v>
      </c>
      <c r="C9">
        <f>K9*10</f>
        <v>520</v>
      </c>
      <c r="D9">
        <f t="shared" ref="D9:I11" si="1">L9*10</f>
        <v>530</v>
      </c>
      <c r="E9">
        <f t="shared" si="1"/>
        <v>545</v>
      </c>
      <c r="F9">
        <f t="shared" si="1"/>
        <v>555</v>
      </c>
      <c r="G9">
        <f t="shared" si="1"/>
        <v>570</v>
      </c>
      <c r="H9">
        <f t="shared" si="1"/>
        <v>585</v>
      </c>
      <c r="I9">
        <f t="shared" si="1"/>
        <v>605</v>
      </c>
      <c r="K9">
        <v>52</v>
      </c>
      <c r="L9">
        <v>53</v>
      </c>
      <c r="M9">
        <v>54.5</v>
      </c>
      <c r="N9">
        <v>55.5</v>
      </c>
      <c r="O9">
        <v>57</v>
      </c>
      <c r="P9">
        <v>58.5</v>
      </c>
      <c r="Q9">
        <v>60.5</v>
      </c>
    </row>
    <row r="10" spans="1:17" x14ac:dyDescent="0.3">
      <c r="A10" t="s">
        <v>7</v>
      </c>
      <c r="B10" t="s">
        <v>84</v>
      </c>
      <c r="C10">
        <f t="shared" ref="C10:C11" si="2">K10*10</f>
        <v>460</v>
      </c>
      <c r="D10">
        <f t="shared" si="1"/>
        <v>480</v>
      </c>
      <c r="E10">
        <f t="shared" si="1"/>
        <v>510</v>
      </c>
      <c r="F10">
        <f t="shared" si="1"/>
        <v>520</v>
      </c>
      <c r="G10">
        <f t="shared" si="1"/>
        <v>530</v>
      </c>
      <c r="H10">
        <f t="shared" si="1"/>
        <v>550</v>
      </c>
      <c r="I10">
        <f t="shared" si="1"/>
        <v>570</v>
      </c>
      <c r="K10">
        <v>46</v>
      </c>
      <c r="L10">
        <v>48</v>
      </c>
      <c r="M10">
        <v>51</v>
      </c>
      <c r="N10">
        <v>52</v>
      </c>
      <c r="O10">
        <v>53</v>
      </c>
      <c r="P10">
        <v>55</v>
      </c>
      <c r="Q10">
        <v>57</v>
      </c>
    </row>
    <row r="11" spans="1:17" x14ac:dyDescent="0.3">
      <c r="A11" t="s">
        <v>9</v>
      </c>
      <c r="B11" t="s">
        <v>85</v>
      </c>
      <c r="C11">
        <f t="shared" si="2"/>
        <v>120</v>
      </c>
      <c r="D11">
        <f t="shared" si="1"/>
        <v>140</v>
      </c>
      <c r="E11">
        <f t="shared" si="1"/>
        <v>150</v>
      </c>
      <c r="F11">
        <f t="shared" si="1"/>
        <v>160</v>
      </c>
      <c r="G11">
        <f t="shared" si="1"/>
        <v>170</v>
      </c>
      <c r="H11">
        <f t="shared" si="1"/>
        <v>190</v>
      </c>
      <c r="I11">
        <f t="shared" si="1"/>
        <v>210</v>
      </c>
      <c r="K11">
        <v>12</v>
      </c>
      <c r="L11">
        <v>14</v>
      </c>
      <c r="M11">
        <v>15</v>
      </c>
      <c r="N11">
        <v>16</v>
      </c>
      <c r="O11">
        <v>17</v>
      </c>
      <c r="P11">
        <v>19</v>
      </c>
      <c r="Q11">
        <v>21</v>
      </c>
    </row>
    <row r="12" spans="1:17" x14ac:dyDescent="0.3">
      <c r="A12" t="s">
        <v>11</v>
      </c>
      <c r="B12" t="s">
        <v>72</v>
      </c>
      <c r="C12">
        <f>K12</f>
        <v>70.25</v>
      </c>
      <c r="D12">
        <f t="shared" ref="D12:I13" si="3">L12</f>
        <v>70.25</v>
      </c>
      <c r="E12">
        <f t="shared" si="3"/>
        <v>70.5</v>
      </c>
      <c r="F12">
        <f t="shared" si="3"/>
        <v>70.5</v>
      </c>
      <c r="G12">
        <f t="shared" si="3"/>
        <v>71</v>
      </c>
      <c r="H12">
        <f t="shared" si="3"/>
        <v>71</v>
      </c>
      <c r="I12">
        <f t="shared" si="3"/>
        <v>71.5</v>
      </c>
      <c r="K12">
        <v>70.25</v>
      </c>
      <c r="L12">
        <v>70.25</v>
      </c>
      <c r="M12">
        <v>70.5</v>
      </c>
      <c r="N12">
        <v>70.5</v>
      </c>
      <c r="O12">
        <v>71</v>
      </c>
      <c r="P12">
        <v>71</v>
      </c>
      <c r="Q12">
        <v>71.5</v>
      </c>
    </row>
    <row r="13" spans="1:17" x14ac:dyDescent="0.3">
      <c r="A13" t="s">
        <v>10</v>
      </c>
      <c r="B13" t="s">
        <v>73</v>
      </c>
      <c r="C13">
        <f>K13</f>
        <v>75</v>
      </c>
      <c r="D13">
        <f t="shared" si="3"/>
        <v>74.25</v>
      </c>
      <c r="E13">
        <f t="shared" si="3"/>
        <v>74</v>
      </c>
      <c r="F13">
        <f t="shared" si="3"/>
        <v>73.5</v>
      </c>
      <c r="G13">
        <f t="shared" si="3"/>
        <v>73.25</v>
      </c>
      <c r="H13">
        <f t="shared" si="3"/>
        <v>73</v>
      </c>
      <c r="I13">
        <f t="shared" si="3"/>
        <v>72.75</v>
      </c>
      <c r="K13">
        <v>75</v>
      </c>
      <c r="L13">
        <v>74.25</v>
      </c>
      <c r="M13">
        <v>74</v>
      </c>
      <c r="N13">
        <v>73.5</v>
      </c>
      <c r="O13">
        <v>73.25</v>
      </c>
      <c r="P13">
        <v>73</v>
      </c>
      <c r="Q13">
        <v>72.75</v>
      </c>
    </row>
    <row r="14" spans="1:17" x14ac:dyDescent="0.3">
      <c r="A14" t="s">
        <v>13</v>
      </c>
      <c r="B14" t="s">
        <v>86</v>
      </c>
      <c r="C14">
        <f t="shared" ref="C14:C15" si="4">K14*10</f>
        <v>71</v>
      </c>
      <c r="D14">
        <f t="shared" ref="D14:D15" si="5">L14*10</f>
        <v>71</v>
      </c>
      <c r="E14">
        <f t="shared" ref="E14:E15" si="6">M14*10</f>
        <v>69</v>
      </c>
      <c r="F14">
        <f t="shared" ref="F14:F15" si="7">N14*10</f>
        <v>69</v>
      </c>
      <c r="G14">
        <f t="shared" ref="G14:G15" si="8">O14*10</f>
        <v>69</v>
      </c>
      <c r="H14">
        <f t="shared" ref="H14:H15" si="9">P14*10</f>
        <v>69</v>
      </c>
      <c r="I14">
        <f t="shared" ref="I14:I15" si="10">Q14*10</f>
        <v>68</v>
      </c>
      <c r="K14">
        <v>7.1</v>
      </c>
      <c r="L14">
        <v>7.1</v>
      </c>
      <c r="M14">
        <v>6.9</v>
      </c>
      <c r="N14">
        <v>6.9</v>
      </c>
      <c r="O14">
        <v>6.9</v>
      </c>
      <c r="P14">
        <v>6.9</v>
      </c>
      <c r="Q14">
        <v>6.8</v>
      </c>
    </row>
    <row r="15" spans="1:17" x14ac:dyDescent="0.3">
      <c r="A15" t="s">
        <v>12</v>
      </c>
      <c r="B15" t="s">
        <v>87</v>
      </c>
      <c r="C15">
        <f t="shared" si="4"/>
        <v>437</v>
      </c>
      <c r="D15">
        <f t="shared" si="5"/>
        <v>437</v>
      </c>
      <c r="E15">
        <f t="shared" si="6"/>
        <v>437</v>
      </c>
      <c r="F15">
        <f t="shared" si="7"/>
        <v>437</v>
      </c>
      <c r="G15">
        <f t="shared" si="8"/>
        <v>437</v>
      </c>
      <c r="H15">
        <f t="shared" si="9"/>
        <v>437</v>
      </c>
      <c r="I15">
        <f t="shared" si="10"/>
        <v>437</v>
      </c>
      <c r="K15">
        <v>43.7</v>
      </c>
      <c r="L15">
        <v>43.7</v>
      </c>
      <c r="M15">
        <v>43.7</v>
      </c>
      <c r="N15">
        <v>43.7</v>
      </c>
      <c r="O15">
        <v>43.7</v>
      </c>
      <c r="P15">
        <v>43.7</v>
      </c>
      <c r="Q15">
        <v>43.7</v>
      </c>
    </row>
    <row r="16" spans="1:17" x14ac:dyDescent="0.3">
      <c r="A16" t="s">
        <v>15</v>
      </c>
      <c r="B16" t="s">
        <v>88</v>
      </c>
      <c r="C16" s="3">
        <f>K16*25.4</f>
        <v>762</v>
      </c>
      <c r="D16" s="3">
        <f t="shared" ref="D16:I16" si="11">L16*25.4</f>
        <v>787.4</v>
      </c>
      <c r="E16" s="3">
        <f t="shared" si="11"/>
        <v>802.64</v>
      </c>
      <c r="F16" s="3">
        <f t="shared" si="11"/>
        <v>810.25999999999988</v>
      </c>
      <c r="G16" s="3">
        <f t="shared" si="11"/>
        <v>822.95999999999992</v>
      </c>
      <c r="H16" s="3">
        <f t="shared" si="11"/>
        <v>838.19999999999993</v>
      </c>
      <c r="I16" s="3">
        <f t="shared" si="11"/>
        <v>858.51999999999987</v>
      </c>
      <c r="K16">
        <v>30</v>
      </c>
      <c r="L16">
        <v>31</v>
      </c>
      <c r="M16">
        <v>31.6</v>
      </c>
      <c r="N16">
        <v>31.9</v>
      </c>
      <c r="O16">
        <v>32.4</v>
      </c>
      <c r="P16">
        <v>33</v>
      </c>
      <c r="Q16">
        <v>33.799999999999997</v>
      </c>
    </row>
    <row r="17" spans="1:17" x14ac:dyDescent="0.3">
      <c r="A17" t="s">
        <v>16</v>
      </c>
      <c r="B17" t="s">
        <v>70</v>
      </c>
      <c r="C17">
        <v>560</v>
      </c>
      <c r="D17">
        <v>579</v>
      </c>
      <c r="E17">
        <v>587</v>
      </c>
      <c r="F17">
        <v>596</v>
      </c>
      <c r="G17">
        <v>608</v>
      </c>
      <c r="H17">
        <v>627</v>
      </c>
      <c r="I17">
        <v>647</v>
      </c>
      <c r="K17">
        <v>560</v>
      </c>
      <c r="L17">
        <v>579</v>
      </c>
      <c r="M17">
        <v>587</v>
      </c>
      <c r="N17">
        <v>596</v>
      </c>
      <c r="O17">
        <v>608</v>
      </c>
      <c r="P17">
        <v>627</v>
      </c>
      <c r="Q17">
        <v>647</v>
      </c>
    </row>
    <row r="18" spans="1:17" x14ac:dyDescent="0.3">
      <c r="A18" t="s">
        <v>17</v>
      </c>
      <c r="B18" t="s">
        <v>71</v>
      </c>
      <c r="C18">
        <v>367</v>
      </c>
      <c r="D18">
        <v>364</v>
      </c>
      <c r="E18">
        <v>374</v>
      </c>
      <c r="F18">
        <v>376</v>
      </c>
      <c r="G18">
        <v>385</v>
      </c>
      <c r="H18">
        <v>392</v>
      </c>
      <c r="I18">
        <v>403</v>
      </c>
      <c r="K18">
        <v>367</v>
      </c>
      <c r="L18">
        <v>364</v>
      </c>
      <c r="M18">
        <v>374</v>
      </c>
      <c r="N18">
        <v>376</v>
      </c>
      <c r="O18">
        <v>385</v>
      </c>
      <c r="P18">
        <v>392</v>
      </c>
      <c r="Q18">
        <v>403</v>
      </c>
    </row>
    <row r="19" spans="1:17" x14ac:dyDescent="0.3">
      <c r="A19" t="s">
        <v>18</v>
      </c>
      <c r="C19">
        <v>47</v>
      </c>
      <c r="D19">
        <v>47</v>
      </c>
      <c r="E19">
        <v>47</v>
      </c>
      <c r="F19">
        <v>47</v>
      </c>
      <c r="G19">
        <v>47</v>
      </c>
      <c r="H19">
        <v>47</v>
      </c>
      <c r="I19">
        <v>47</v>
      </c>
      <c r="K19">
        <v>47</v>
      </c>
      <c r="L19">
        <v>47</v>
      </c>
      <c r="M19">
        <v>47</v>
      </c>
      <c r="N19">
        <v>47</v>
      </c>
      <c r="O19">
        <v>47</v>
      </c>
      <c r="P19">
        <v>47</v>
      </c>
      <c r="Q19">
        <v>47</v>
      </c>
    </row>
    <row r="20" spans="1:17" x14ac:dyDescent="0.3">
      <c r="A20" s="1" t="s">
        <v>14</v>
      </c>
    </row>
    <row r="21" spans="1:17" x14ac:dyDescent="0.3">
      <c r="A21" t="s">
        <v>19</v>
      </c>
    </row>
    <row r="22" spans="1:17" x14ac:dyDescent="0.3">
      <c r="A22" t="s">
        <v>20</v>
      </c>
    </row>
    <row r="23" spans="1:17" x14ac:dyDescent="0.3">
      <c r="A23" t="s">
        <v>21</v>
      </c>
    </row>
    <row r="24" spans="1:17" x14ac:dyDescent="0.3">
      <c r="A24" t="s">
        <v>22</v>
      </c>
      <c r="C24">
        <v>395</v>
      </c>
      <c r="D24">
        <v>395</v>
      </c>
      <c r="E24">
        <v>395</v>
      </c>
      <c r="F24">
        <v>395</v>
      </c>
      <c r="G24">
        <v>395</v>
      </c>
      <c r="H24">
        <v>395</v>
      </c>
      <c r="I24">
        <v>395</v>
      </c>
    </row>
    <row r="25" spans="1:17" x14ac:dyDescent="0.3">
      <c r="A25" t="s">
        <v>23</v>
      </c>
    </row>
    <row r="26" spans="1:17" x14ac:dyDescent="0.3">
      <c r="A26" t="s">
        <v>24</v>
      </c>
      <c r="B26" t="s">
        <v>24</v>
      </c>
      <c r="C26">
        <v>700</v>
      </c>
      <c r="D26">
        <v>700</v>
      </c>
      <c r="E26">
        <v>700</v>
      </c>
      <c r="F26">
        <v>700</v>
      </c>
      <c r="G26">
        <v>700</v>
      </c>
      <c r="H26">
        <v>700</v>
      </c>
      <c r="I26">
        <v>700</v>
      </c>
    </row>
    <row r="27" spans="1:17" x14ac:dyDescent="0.3">
      <c r="A27" t="s">
        <v>25</v>
      </c>
      <c r="B27" t="s">
        <v>25</v>
      </c>
      <c r="C27">
        <v>50</v>
      </c>
      <c r="D27">
        <v>50</v>
      </c>
      <c r="E27">
        <v>50</v>
      </c>
      <c r="F27">
        <v>50</v>
      </c>
      <c r="G27">
        <v>50</v>
      </c>
      <c r="H27">
        <v>50</v>
      </c>
      <c r="I27">
        <v>50</v>
      </c>
    </row>
    <row r="28" spans="1:17" x14ac:dyDescent="0.3">
      <c r="A28" t="s">
        <v>26</v>
      </c>
      <c r="B28" t="s">
        <v>26</v>
      </c>
      <c r="C28">
        <v>50</v>
      </c>
      <c r="D28">
        <v>50</v>
      </c>
      <c r="E28">
        <v>50</v>
      </c>
      <c r="F28">
        <v>50</v>
      </c>
      <c r="G28">
        <v>50</v>
      </c>
      <c r="H28">
        <v>50</v>
      </c>
      <c r="I28">
        <v>50</v>
      </c>
    </row>
    <row r="29" spans="1:17" x14ac:dyDescent="0.3">
      <c r="A29" t="s">
        <v>27</v>
      </c>
      <c r="B29" t="s">
        <v>27</v>
      </c>
      <c r="C29">
        <f>C31</f>
        <v>160</v>
      </c>
      <c r="D29">
        <f>AVERAGE(D31,C32)</f>
        <v>166.5</v>
      </c>
      <c r="E29">
        <f t="shared" ref="E29:I29" si="12">AVERAGE(E31,D32)</f>
        <v>171.5</v>
      </c>
      <c r="F29">
        <f t="shared" si="12"/>
        <v>176.5</v>
      </c>
      <c r="G29">
        <f t="shared" si="12"/>
        <v>179</v>
      </c>
      <c r="H29">
        <f t="shared" si="12"/>
        <v>181.5</v>
      </c>
      <c r="I29">
        <f t="shared" si="12"/>
        <v>184</v>
      </c>
    </row>
    <row r="30" spans="1:17" x14ac:dyDescent="0.3">
      <c r="A30" t="s">
        <v>28</v>
      </c>
      <c r="B30" t="s">
        <v>28</v>
      </c>
      <c r="C30">
        <f>D29</f>
        <v>166.5</v>
      </c>
      <c r="D30">
        <f t="shared" ref="D30" si="13">E29</f>
        <v>171.5</v>
      </c>
      <c r="E30">
        <f t="shared" ref="E30" si="14">F29</f>
        <v>176.5</v>
      </c>
      <c r="F30">
        <f t="shared" ref="F30" si="15">G29</f>
        <v>179</v>
      </c>
      <c r="G30">
        <f t="shared" ref="G30:H30" si="16">H29</f>
        <v>181.5</v>
      </c>
      <c r="H30">
        <f t="shared" si="16"/>
        <v>184</v>
      </c>
      <c r="I30">
        <f>I32</f>
        <v>193</v>
      </c>
    </row>
    <row r="31" spans="1:17" x14ac:dyDescent="0.3">
      <c r="A31" s="1" t="s">
        <v>77</v>
      </c>
      <c r="C31">
        <v>160</v>
      </c>
      <c r="D31">
        <v>165</v>
      </c>
      <c r="E31">
        <v>170</v>
      </c>
      <c r="F31">
        <v>175</v>
      </c>
      <c r="G31">
        <v>178</v>
      </c>
      <c r="H31">
        <v>180</v>
      </c>
      <c r="I31">
        <v>183</v>
      </c>
    </row>
    <row r="32" spans="1:17" x14ac:dyDescent="0.3">
      <c r="A32" s="1" t="s">
        <v>78</v>
      </c>
      <c r="C32">
        <v>168</v>
      </c>
      <c r="D32">
        <v>173</v>
      </c>
      <c r="E32">
        <v>178</v>
      </c>
      <c r="F32">
        <v>180</v>
      </c>
      <c r="G32">
        <v>183</v>
      </c>
      <c r="H32">
        <v>185</v>
      </c>
      <c r="I32">
        <v>193</v>
      </c>
    </row>
    <row r="34" spans="1:2" x14ac:dyDescent="0.3">
      <c r="A34" t="s">
        <v>29</v>
      </c>
      <c r="B34" t="s">
        <v>30</v>
      </c>
    </row>
    <row r="35" spans="1:2" x14ac:dyDescent="0.3">
      <c r="A35" t="s">
        <v>66</v>
      </c>
      <c r="B35" s="1" t="s">
        <v>80</v>
      </c>
    </row>
    <row r="36" spans="1:2" x14ac:dyDescent="0.3">
      <c r="A36" t="s">
        <v>67</v>
      </c>
      <c r="B36" s="1" t="s">
        <v>79</v>
      </c>
    </row>
    <row r="37" spans="1:2" x14ac:dyDescent="0.3">
      <c r="A37" t="s">
        <v>68</v>
      </c>
      <c r="B37" s="1" t="s">
        <v>81</v>
      </c>
    </row>
    <row r="38" spans="1:2" x14ac:dyDescent="0.3">
      <c r="A38" t="s">
        <v>31</v>
      </c>
      <c r="B38" s="1" t="s">
        <v>75</v>
      </c>
    </row>
    <row r="39" spans="1:2" x14ac:dyDescent="0.3">
      <c r="A39" t="s">
        <v>32</v>
      </c>
      <c r="B39" s="1" t="s">
        <v>69</v>
      </c>
    </row>
    <row r="40" spans="1:2" x14ac:dyDescent="0.3">
      <c r="A40" t="s">
        <v>33</v>
      </c>
    </row>
    <row r="41" spans="1:2" x14ac:dyDescent="0.3">
      <c r="A41" t="s">
        <v>34</v>
      </c>
      <c r="B41">
        <v>50</v>
      </c>
    </row>
    <row r="42" spans="1:2" x14ac:dyDescent="0.3">
      <c r="A42" t="s">
        <v>35</v>
      </c>
    </row>
    <row r="43" spans="1:2" x14ac:dyDescent="0.3">
      <c r="A43" t="s">
        <v>36</v>
      </c>
    </row>
    <row r="44" spans="1:2" x14ac:dyDescent="0.3">
      <c r="A44" t="s">
        <v>37</v>
      </c>
    </row>
    <row r="45" spans="1:2" x14ac:dyDescent="0.3">
      <c r="A45" t="s">
        <v>38</v>
      </c>
    </row>
    <row r="46" spans="1:2" x14ac:dyDescent="0.3">
      <c r="A46" t="s">
        <v>39</v>
      </c>
    </row>
    <row r="47" spans="1:2" x14ac:dyDescent="0.3">
      <c r="A47" t="s">
        <v>40</v>
      </c>
      <c r="B47">
        <v>142</v>
      </c>
    </row>
    <row r="48" spans="1:2" x14ac:dyDescent="0.3">
      <c r="A48" t="s">
        <v>41</v>
      </c>
      <c r="B48">
        <v>100</v>
      </c>
    </row>
    <row r="49" spans="1:2" x14ac:dyDescent="0.3">
      <c r="A49" t="s">
        <v>42</v>
      </c>
      <c r="B49" s="1" t="s">
        <v>76</v>
      </c>
    </row>
    <row r="50" spans="1:2" x14ac:dyDescent="0.3">
      <c r="A50" t="s">
        <v>43</v>
      </c>
    </row>
    <row r="51" spans="1:2" x14ac:dyDescent="0.3">
      <c r="A51" t="s">
        <v>44</v>
      </c>
      <c r="B51">
        <v>27.2</v>
      </c>
    </row>
    <row r="52" spans="1:2" x14ac:dyDescent="0.3">
      <c r="A52" t="s">
        <v>45</v>
      </c>
      <c r="B52" s="1" t="s">
        <v>69</v>
      </c>
    </row>
    <row r="53" spans="1:2" x14ac:dyDescent="0.3">
      <c r="A53" t="s">
        <v>46</v>
      </c>
    </row>
    <row r="54" spans="1:2" x14ac:dyDescent="0.3">
      <c r="A54" t="s">
        <v>47</v>
      </c>
    </row>
    <row r="55" spans="1:2" x14ac:dyDescent="0.3">
      <c r="A55" t="s">
        <v>48</v>
      </c>
    </row>
    <row r="56" spans="1:2" x14ac:dyDescent="0.3">
      <c r="A56" t="s">
        <v>49</v>
      </c>
      <c r="B56">
        <v>160</v>
      </c>
    </row>
    <row r="57" spans="1:2" x14ac:dyDescent="0.3">
      <c r="A57" t="s">
        <v>50</v>
      </c>
    </row>
    <row r="58" spans="1:2" x14ac:dyDescent="0.3">
      <c r="A58" t="s">
        <v>51</v>
      </c>
      <c r="B58" s="1" t="s">
        <v>92</v>
      </c>
    </row>
    <row r="59" spans="1:2" x14ac:dyDescent="0.3">
      <c r="A59" t="s">
        <v>52</v>
      </c>
    </row>
    <row r="60" spans="1:2" x14ac:dyDescent="0.3">
      <c r="A60" t="s">
        <v>53</v>
      </c>
      <c r="B60" s="1"/>
    </row>
    <row r="61" spans="1:2" x14ac:dyDescent="0.3">
      <c r="A61" t="s">
        <v>54</v>
      </c>
    </row>
    <row r="62" spans="1:2" x14ac:dyDescent="0.3">
      <c r="A62" t="s">
        <v>55</v>
      </c>
      <c r="B62">
        <v>2</v>
      </c>
    </row>
    <row r="63" spans="1:2" x14ac:dyDescent="0.3">
      <c r="A63" t="s">
        <v>56</v>
      </c>
      <c r="B63">
        <v>1</v>
      </c>
    </row>
    <row r="64" spans="1:2" x14ac:dyDescent="0.3">
      <c r="A64" t="s">
        <v>57</v>
      </c>
    </row>
    <row r="65" spans="1:2" x14ac:dyDescent="0.3">
      <c r="A65" t="s">
        <v>58</v>
      </c>
      <c r="B65" s="1"/>
    </row>
    <row r="66" spans="1:2" x14ac:dyDescent="0.3">
      <c r="A66" t="s">
        <v>59</v>
      </c>
      <c r="B66" s="1" t="s">
        <v>69</v>
      </c>
    </row>
    <row r="67" spans="1:2" x14ac:dyDescent="0.3">
      <c r="A67" t="s">
        <v>60</v>
      </c>
    </row>
    <row r="68" spans="1:2" x14ac:dyDescent="0.3">
      <c r="A68" t="s">
        <v>61</v>
      </c>
      <c r="B68" s="1"/>
    </row>
    <row r="69" spans="1:2" x14ac:dyDescent="0.3">
      <c r="A69" t="s">
        <v>62</v>
      </c>
      <c r="B69" s="1">
        <v>5999</v>
      </c>
    </row>
    <row r="70" spans="1:2" x14ac:dyDescent="0.3">
      <c r="A70" t="s">
        <v>63</v>
      </c>
      <c r="B70">
        <v>8250</v>
      </c>
    </row>
    <row r="71" spans="1:2" x14ac:dyDescent="0.3">
      <c r="A71" t="s">
        <v>64</v>
      </c>
      <c r="B71" s="1"/>
    </row>
    <row r="72" spans="1:2" x14ac:dyDescent="0.3">
      <c r="A72" t="s">
        <v>65</v>
      </c>
      <c r="B72" s="1" t="s">
        <v>96</v>
      </c>
    </row>
    <row r="73" spans="1:2" x14ac:dyDescent="0.3">
      <c r="A73" t="s">
        <v>94</v>
      </c>
      <c r="B73" t="s">
        <v>95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2025-10-17T21:54:00Z</dcterms:modified>
</cp:coreProperties>
</file>