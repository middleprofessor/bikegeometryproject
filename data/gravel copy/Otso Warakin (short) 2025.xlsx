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058FD50-DB9C-6045-8B03-357F718989AE}" xr6:coauthVersionLast="47" xr6:coauthVersionMax="47" xr10:uidLastSave="{00000000-0000-0000-0000-000000000000}"/>
  <bookViews>
    <workbookView xWindow="103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F33" i="1"/>
  <c r="G33" i="1"/>
  <c r="H33" i="1"/>
  <c r="D34" i="1"/>
  <c r="E34" i="1"/>
  <c r="F34" i="1"/>
  <c r="G34" i="1"/>
  <c r="H34" i="1"/>
  <c r="C34" i="1"/>
  <c r="C33" i="1"/>
  <c r="D24" i="1"/>
  <c r="E24" i="1"/>
  <c r="F24" i="1"/>
  <c r="G24" i="1"/>
  <c r="H24" i="1"/>
  <c r="D25" i="1"/>
  <c r="E25" i="1"/>
  <c r="F25" i="1"/>
  <c r="G25" i="1"/>
  <c r="H25" i="1"/>
  <c r="C25" i="1"/>
  <c r="C2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C17" i="1"/>
  <c r="C16" i="1"/>
  <c r="C15" i="1"/>
</calcChain>
</file>

<file path=xl/sharedStrings.xml><?xml version="1.0" encoding="utf-8"?>
<sst xmlns="http://schemas.openxmlformats.org/spreadsheetml/2006/main" count="148" uniqueCount="134">
  <si>
    <t>brand</t>
  </si>
  <si>
    <t>Otso</t>
  </si>
  <si>
    <t>model</t>
  </si>
  <si>
    <t>model_year</t>
  </si>
  <si>
    <t>input_date</t>
  </si>
  <si>
    <t>url</t>
  </si>
  <si>
    <t>data_range</t>
  </si>
  <si>
    <t>frame_size</t>
  </si>
  <si>
    <t>49cm</t>
  </si>
  <si>
    <t>52cm</t>
  </si>
  <si>
    <t>54cm</t>
  </si>
  <si>
    <t>56cm</t>
  </si>
  <si>
    <t>58cm</t>
  </si>
  <si>
    <t>60m</t>
  </si>
  <si>
    <t>top_tube_effective_length</t>
  </si>
  <si>
    <t>Effective top tube</t>
  </si>
  <si>
    <t>head_tube_angle</t>
  </si>
  <si>
    <t>Nominal head tube angle</t>
  </si>
  <si>
    <t>head_tube_angle_correction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</si>
  <si>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</si>
  <si>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</si>
  <si>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</si>
  <si>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</si>
  <si>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</si>
  <si>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</si>
  <si>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</si>
  <si>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</si>
  <si>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chainstay_length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</si>
  <si>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</si>
  <si>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</si>
  <si>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</si>
  <si>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</si>
  <si>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</si>
  <si>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</si>
  <si>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</si>
  <si>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</si>
  <si>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</si>
  <si>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</si>
  <si>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</si>
  <si>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</si>
  <si>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</si>
  <si>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</si>
  <si>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</si>
  <si>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</si>
  <si>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</si>
  <si>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</si>
  <si>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</si>
  <si>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</si>
  <si>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</si>
  <si>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</si>
  <si>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</si>
  <si>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</si>
  <si>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</si>
  <si>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</si>
  <si>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</si>
  <si>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</si>
  <si>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</si>
  <si>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</si>
  <si>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</si>
  <si>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</si>
  <si>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</si>
  <si>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</si>
  <si>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</si>
  <si>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</si>
  <si>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</si>
  <si>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</si>
  <si>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</si>
  <si>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</si>
  <si>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</si>
  <si>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</si>
  <si>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</si>
  <si>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</si>
  <si>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</si>
  <si>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</si>
  <si>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</si>
  <si>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</si>
  <si>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</si>
  <si>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</si>
  <si>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</si>
  <si>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</si>
  <si>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</si>
  <si>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</si>
  <si>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</si>
  <si>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</si>
  <si>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</si>
  <si>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</si>
  <si>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</si>
  <si>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</si>
  <si>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</si>
  <si>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</si>
  <si>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</si>
  <si>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</si>
  <si>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</si>
  <si>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</si>
  <si>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</si>
  <si>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</si>
  <si>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https://otsocycles.com/collections/warakin-steel-bikes</t>
  </si>
  <si>
    <t>external</t>
  </si>
  <si>
    <t>yes</t>
  </si>
  <si>
    <t>internal</t>
  </si>
  <si>
    <t>4'11"-5'2"</t>
  </si>
  <si>
    <t>5'2"-5'4"</t>
  </si>
  <si>
    <t>5'4"-5'8"</t>
  </si>
  <si>
    <t>5'8"-6'0"</t>
  </si>
  <si>
    <t>6'0"-6'2"</t>
  </si>
  <si>
    <t>6'2"-6'5"</t>
  </si>
  <si>
    <t>25"-29"</t>
  </si>
  <si>
    <t>28"-30"</t>
  </si>
  <si>
    <t>30"-33"</t>
  </si>
  <si>
    <t>32"-34"</t>
  </si>
  <si>
    <t>33"-35"</t>
  </si>
  <si>
    <t>34"-37"</t>
  </si>
  <si>
    <t>Tuning Chip-induced head/seat tube angle change from middle position</t>
  </si>
  <si>
    <t>58-62</t>
  </si>
  <si>
    <t>68-72</t>
  </si>
  <si>
    <t>410-430</t>
  </si>
  <si>
    <t>420-440</t>
  </si>
  <si>
    <t>1000-1020</t>
  </si>
  <si>
    <t>1017-1037</t>
  </si>
  <si>
    <t>1023-1043</t>
  </si>
  <si>
    <t>1028-1048</t>
  </si>
  <si>
    <t>1032-1052</t>
  </si>
  <si>
    <t>1046-1066</t>
  </si>
  <si>
    <t xml:space="preserve">foreward </t>
  </si>
  <si>
    <t>head_tube_angle_nominal</t>
  </si>
  <si>
    <t>seat_tube_angle_nominal</t>
  </si>
  <si>
    <t>Recomended rider height</t>
  </si>
  <si>
    <t>Recomended rider inseam</t>
  </si>
  <si>
    <t>Warakin (short)</t>
  </si>
  <si>
    <t>a8:h34</t>
  </si>
  <si>
    <t>https://otsocycles.com/cdn/shop/files/WarakinSteel_BlueSnow_A_5845dd75-4b1b-47e7-88f2-b40b101b0a8f.jpg?v=1758898428&amp;width=2048</t>
  </si>
  <si>
    <t>USD</t>
  </si>
  <si>
    <t>location</t>
  </si>
  <si>
    <t>Burnsville,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</si>
</sst>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topLeftCell="A49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2" t="s">
        <v>128</v>
      </c>
    </row>
    <row r="3" spans="1:14" x14ac:dyDescent="0.3">
      <c r="A3" t="s">
        <v>3</v>
      </c>
      <c r="B3">
        <v>2025</v>
      </c>
    </row>
    <row r="4" spans="1:14" x14ac:dyDescent="0.3">
      <c r="A4" t="s">
        <v>4</v>
      </c>
      <c r="B4" s="1">
        <v>45907</v>
      </c>
    </row>
    <row r="5" spans="1:14" x14ac:dyDescent="0.3">
      <c r="A5" t="s">
        <v>5</v>
      </c>
      <c r="B5" t="s">
        <v>96</v>
      </c>
    </row>
    <row r="6" spans="1:14" x14ac:dyDescent="0.3">
      <c r="B6" t="s">
        <v>130</v>
      </c>
    </row>
    <row r="7" spans="1:14" x14ac:dyDescent="0.3">
      <c r="A7" t="s">
        <v>6</v>
      </c>
      <c r="B7" s="2" t="s">
        <v>129</v>
      </c>
    </row>
    <row r="8" spans="1:14" x14ac:dyDescent="0.3">
      <c r="A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</row>
    <row r="9" spans="1:14" x14ac:dyDescent="0.3">
      <c r="A9" t="s">
        <v>14</v>
      </c>
      <c r="B9" t="s">
        <v>15</v>
      </c>
      <c r="C9">
        <v>510</v>
      </c>
      <c r="D9">
        <v>530</v>
      </c>
      <c r="E9">
        <v>545</v>
      </c>
      <c r="F9">
        <v>565</v>
      </c>
      <c r="G9">
        <v>580</v>
      </c>
      <c r="H9">
        <v>600</v>
      </c>
    </row>
    <row r="10" spans="1:14" x14ac:dyDescent="0.3">
      <c r="A10" s="2" t="s">
        <v>124</v>
      </c>
      <c r="B10" t="s">
        <v>17</v>
      </c>
      <c r="C10">
        <v>70</v>
      </c>
      <c r="D10">
        <v>70.5</v>
      </c>
      <c r="E10">
        <v>71</v>
      </c>
      <c r="F10">
        <v>71.5</v>
      </c>
      <c r="G10">
        <v>72</v>
      </c>
      <c r="H10">
        <v>72</v>
      </c>
    </row>
    <row r="11" spans="1:14" x14ac:dyDescent="0.3">
      <c r="A11" t="s">
        <v>18</v>
      </c>
      <c r="B11" t="s">
        <v>112</v>
      </c>
      <c r="C11">
        <v>0.25</v>
      </c>
      <c r="D11">
        <v>0.25</v>
      </c>
      <c r="E11">
        <v>0.25</v>
      </c>
      <c r="F11">
        <v>0.25</v>
      </c>
      <c r="G11">
        <v>0.25</v>
      </c>
      <c r="H11">
        <v>0.25</v>
      </c>
    </row>
    <row r="12" spans="1:14" x14ac:dyDescent="0.3">
      <c r="A12" t="s">
        <v>19</v>
      </c>
      <c r="B12" t="s">
        <v>20</v>
      </c>
      <c r="C12">
        <v>87</v>
      </c>
      <c r="D12">
        <v>95</v>
      </c>
      <c r="E12">
        <v>115</v>
      </c>
      <c r="F12">
        <v>140</v>
      </c>
      <c r="G12">
        <v>165</v>
      </c>
      <c r="H12">
        <v>185</v>
      </c>
    </row>
    <row r="13" spans="1:14" x14ac:dyDescent="0.3">
      <c r="A13" s="2" t="s">
        <v>125</v>
      </c>
      <c r="B13" t="s">
        <v>22</v>
      </c>
      <c r="C13">
        <v>75</v>
      </c>
      <c r="D13">
        <v>74.5</v>
      </c>
      <c r="E13">
        <v>74</v>
      </c>
      <c r="F13">
        <v>73</v>
      </c>
      <c r="G13">
        <v>72.5</v>
      </c>
      <c r="H13">
        <v>72</v>
      </c>
    </row>
    <row r="14" spans="1:14" x14ac:dyDescent="0.3">
      <c r="A14" t="s">
        <v>23</v>
      </c>
      <c r="B14" t="s">
        <v>24</v>
      </c>
      <c r="C14">
        <v>400</v>
      </c>
      <c r="D14">
        <v>505</v>
      </c>
      <c r="E14">
        <v>530</v>
      </c>
      <c r="F14">
        <v>550</v>
      </c>
      <c r="G14">
        <v>570</v>
      </c>
      <c r="H14">
        <v>590</v>
      </c>
      <c r="I14" s="2" t="s">
        <v>123</v>
      </c>
    </row>
    <row r="15" spans="1:14" x14ac:dyDescent="0.3">
      <c r="A15" t="s">
        <v>25</v>
      </c>
      <c r="B15" t="s">
        <v>26</v>
      </c>
      <c r="C15">
        <f>VALUE(LEFT(I15,2))</f>
        <v>58</v>
      </c>
      <c r="D15">
        <f t="shared" ref="D15:H15" si="0">VALUE(LEFT(J15,2))</f>
        <v>68</v>
      </c>
      <c r="E15">
        <f t="shared" si="0"/>
        <v>68</v>
      </c>
      <c r="F15">
        <f t="shared" si="0"/>
        <v>68</v>
      </c>
      <c r="G15">
        <f t="shared" si="0"/>
        <v>68</v>
      </c>
      <c r="H15">
        <f t="shared" si="0"/>
        <v>68</v>
      </c>
      <c r="I15" t="s">
        <v>113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</row>
    <row r="16" spans="1:14" x14ac:dyDescent="0.3">
      <c r="A16" t="s">
        <v>27</v>
      </c>
      <c r="B16" t="s">
        <v>28</v>
      </c>
      <c r="C16">
        <f>VALUE(LEFT(I16,3))</f>
        <v>410</v>
      </c>
      <c r="D16">
        <f t="shared" ref="D16:H16" si="1">VALUE(LEFT(J16,3))</f>
        <v>420</v>
      </c>
      <c r="E16">
        <f t="shared" si="1"/>
        <v>420</v>
      </c>
      <c r="F16">
        <f t="shared" si="1"/>
        <v>420</v>
      </c>
      <c r="G16">
        <f t="shared" si="1"/>
        <v>420</v>
      </c>
      <c r="H16">
        <f t="shared" si="1"/>
        <v>420</v>
      </c>
      <c r="I16" t="s">
        <v>115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</row>
    <row r="17" spans="1:14" x14ac:dyDescent="0.3">
      <c r="A17" t="s">
        <v>29</v>
      </c>
      <c r="B17" t="s">
        <v>30</v>
      </c>
      <c r="C17">
        <f>VALUE(LEFT(I17,4))</f>
        <v>1000</v>
      </c>
      <c r="D17">
        <f t="shared" ref="D17:H17" si="2">VALUE(LEFT(J17,4))</f>
        <v>1017</v>
      </c>
      <c r="E17">
        <f t="shared" si="2"/>
        <v>1023</v>
      </c>
      <c r="F17">
        <f t="shared" si="2"/>
        <v>1028</v>
      </c>
      <c r="G17">
        <f t="shared" si="2"/>
        <v>1032</v>
      </c>
      <c r="H17">
        <f t="shared" si="2"/>
        <v>1046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  <c r="N17" t="s">
        <v>122</v>
      </c>
    </row>
    <row r="18" spans="1:14" x14ac:dyDescent="0.3">
      <c r="A18" t="s">
        <v>31</v>
      </c>
      <c r="B18" t="s">
        <v>32</v>
      </c>
      <c r="C18">
        <v>70</v>
      </c>
      <c r="D18">
        <v>71</v>
      </c>
      <c r="E18">
        <v>70</v>
      </c>
      <c r="F18">
        <v>67.5</v>
      </c>
      <c r="G18">
        <v>65</v>
      </c>
      <c r="H18">
        <v>65</v>
      </c>
    </row>
    <row r="19" spans="1:14" x14ac:dyDescent="0.3">
      <c r="A19" t="s">
        <v>33</v>
      </c>
      <c r="B19" t="s">
        <v>34</v>
      </c>
      <c r="C19">
        <v>47</v>
      </c>
      <c r="D19">
        <v>47</v>
      </c>
      <c r="E19">
        <v>47</v>
      </c>
      <c r="F19">
        <v>47</v>
      </c>
      <c r="G19">
        <v>47</v>
      </c>
      <c r="H19">
        <v>47</v>
      </c>
    </row>
    <row r="20" spans="1:14" x14ac:dyDescent="0.3">
      <c r="A20" t="s">
        <v>35</v>
      </c>
      <c r="B20" t="s">
        <v>36</v>
      </c>
      <c r="C20">
        <v>420</v>
      </c>
      <c r="D20">
        <v>420</v>
      </c>
      <c r="E20">
        <v>420</v>
      </c>
      <c r="F20">
        <v>420</v>
      </c>
      <c r="G20">
        <v>420</v>
      </c>
      <c r="H20">
        <v>420</v>
      </c>
    </row>
    <row r="21" spans="1:14" x14ac:dyDescent="0.3">
      <c r="A21" t="s">
        <v>37</v>
      </c>
      <c r="B21" t="s">
        <v>38</v>
      </c>
      <c r="C21">
        <v>532</v>
      </c>
      <c r="D21">
        <v>549</v>
      </c>
      <c r="E21">
        <v>570</v>
      </c>
      <c r="F21">
        <v>596</v>
      </c>
      <c r="G21">
        <v>622</v>
      </c>
      <c r="H21">
        <v>641</v>
      </c>
    </row>
    <row r="22" spans="1:14" x14ac:dyDescent="0.3">
      <c r="A22" t="s">
        <v>39</v>
      </c>
      <c r="B22" t="s">
        <v>40</v>
      </c>
      <c r="C22">
        <v>368</v>
      </c>
      <c r="D22">
        <v>378</v>
      </c>
      <c r="E22">
        <v>381</v>
      </c>
      <c r="F22">
        <v>383</v>
      </c>
      <c r="G22">
        <v>384</v>
      </c>
      <c r="H22">
        <v>392</v>
      </c>
    </row>
    <row r="23" spans="1:14" x14ac:dyDescent="0.3">
      <c r="A23" t="s">
        <v>41</v>
      </c>
      <c r="B23" t="s">
        <v>42</v>
      </c>
      <c r="C23">
        <v>677</v>
      </c>
      <c r="D23">
        <v>760</v>
      </c>
      <c r="E23">
        <v>780</v>
      </c>
      <c r="F23">
        <v>800</v>
      </c>
      <c r="G23">
        <v>820</v>
      </c>
      <c r="H23">
        <v>840</v>
      </c>
    </row>
    <row r="24" spans="1:14" x14ac:dyDescent="0.3">
      <c r="A24" t="s">
        <v>16</v>
      </c>
      <c r="C24">
        <f>C10+C11</f>
        <v>70.25</v>
      </c>
      <c r="D24">
        <f t="shared" ref="D24:H24" si="3">D10+D11</f>
        <v>70.75</v>
      </c>
      <c r="E24">
        <f t="shared" si="3"/>
        <v>71.25</v>
      </c>
      <c r="F24">
        <f t="shared" si="3"/>
        <v>71.75</v>
      </c>
      <c r="G24">
        <f t="shared" si="3"/>
        <v>72.25</v>
      </c>
      <c r="H24">
        <f t="shared" si="3"/>
        <v>72.25</v>
      </c>
    </row>
    <row r="25" spans="1:14" x14ac:dyDescent="0.3">
      <c r="A25" t="s">
        <v>21</v>
      </c>
      <c r="C25">
        <f>C13+C11</f>
        <v>75.25</v>
      </c>
      <c r="D25">
        <f t="shared" ref="D25:H25" si="4">D13+D11</f>
        <v>74.75</v>
      </c>
      <c r="E25">
        <f t="shared" si="4"/>
        <v>74.25</v>
      </c>
      <c r="F25">
        <f t="shared" si="4"/>
        <v>73.25</v>
      </c>
      <c r="G25">
        <f t="shared" si="4"/>
        <v>72.75</v>
      </c>
      <c r="H25">
        <f t="shared" si="4"/>
        <v>72.25</v>
      </c>
    </row>
    <row r="26" spans="1:14" x14ac:dyDescent="0.3">
      <c r="A26" t="s">
        <v>43</v>
      </c>
    </row>
    <row r="27" spans="1:14" x14ac:dyDescent="0.3">
      <c r="A27" t="s">
        <v>44</v>
      </c>
    </row>
    <row r="28" spans="1:14" x14ac:dyDescent="0.3">
      <c r="A28" t="s">
        <v>45</v>
      </c>
    </row>
    <row r="29" spans="1:14" x14ac:dyDescent="0.3">
      <c r="A29" t="s">
        <v>46</v>
      </c>
      <c r="F29">
        <v>2509</v>
      </c>
    </row>
    <row r="30" spans="1:14" x14ac:dyDescent="0.3">
      <c r="A30" t="s">
        <v>47</v>
      </c>
      <c r="B30" t="s">
        <v>47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4" x14ac:dyDescent="0.3">
      <c r="A31" t="s">
        <v>48</v>
      </c>
      <c r="B31" t="s">
        <v>48</v>
      </c>
      <c r="C31">
        <v>38</v>
      </c>
      <c r="D31">
        <v>38</v>
      </c>
      <c r="E31">
        <v>38</v>
      </c>
      <c r="F31">
        <v>38</v>
      </c>
      <c r="G31">
        <v>38</v>
      </c>
      <c r="H31">
        <v>38</v>
      </c>
    </row>
    <row r="32" spans="1:14" x14ac:dyDescent="0.3">
      <c r="A32" t="s">
        <v>49</v>
      </c>
      <c r="B32" t="s">
        <v>49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9" x14ac:dyDescent="0.3">
      <c r="A33" t="s">
        <v>50</v>
      </c>
      <c r="C33">
        <f>C35*2.54</f>
        <v>149.86000000000001</v>
      </c>
      <c r="D33">
        <f t="shared" ref="D33:H33" si="5">D35*2.54</f>
        <v>157.47999999999999</v>
      </c>
      <c r="E33">
        <f t="shared" si="5"/>
        <v>162.56</v>
      </c>
      <c r="F33">
        <f t="shared" si="5"/>
        <v>172.72</v>
      </c>
      <c r="G33">
        <f t="shared" si="5"/>
        <v>182.88</v>
      </c>
      <c r="H33">
        <f t="shared" si="5"/>
        <v>187.96</v>
      </c>
    </row>
    <row r="34" spans="1:9" x14ac:dyDescent="0.3">
      <c r="A34" t="s">
        <v>51</v>
      </c>
      <c r="C34">
        <f>C36*2.54</f>
        <v>157.47999999999999</v>
      </c>
      <c r="D34">
        <f t="shared" ref="D34:H34" si="6">D36*2.54</f>
        <v>162.56</v>
      </c>
      <c r="E34">
        <f t="shared" si="6"/>
        <v>172.72</v>
      </c>
      <c r="F34">
        <f t="shared" si="6"/>
        <v>182.88</v>
      </c>
      <c r="G34">
        <f t="shared" si="6"/>
        <v>187.96</v>
      </c>
      <c r="H34">
        <f t="shared" si="6"/>
        <v>195.58</v>
      </c>
    </row>
    <row r="35" spans="1:9" x14ac:dyDescent="0.3">
      <c r="C35">
        <v>59</v>
      </c>
      <c r="D35">
        <v>62</v>
      </c>
      <c r="E35">
        <v>64</v>
      </c>
      <c r="F35">
        <v>68</v>
      </c>
      <c r="G35">
        <v>72</v>
      </c>
      <c r="H35">
        <v>74</v>
      </c>
      <c r="I35" s="2" t="s">
        <v>126</v>
      </c>
    </row>
    <row r="36" spans="1:9" x14ac:dyDescent="0.3">
      <c r="A36" t="s">
        <v>52</v>
      </c>
      <c r="B36" t="s">
        <v>53</v>
      </c>
      <c r="C36">
        <v>62</v>
      </c>
      <c r="D36">
        <v>64</v>
      </c>
      <c r="E36">
        <v>68</v>
      </c>
      <c r="F36">
        <v>72</v>
      </c>
      <c r="G36">
        <v>74</v>
      </c>
      <c r="H36">
        <v>77</v>
      </c>
      <c r="I36" s="2" t="s">
        <v>127</v>
      </c>
    </row>
    <row r="37" spans="1:9" x14ac:dyDescent="0.3">
      <c r="A37" t="s">
        <v>90</v>
      </c>
      <c r="B37" t="s">
        <v>91</v>
      </c>
    </row>
    <row r="38" spans="1:9" x14ac:dyDescent="0.3">
      <c r="A38" t="s">
        <v>92</v>
      </c>
      <c r="B38" t="s">
        <v>93</v>
      </c>
      <c r="C38" t="s">
        <v>100</v>
      </c>
      <c r="D38" t="s">
        <v>101</v>
      </c>
      <c r="E38" t="s">
        <v>102</v>
      </c>
      <c r="F38" t="s">
        <v>103</v>
      </c>
      <c r="G38" t="s">
        <v>104</v>
      </c>
      <c r="H38" t="s">
        <v>105</v>
      </c>
    </row>
    <row r="39" spans="1:9" x14ac:dyDescent="0.3">
      <c r="A39" t="s">
        <v>94</v>
      </c>
      <c r="B39" t="s">
        <v>95</v>
      </c>
      <c r="C39" t="s">
        <v>106</v>
      </c>
      <c r="D39" t="s">
        <v>107</v>
      </c>
      <c r="E39" t="s">
        <v>108</v>
      </c>
      <c r="F39" t="s">
        <v>109</v>
      </c>
      <c r="G39" t="s">
        <v>110</v>
      </c>
      <c r="H39" t="s">
        <v>111</v>
      </c>
    </row>
    <row r="40" spans="1:9" x14ac:dyDescent="0.3">
      <c r="A40" t="s">
        <v>54</v>
      </c>
      <c r="B40" t="s">
        <v>55</v>
      </c>
    </row>
    <row r="41" spans="1:9" x14ac:dyDescent="0.3">
      <c r="A41" t="s">
        <v>56</v>
      </c>
    </row>
    <row r="42" spans="1:9" x14ac:dyDescent="0.3">
      <c r="A42" t="s">
        <v>57</v>
      </c>
      <c r="B42">
        <v>20</v>
      </c>
    </row>
    <row r="43" spans="1:9" x14ac:dyDescent="0.3">
      <c r="A43" t="s">
        <v>58</v>
      </c>
      <c r="B43">
        <v>50</v>
      </c>
    </row>
    <row r="44" spans="1:9" x14ac:dyDescent="0.3">
      <c r="A44" t="s">
        <v>59</v>
      </c>
    </row>
    <row r="45" spans="1:9" x14ac:dyDescent="0.3">
      <c r="A45" t="s">
        <v>60</v>
      </c>
      <c r="B45">
        <v>30</v>
      </c>
    </row>
    <row r="46" spans="1:9" x14ac:dyDescent="0.3">
      <c r="A46" t="s">
        <v>61</v>
      </c>
    </row>
    <row r="47" spans="1:9" x14ac:dyDescent="0.3">
      <c r="A47" t="s">
        <v>62</v>
      </c>
    </row>
    <row r="48" spans="1:9" x14ac:dyDescent="0.3">
      <c r="A48" t="s">
        <v>63</v>
      </c>
    </row>
    <row r="49" spans="1:2" x14ac:dyDescent="0.3">
      <c r="A49" t="s">
        <v>64</v>
      </c>
      <c r="B49">
        <v>142</v>
      </c>
    </row>
    <row r="50" spans="1:2" x14ac:dyDescent="0.3">
      <c r="A50" t="s">
        <v>65</v>
      </c>
      <c r="B50">
        <v>100</v>
      </c>
    </row>
    <row r="51" spans="1:2" x14ac:dyDescent="0.3">
      <c r="A51" t="s">
        <v>66</v>
      </c>
    </row>
    <row r="52" spans="1:2" x14ac:dyDescent="0.3">
      <c r="A52" t="s">
        <v>67</v>
      </c>
    </row>
    <row r="53" spans="1:2" x14ac:dyDescent="0.3">
      <c r="A53" t="s">
        <v>68</v>
      </c>
      <c r="B53">
        <v>27.2</v>
      </c>
    </row>
    <row r="54" spans="1:2" x14ac:dyDescent="0.3">
      <c r="A54" t="s">
        <v>69</v>
      </c>
      <c r="B54" s="2" t="s">
        <v>98</v>
      </c>
    </row>
    <row r="55" spans="1:2" x14ac:dyDescent="0.3">
      <c r="A55" t="s">
        <v>70</v>
      </c>
      <c r="B55">
        <v>50</v>
      </c>
    </row>
    <row r="56" spans="1:2" x14ac:dyDescent="0.3">
      <c r="A56" t="s">
        <v>71</v>
      </c>
      <c r="B56">
        <v>53</v>
      </c>
    </row>
    <row r="57" spans="1:2" x14ac:dyDescent="0.3">
      <c r="A57" t="s">
        <v>72</v>
      </c>
      <c r="B57">
        <v>160</v>
      </c>
    </row>
    <row r="58" spans="1:2" x14ac:dyDescent="0.3">
      <c r="A58" t="s">
        <v>73</v>
      </c>
      <c r="B58">
        <v>160</v>
      </c>
    </row>
    <row r="59" spans="1:2" x14ac:dyDescent="0.3">
      <c r="A59" t="s">
        <v>74</v>
      </c>
    </row>
    <row r="60" spans="1:2" x14ac:dyDescent="0.3">
      <c r="A60" t="s">
        <v>75</v>
      </c>
      <c r="B60" s="2" t="s">
        <v>97</v>
      </c>
    </row>
    <row r="61" spans="1:2" x14ac:dyDescent="0.3">
      <c r="A61" t="s">
        <v>76</v>
      </c>
      <c r="B61" s="2" t="s">
        <v>99</v>
      </c>
    </row>
    <row r="62" spans="1:2" x14ac:dyDescent="0.3">
      <c r="A62" t="s">
        <v>77</v>
      </c>
    </row>
    <row r="63" spans="1:2" x14ac:dyDescent="0.3">
      <c r="A63" t="s">
        <v>78</v>
      </c>
    </row>
    <row r="64" spans="1:2" x14ac:dyDescent="0.3">
      <c r="A64" t="s">
        <v>79</v>
      </c>
      <c r="B64">
        <v>2</v>
      </c>
    </row>
    <row r="65" spans="1:2" x14ac:dyDescent="0.3">
      <c r="A65" t="s">
        <v>80</v>
      </c>
      <c r="B65">
        <v>1</v>
      </c>
    </row>
    <row r="66" spans="1:2" x14ac:dyDescent="0.3">
      <c r="A66" t="s">
        <v>81</v>
      </c>
    </row>
    <row r="67" spans="1:2" x14ac:dyDescent="0.3">
      <c r="A67" t="s">
        <v>82</v>
      </c>
      <c r="B67">
        <v>3</v>
      </c>
    </row>
    <row r="68" spans="1:2" x14ac:dyDescent="0.3">
      <c r="A68" t="s">
        <v>83</v>
      </c>
      <c r="B68" s="2" t="s">
        <v>98</v>
      </c>
    </row>
    <row r="69" spans="1:2" x14ac:dyDescent="0.3">
      <c r="A69" t="s">
        <v>84</v>
      </c>
      <c r="B69" s="2" t="s">
        <v>98</v>
      </c>
    </row>
    <row r="70" spans="1:2" x14ac:dyDescent="0.3">
      <c r="A70" t="s">
        <v>85</v>
      </c>
      <c r="B70" s="2" t="s">
        <v>98</v>
      </c>
    </row>
    <row r="71" spans="1:2" x14ac:dyDescent="0.3">
      <c r="A71" t="s">
        <v>86</v>
      </c>
      <c r="B71">
        <v>1525</v>
      </c>
    </row>
    <row r="72" spans="1:2" x14ac:dyDescent="0.3">
      <c r="A72" t="s">
        <v>87</v>
      </c>
      <c r="B72">
        <v>2575</v>
      </c>
    </row>
    <row r="73" spans="1:2" x14ac:dyDescent="0.3">
      <c r="A73" t="s">
        <v>88</v>
      </c>
    </row>
    <row r="74" spans="1:2" x14ac:dyDescent="0.3">
      <c r="A74" t="s">
        <v>89</v>
      </c>
      <c r="B74" s="2" t="s">
        <v>131</v>
      </c>
    </row>
    <row r="75" spans="1:2" x14ac:dyDescent="0.3">
      <c r="A75" t="s">
        <v>132</v>
      </c>
      <c r="B75" s="2" t="s">
        <v>133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2025-10-18T01:12:39Z</dcterms:modified>
</cp:coreProperties>
</file>