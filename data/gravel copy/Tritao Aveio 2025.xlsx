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D283602-9AFD-8540-8C9F-0EB18F1B897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I31" i="1"/>
  <c r="C31" i="1"/>
  <c r="F32" i="1"/>
  <c r="G32" i="1"/>
  <c r="E31" i="1"/>
  <c r="D32" i="1" s="1"/>
  <c r="G31" i="1" l="1"/>
  <c r="D31" i="1"/>
  <c r="C32" i="1" s="1"/>
  <c r="F31" i="1"/>
  <c r="E32" i="1" s="1"/>
  <c r="H31" i="1"/>
</calcChain>
</file>

<file path=xl/sharedStrings.xml><?xml version="1.0" encoding="utf-8"?>
<sst xmlns="http://schemas.openxmlformats.org/spreadsheetml/2006/main" count="120" uniqueCount="113">
  <si>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</si>
  <si>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</si>
  <si>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</si>
  <si>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</si>
  <si>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</si>
  <si>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</si>
  <si>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</si>
  <si>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</si>
  <si>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</si>
  <si>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</si>
  <si>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</si>
  <si>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</si>
  <si>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</si>
  <si>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</si>
  <si>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</si>
  <si>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</si>
  <si>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</si>
  <si>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</si>
  <si>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</si>
  <si>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</si>
  <si>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</si>
  <si>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</si>
  <si>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</si>
  <si>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</si>
  <si>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</si>
  <si>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</si>
  <si>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</si>
  <si>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</si>
  <si>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</si>
  <si>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</si>
  <si>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</si>
  <si>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</si>
  <si>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</si>
  <si>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</si>
  <si>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</si>
  <si>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</si>
  <si>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</si>
  <si>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</si>
  <si>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</si>
  <si>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</si>
  <si>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</si>
  <si>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</si>
  <si>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</si>
  <si>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</si>
  <si>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</si>
  <si>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</si>
  <si>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</si>
  <si>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</si>
  <si>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</si>
  <si>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</si>
  <si>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</si>
  <si>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</si>
  <si>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</si>
  <si>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</si>
  <si>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</si>
  <si>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</si>
  <si>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</si>
  <si>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</si>
  <si>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</si>
  <si>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</si>
  <si>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</si>
  <si>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</si>
  <si>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</si>
  <si>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</si>
  <si>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</si>
  <si>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</si>
  <si>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</si>
  <si>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</si>
  <si>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</si>
  <si>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rider_min_spec</t>
  </si>
  <si>
    <t>rider_max_spec</t>
  </si>
  <si>
    <t>titanium</t>
  </si>
  <si>
    <t>class</t>
  </si>
  <si>
    <t>gravel</t>
  </si>
  <si>
    <t>handlebar</t>
  </si>
  <si>
    <t>drop bar</t>
  </si>
  <si>
    <t>fork</t>
  </si>
  <si>
    <t>rigid</t>
  </si>
  <si>
    <t>Frame size</t>
  </si>
  <si>
    <t>1. Reach</t>
  </si>
  <si>
    <t>2. Stack</t>
  </si>
  <si>
    <t>3. Head tube angle</t>
  </si>
  <si>
    <t>4. Seat tube angle</t>
  </si>
  <si>
    <t>5. Top tube horizontal</t>
  </si>
  <si>
    <t>6. Head tube length</t>
  </si>
  <si>
    <t>7. Seat tube center to top</t>
  </si>
  <si>
    <t>8. Bottom bracket drop</t>
  </si>
  <si>
    <t>9. Chainstay length</t>
  </si>
  <si>
    <t>10. Front center</t>
  </si>
  <si>
    <t>11. Wheelbase</t>
  </si>
  <si>
    <t>12. Standover height</t>
  </si>
  <si>
    <t>13. Fork AC</t>
  </si>
  <si>
    <t>14. Fork offset</t>
  </si>
  <si>
    <t>15. Stem length</t>
  </si>
  <si>
    <t>16. Trail</t>
  </si>
  <si>
    <t>48 - XXS</t>
  </si>
  <si>
    <t>50 - XS</t>
  </si>
  <si>
    <t>52 - S</t>
  </si>
  <si>
    <t>54 - M</t>
  </si>
  <si>
    <t>56 - L</t>
  </si>
  <si>
    <t>58 - XL</t>
  </si>
  <si>
    <t>internal</t>
  </si>
  <si>
    <t>threaded</t>
  </si>
  <si>
    <t>Tritao</t>
  </si>
  <si>
    <t>Aveiro</t>
  </si>
  <si>
    <t>https://www.tritaobikes.com/aveiro</t>
  </si>
  <si>
    <t>*not spec'd</t>
  </si>
  <si>
    <t>60 - XXL</t>
  </si>
  <si>
    <t>a8:i34</t>
  </si>
  <si>
    <t>https://cdn.prod.website-files.com/66b74a02e94ee47108014577/66b77ff281ce1bdd25b0af90_Tritao_titan_aveiro_3d-printed_gravel_bike.jpg</t>
  </si>
  <si>
    <t>location</t>
  </si>
  <si>
    <t>Troviscal, Aveiro, Portugal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</si>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</sst>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sz val="14"/>
      <color rgb="FF000000"/>
      <name val="Futura Medium"/>
    </font>
    <font>
      <sz val="14"/>
      <color rgb="FF202020"/>
      <name val="Futura Medium"/>
    </font>
    <font>
      <sz val="14"/>
      <color rgb="FF333333"/>
      <name val="Arial"/>
      <family val="2"/>
    </font>
    <font>
      <b/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topLeftCell="A51" workbookViewId="0">
      <selection activeCell="B74" sqref="B74"/>
    </sheetView>
  </sheetViews>
  <sheetFormatPr baseColWidth="10" defaultRowHeight="20" x14ac:dyDescent="0.3"/>
  <cols>
    <col min="1" max="2" width="19.6640625" style="1" customWidth="1"/>
    <col min="3" max="7" width="12.44140625" style="1" customWidth="1"/>
    <col min="8" max="16384" width="10.77734375" style="1"/>
  </cols>
  <sheetData>
    <row r="1" spans="1:9" x14ac:dyDescent="0.3">
      <c r="A1" s="1" t="s">
        <v>0</v>
      </c>
      <c r="B1" s="1" t="s">
        <v>103</v>
      </c>
    </row>
    <row r="2" spans="1:9" x14ac:dyDescent="0.3">
      <c r="A2" s="1" t="s">
        <v>1</v>
      </c>
      <c r="B2" s="1" t="s">
        <v>104</v>
      </c>
    </row>
    <row r="3" spans="1:9" x14ac:dyDescent="0.3">
      <c r="A3" s="1" t="s">
        <v>2</v>
      </c>
      <c r="B3" s="1">
        <v>2025</v>
      </c>
    </row>
    <row r="4" spans="1:9" x14ac:dyDescent="0.3">
      <c r="A4" s="1" t="s">
        <v>3</v>
      </c>
      <c r="B4" s="2">
        <v>45888</v>
      </c>
    </row>
    <row r="5" spans="1:9" x14ac:dyDescent="0.3">
      <c r="A5" s="1" t="s">
        <v>4</v>
      </c>
      <c r="B5" s="1" t="s">
        <v>105</v>
      </c>
    </row>
    <row r="6" spans="1:9" x14ac:dyDescent="0.3">
      <c r="B6" s="1" t="s">
        <v>109</v>
      </c>
    </row>
    <row r="7" spans="1:9" x14ac:dyDescent="0.3">
      <c r="A7" s="1" t="s">
        <v>5</v>
      </c>
      <c r="B7" s="1" t="s">
        <v>108</v>
      </c>
    </row>
    <row r="8" spans="1:9" x14ac:dyDescent="0.3">
      <c r="A8" s="1" t="s">
        <v>6</v>
      </c>
      <c r="B8" s="5" t="s">
        <v>78</v>
      </c>
      <c r="C8" s="5" t="s">
        <v>95</v>
      </c>
      <c r="D8" s="5" t="s">
        <v>96</v>
      </c>
      <c r="E8" s="5" t="s">
        <v>97</v>
      </c>
      <c r="F8" s="5" t="s">
        <v>98</v>
      </c>
      <c r="G8" s="5" t="s">
        <v>99</v>
      </c>
      <c r="H8" s="5" t="s">
        <v>100</v>
      </c>
      <c r="I8" s="5" t="s">
        <v>107</v>
      </c>
    </row>
    <row r="9" spans="1:9" x14ac:dyDescent="0.3">
      <c r="A9" s="1" t="s">
        <v>18</v>
      </c>
      <c r="B9" s="6" t="s">
        <v>79</v>
      </c>
      <c r="C9" s="6">
        <v>365</v>
      </c>
      <c r="D9" s="6">
        <v>385</v>
      </c>
      <c r="E9" s="6">
        <v>385</v>
      </c>
      <c r="F9" s="6">
        <v>413</v>
      </c>
      <c r="G9" s="6">
        <v>428</v>
      </c>
      <c r="H9" s="6">
        <v>443</v>
      </c>
      <c r="I9" s="6">
        <v>458</v>
      </c>
    </row>
    <row r="10" spans="1:9" x14ac:dyDescent="0.3">
      <c r="A10" s="1" t="s">
        <v>17</v>
      </c>
      <c r="B10" s="6" t="s">
        <v>80</v>
      </c>
      <c r="C10" s="6">
        <v>530</v>
      </c>
      <c r="D10" s="6">
        <v>530</v>
      </c>
      <c r="E10" s="6">
        <v>552</v>
      </c>
      <c r="F10" s="6">
        <v>571</v>
      </c>
      <c r="G10" s="6">
        <v>590</v>
      </c>
      <c r="H10" s="6">
        <v>608</v>
      </c>
      <c r="I10" s="6">
        <v>627</v>
      </c>
    </row>
    <row r="11" spans="1:9" x14ac:dyDescent="0.3">
      <c r="A11" s="1" t="s">
        <v>11</v>
      </c>
      <c r="B11" s="6" t="s">
        <v>81</v>
      </c>
      <c r="C11" s="6">
        <v>69</v>
      </c>
      <c r="D11" s="6">
        <v>69</v>
      </c>
      <c r="E11" s="6">
        <v>69</v>
      </c>
      <c r="F11" s="6">
        <v>69</v>
      </c>
      <c r="G11" s="6">
        <v>69</v>
      </c>
      <c r="H11" s="6">
        <v>69</v>
      </c>
      <c r="I11" s="6">
        <v>69</v>
      </c>
    </row>
    <row r="12" spans="1:9" x14ac:dyDescent="0.3">
      <c r="A12" s="1" t="s">
        <v>8</v>
      </c>
      <c r="B12" s="6" t="s">
        <v>82</v>
      </c>
      <c r="C12" s="6">
        <v>74</v>
      </c>
      <c r="D12" s="6">
        <v>74</v>
      </c>
      <c r="E12" s="6">
        <v>74</v>
      </c>
      <c r="F12" s="6">
        <v>74</v>
      </c>
      <c r="G12" s="6">
        <v>74</v>
      </c>
      <c r="H12" s="6">
        <v>74</v>
      </c>
      <c r="I12" s="6">
        <v>74</v>
      </c>
    </row>
    <row r="13" spans="1:9" x14ac:dyDescent="0.3">
      <c r="A13" s="1" t="s">
        <v>9</v>
      </c>
      <c r="B13" s="6" t="s">
        <v>83</v>
      </c>
      <c r="C13" s="6">
        <v>510</v>
      </c>
      <c r="D13" s="6">
        <v>530</v>
      </c>
      <c r="E13" s="6">
        <v>550</v>
      </c>
      <c r="F13" s="6">
        <v>570</v>
      </c>
      <c r="G13" s="6">
        <v>590</v>
      </c>
      <c r="H13" s="6">
        <v>610</v>
      </c>
      <c r="I13" s="6">
        <v>630</v>
      </c>
    </row>
    <row r="14" spans="1:9" x14ac:dyDescent="0.3">
      <c r="A14" s="1" t="s">
        <v>10</v>
      </c>
      <c r="B14" s="6" t="s">
        <v>84</v>
      </c>
      <c r="C14" s="6">
        <v>120</v>
      </c>
      <c r="D14" s="6">
        <v>120</v>
      </c>
      <c r="E14" s="6">
        <v>140</v>
      </c>
      <c r="F14" s="6">
        <v>160</v>
      </c>
      <c r="G14" s="6">
        <v>180</v>
      </c>
      <c r="H14" s="6">
        <v>200</v>
      </c>
      <c r="I14" s="6">
        <v>220</v>
      </c>
    </row>
    <row r="15" spans="1:9" x14ac:dyDescent="0.3">
      <c r="A15" s="1" t="s">
        <v>7</v>
      </c>
      <c r="B15" s="6" t="s">
        <v>85</v>
      </c>
      <c r="C15" s="6">
        <v>430</v>
      </c>
      <c r="D15" s="6">
        <v>450</v>
      </c>
      <c r="E15" s="6">
        <v>470</v>
      </c>
      <c r="F15" s="6">
        <v>490</v>
      </c>
      <c r="G15" s="6">
        <v>520</v>
      </c>
      <c r="H15" s="6">
        <v>540</v>
      </c>
      <c r="I15" s="6">
        <v>560</v>
      </c>
    </row>
    <row r="16" spans="1:9" x14ac:dyDescent="0.3">
      <c r="A16" s="1" t="s">
        <v>16</v>
      </c>
      <c r="B16" s="6" t="s">
        <v>86</v>
      </c>
      <c r="C16" s="6">
        <v>70</v>
      </c>
      <c r="D16" s="6">
        <v>70</v>
      </c>
      <c r="E16" s="6">
        <v>70</v>
      </c>
      <c r="F16" s="6">
        <v>70</v>
      </c>
      <c r="G16" s="6">
        <v>70</v>
      </c>
      <c r="H16" s="6">
        <v>70</v>
      </c>
      <c r="I16" s="6">
        <v>70</v>
      </c>
    </row>
    <row r="17" spans="1:10" x14ac:dyDescent="0.3">
      <c r="A17" s="1" t="s">
        <v>15</v>
      </c>
      <c r="B17" s="6" t="s">
        <v>87</v>
      </c>
      <c r="C17" s="6">
        <v>430</v>
      </c>
      <c r="D17" s="6">
        <v>430</v>
      </c>
      <c r="E17" s="6">
        <v>430</v>
      </c>
      <c r="F17" s="6">
        <v>430</v>
      </c>
      <c r="G17" s="6">
        <v>430</v>
      </c>
      <c r="H17" s="6">
        <v>430</v>
      </c>
      <c r="I17" s="6">
        <v>430</v>
      </c>
    </row>
    <row r="18" spans="1:10" x14ac:dyDescent="0.3">
      <c r="A18" s="1" t="s">
        <v>66</v>
      </c>
      <c r="B18" s="6" t="s">
        <v>88</v>
      </c>
      <c r="C18" s="6">
        <v>610</v>
      </c>
      <c r="D18" s="6">
        <v>630</v>
      </c>
      <c r="E18" s="6">
        <v>642</v>
      </c>
      <c r="F18" s="6">
        <v>664</v>
      </c>
      <c r="G18" s="6">
        <v>686</v>
      </c>
      <c r="H18" s="6">
        <v>708</v>
      </c>
      <c r="I18" s="6">
        <v>729</v>
      </c>
    </row>
    <row r="19" spans="1:10" x14ac:dyDescent="0.3">
      <c r="A19" s="1" t="s">
        <v>14</v>
      </c>
      <c r="B19" s="6" t="s">
        <v>89</v>
      </c>
      <c r="C19" s="6">
        <v>1029</v>
      </c>
      <c r="D19" s="6">
        <v>1050</v>
      </c>
      <c r="E19" s="6">
        <v>1062</v>
      </c>
      <c r="F19" s="6">
        <v>1085</v>
      </c>
      <c r="G19" s="6">
        <v>1106</v>
      </c>
      <c r="H19" s="6">
        <v>1128</v>
      </c>
      <c r="I19" s="6">
        <v>1150</v>
      </c>
    </row>
    <row r="20" spans="1:10" x14ac:dyDescent="0.3">
      <c r="A20" s="1" t="s">
        <v>19</v>
      </c>
      <c r="B20" s="6" t="s">
        <v>90</v>
      </c>
      <c r="C20" s="6">
        <v>714</v>
      </c>
      <c r="D20" s="6">
        <v>730</v>
      </c>
      <c r="E20" s="6">
        <v>750</v>
      </c>
      <c r="F20" s="6">
        <v>769</v>
      </c>
      <c r="G20" s="6">
        <v>797</v>
      </c>
      <c r="H20" s="6">
        <v>816</v>
      </c>
      <c r="I20" s="6">
        <v>835</v>
      </c>
    </row>
    <row r="21" spans="1:10" x14ac:dyDescent="0.3">
      <c r="A21" s="1" t="s">
        <v>24</v>
      </c>
      <c r="B21" s="6" t="s">
        <v>91</v>
      </c>
      <c r="C21" s="6">
        <v>395</v>
      </c>
      <c r="D21" s="6">
        <v>395</v>
      </c>
      <c r="E21" s="6">
        <v>395</v>
      </c>
      <c r="F21" s="6">
        <v>395</v>
      </c>
      <c r="G21" s="6">
        <v>395</v>
      </c>
      <c r="H21" s="6">
        <v>395</v>
      </c>
      <c r="I21" s="6">
        <v>395</v>
      </c>
    </row>
    <row r="22" spans="1:10" x14ac:dyDescent="0.3">
      <c r="A22" s="1" t="s">
        <v>12</v>
      </c>
      <c r="B22" s="6" t="s">
        <v>92</v>
      </c>
      <c r="C22" s="6">
        <v>50</v>
      </c>
      <c r="D22" s="6">
        <v>50</v>
      </c>
      <c r="E22" s="6">
        <v>50</v>
      </c>
      <c r="F22" s="6">
        <v>50</v>
      </c>
      <c r="G22" s="6">
        <v>50</v>
      </c>
      <c r="H22" s="6">
        <v>50</v>
      </c>
      <c r="I22" s="6">
        <v>50</v>
      </c>
    </row>
    <row r="23" spans="1:10" x14ac:dyDescent="0.3">
      <c r="A23" s="1" t="s">
        <v>21</v>
      </c>
      <c r="B23" s="6" t="s">
        <v>93</v>
      </c>
      <c r="C23" s="6">
        <v>70</v>
      </c>
      <c r="D23" s="6">
        <v>70</v>
      </c>
      <c r="E23" s="6">
        <v>80</v>
      </c>
      <c r="F23" s="6">
        <v>80</v>
      </c>
      <c r="G23" s="6">
        <v>90</v>
      </c>
      <c r="H23" s="6">
        <v>90</v>
      </c>
      <c r="I23" s="6">
        <v>100</v>
      </c>
    </row>
    <row r="24" spans="1:10" x14ac:dyDescent="0.3">
      <c r="A24" s="1" t="s">
        <v>13</v>
      </c>
      <c r="B24" s="6" t="s">
        <v>94</v>
      </c>
      <c r="C24" s="6">
        <v>96</v>
      </c>
      <c r="D24" s="6">
        <v>96</v>
      </c>
      <c r="E24" s="6">
        <v>88</v>
      </c>
      <c r="F24" s="6">
        <v>88</v>
      </c>
      <c r="G24" s="6">
        <v>88</v>
      </c>
      <c r="H24" s="6">
        <v>88</v>
      </c>
      <c r="I24" s="6">
        <v>88</v>
      </c>
    </row>
    <row r="25" spans="1:10" x14ac:dyDescent="0.3">
      <c r="A25" s="1" t="s">
        <v>68</v>
      </c>
      <c r="B25" s="1" t="s">
        <v>68</v>
      </c>
      <c r="F25" s="1">
        <v>1620</v>
      </c>
    </row>
    <row r="26" spans="1:10" x14ac:dyDescent="0.3">
      <c r="A26" s="1" t="s">
        <v>20</v>
      </c>
    </row>
    <row r="27" spans="1:10" x14ac:dyDescent="0.3">
      <c r="A27" s="1" t="s">
        <v>22</v>
      </c>
    </row>
    <row r="28" spans="1:10" x14ac:dyDescent="0.3">
      <c r="A28" s="1" t="s">
        <v>23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</row>
    <row r="29" spans="1:10" x14ac:dyDescent="0.3">
      <c r="A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J29" s="1" t="s">
        <v>106</v>
      </c>
    </row>
    <row r="30" spans="1:10" x14ac:dyDescent="0.3">
      <c r="A30" s="1" t="s">
        <v>26</v>
      </c>
      <c r="C30" s="1">
        <v>58</v>
      </c>
      <c r="D30" s="1">
        <v>58</v>
      </c>
      <c r="E30" s="1">
        <v>58</v>
      </c>
      <c r="F30" s="1">
        <v>58</v>
      </c>
      <c r="G30" s="1">
        <v>58</v>
      </c>
      <c r="H30" s="1">
        <v>58</v>
      </c>
      <c r="I30" s="1">
        <v>58</v>
      </c>
    </row>
    <row r="31" spans="1:10" x14ac:dyDescent="0.3">
      <c r="A31" s="1" t="s">
        <v>27</v>
      </c>
      <c r="C31" s="1">
        <f>C33</f>
        <v>156</v>
      </c>
      <c r="D31" s="1">
        <f t="shared" ref="D31:I31" si="0">AVERAGE(D33,C34)</f>
        <v>163</v>
      </c>
      <c r="E31" s="1">
        <f t="shared" si="0"/>
        <v>169</v>
      </c>
      <c r="F31" s="1">
        <f t="shared" si="0"/>
        <v>173</v>
      </c>
      <c r="G31" s="1">
        <f t="shared" si="0"/>
        <v>179</v>
      </c>
      <c r="H31" s="1">
        <f t="shared" si="0"/>
        <v>185</v>
      </c>
      <c r="I31" s="1">
        <f t="shared" si="0"/>
        <v>191</v>
      </c>
    </row>
    <row r="32" spans="1:10" x14ac:dyDescent="0.3">
      <c r="A32" s="1" t="s">
        <v>28</v>
      </c>
      <c r="C32" s="1">
        <f>D31</f>
        <v>163</v>
      </c>
      <c r="D32" s="1">
        <f t="shared" ref="D32" si="1">E31</f>
        <v>169</v>
      </c>
      <c r="E32" s="1">
        <f t="shared" ref="E32" si="2">F31</f>
        <v>173</v>
      </c>
      <c r="F32" s="1">
        <f>F34</f>
        <v>180</v>
      </c>
      <c r="G32" s="1">
        <f>G34</f>
        <v>186</v>
      </c>
      <c r="H32" s="1">
        <f>H34</f>
        <v>192</v>
      </c>
      <c r="I32" s="1">
        <f>I34</f>
        <v>198</v>
      </c>
    </row>
    <row r="33" spans="1:9" x14ac:dyDescent="0.3">
      <c r="A33" s="1" t="s">
        <v>69</v>
      </c>
      <c r="C33" s="1">
        <v>156</v>
      </c>
      <c r="D33" s="1">
        <v>162</v>
      </c>
      <c r="E33" s="1">
        <v>168</v>
      </c>
      <c r="F33" s="1">
        <v>172</v>
      </c>
      <c r="G33" s="1">
        <v>178</v>
      </c>
      <c r="H33" s="1">
        <v>184</v>
      </c>
      <c r="I33" s="1">
        <v>190</v>
      </c>
    </row>
    <row r="34" spans="1:9" x14ac:dyDescent="0.3">
      <c r="A34" s="1" t="s">
        <v>70</v>
      </c>
      <c r="C34" s="1">
        <v>164</v>
      </c>
      <c r="D34" s="1">
        <v>170</v>
      </c>
      <c r="E34" s="1">
        <v>174</v>
      </c>
      <c r="F34" s="1">
        <v>180</v>
      </c>
      <c r="G34" s="1">
        <v>186</v>
      </c>
      <c r="H34" s="1">
        <v>192</v>
      </c>
      <c r="I34" s="1">
        <v>198</v>
      </c>
    </row>
    <row r="35" spans="1:9" x14ac:dyDescent="0.3">
      <c r="C35" s="4"/>
      <c r="D35" s="4"/>
      <c r="E35" s="4"/>
      <c r="F35" s="4"/>
    </row>
    <row r="36" spans="1:9" x14ac:dyDescent="0.3">
      <c r="A36" s="1" t="s">
        <v>29</v>
      </c>
      <c r="B36" s="1" t="s">
        <v>30</v>
      </c>
    </row>
    <row r="37" spans="1:9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</row>
    <row r="38" spans="1:9" x14ac:dyDescent="0.3">
      <c r="A38" s="1" t="s">
        <v>74</v>
      </c>
      <c r="B38" s="1" t="s">
        <v>75</v>
      </c>
    </row>
    <row r="39" spans="1:9" x14ac:dyDescent="0.3">
      <c r="A39" s="1" t="s">
        <v>76</v>
      </c>
      <c r="B39" s="1" t="s">
        <v>77</v>
      </c>
    </row>
    <row r="40" spans="1:9" x14ac:dyDescent="0.3">
      <c r="A40" s="1" t="s">
        <v>31</v>
      </c>
      <c r="B40" s="1" t="s">
        <v>71</v>
      </c>
    </row>
    <row r="41" spans="1:9" x14ac:dyDescent="0.3">
      <c r="A41" s="1" t="s">
        <v>32</v>
      </c>
      <c r="B41" s="1" t="s">
        <v>67</v>
      </c>
    </row>
    <row r="42" spans="1:9" x14ac:dyDescent="0.3">
      <c r="A42" s="1" t="s">
        <v>33</v>
      </c>
    </row>
    <row r="43" spans="1:9" x14ac:dyDescent="0.3">
      <c r="A43" s="1" t="s">
        <v>34</v>
      </c>
      <c r="B43" s="1">
        <v>58</v>
      </c>
    </row>
    <row r="44" spans="1:9" x14ac:dyDescent="0.3">
      <c r="A44" s="1" t="s">
        <v>35</v>
      </c>
    </row>
    <row r="45" spans="1:9" x14ac:dyDescent="0.3">
      <c r="A45" s="1" t="s">
        <v>36</v>
      </c>
    </row>
    <row r="46" spans="1:9" x14ac:dyDescent="0.3">
      <c r="A46" s="1" t="s">
        <v>37</v>
      </c>
    </row>
    <row r="47" spans="1:9" x14ac:dyDescent="0.3">
      <c r="A47" s="1" t="s">
        <v>38</v>
      </c>
    </row>
    <row r="48" spans="1:9" x14ac:dyDescent="0.3">
      <c r="A48" s="1" t="s">
        <v>39</v>
      </c>
    </row>
    <row r="49" spans="1:2" x14ac:dyDescent="0.3">
      <c r="A49" s="1" t="s">
        <v>40</v>
      </c>
      <c r="B49" s="1">
        <v>142</v>
      </c>
    </row>
    <row r="50" spans="1:2" x14ac:dyDescent="0.3">
      <c r="A50" s="1" t="s">
        <v>41</v>
      </c>
      <c r="B50" s="1">
        <v>100</v>
      </c>
    </row>
    <row r="51" spans="1:2" ht="21" customHeight="1" x14ac:dyDescent="0.3">
      <c r="A51" s="1" t="s">
        <v>42</v>
      </c>
      <c r="B51" s="1" t="s">
        <v>102</v>
      </c>
    </row>
    <row r="52" spans="1:2" x14ac:dyDescent="0.3">
      <c r="A52" s="1" t="s">
        <v>43</v>
      </c>
    </row>
    <row r="53" spans="1:2" x14ac:dyDescent="0.3">
      <c r="A53" s="1" t="s">
        <v>44</v>
      </c>
      <c r="B53" s="1">
        <v>30.9</v>
      </c>
    </row>
    <row r="54" spans="1:2" x14ac:dyDescent="0.3">
      <c r="A54" s="1" t="s">
        <v>45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  <c r="B57" s="1">
        <v>160</v>
      </c>
    </row>
    <row r="58" spans="1:2" x14ac:dyDescent="0.3">
      <c r="A58" s="1" t="s">
        <v>49</v>
      </c>
      <c r="B58" s="1">
        <v>160</v>
      </c>
    </row>
    <row r="59" spans="1:2" x14ac:dyDescent="0.3">
      <c r="A59" s="1" t="s">
        <v>50</v>
      </c>
    </row>
    <row r="60" spans="1:2" x14ac:dyDescent="0.3">
      <c r="A60" s="1" t="s">
        <v>51</v>
      </c>
      <c r="B60" s="1" t="s">
        <v>101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  <c r="B64" s="1">
        <v>2</v>
      </c>
    </row>
    <row r="65" spans="1:2" x14ac:dyDescent="0.3">
      <c r="A65" s="1" t="s">
        <v>56</v>
      </c>
      <c r="B65" s="1">
        <v>1</v>
      </c>
    </row>
    <row r="66" spans="1:2" x14ac:dyDescent="0.3">
      <c r="A66" s="1" t="s">
        <v>57</v>
      </c>
      <c r="B66" s="1" t="s">
        <v>67</v>
      </c>
    </row>
    <row r="67" spans="1:2" x14ac:dyDescent="0.3">
      <c r="A67" s="1" t="s">
        <v>58</v>
      </c>
      <c r="B67" s="1" t="s">
        <v>67</v>
      </c>
    </row>
    <row r="68" spans="1:2" x14ac:dyDescent="0.3">
      <c r="A68" s="1" t="s">
        <v>59</v>
      </c>
      <c r="B68" s="1" t="s">
        <v>67</v>
      </c>
    </row>
    <row r="69" spans="1:2" x14ac:dyDescent="0.3">
      <c r="A69" s="1" t="s">
        <v>60</v>
      </c>
      <c r="B69" s="1" t="s">
        <v>67</v>
      </c>
    </row>
    <row r="70" spans="1:2" x14ac:dyDescent="0.3">
      <c r="A70" s="1" t="s">
        <v>61</v>
      </c>
      <c r="B70" s="1" t="s">
        <v>67</v>
      </c>
    </row>
    <row r="71" spans="1:2" x14ac:dyDescent="0.3">
      <c r="A71" s="1" t="s">
        <v>62</v>
      </c>
      <c r="B71" s="1">
        <v>3350</v>
      </c>
    </row>
    <row r="72" spans="1:2" x14ac:dyDescent="0.3">
      <c r="A72" s="1" t="s">
        <v>63</v>
      </c>
      <c r="B72" s="1">
        <v>5550</v>
      </c>
    </row>
    <row r="73" spans="1:2" x14ac:dyDescent="0.3">
      <c r="A73" s="1" t="s">
        <v>64</v>
      </c>
      <c r="B73" s="1" t="s">
        <v>67</v>
      </c>
    </row>
    <row r="74" spans="1:2" x14ac:dyDescent="0.3">
      <c r="A74" s="1" t="s">
        <v>65</v>
      </c>
      <c r="B74" s="1" t="s">
        <v>112</v>
      </c>
    </row>
    <row r="75" spans="1:2" x14ac:dyDescent="0.3">
      <c r="A75" s="1" t="s">
        <v>110</v>
      </c>
      <c r="B75" s="1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2025-10-17T23:45:43Z</dcterms:modified>
</cp:coreProperties>
</file>