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4B54257-FF74-B440-A2C6-63244505DAE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M28" i="1"/>
  <c r="L28" i="1"/>
  <c r="F28" i="1" s="1"/>
  <c r="K28" i="1"/>
  <c r="E28" i="1" s="1"/>
  <c r="J28" i="1"/>
  <c r="D28" i="1" s="1"/>
  <c r="C33" i="1"/>
  <c r="D33" i="1"/>
  <c r="E33" i="1"/>
  <c r="F33" i="1"/>
  <c r="D32" i="1"/>
  <c r="E32" i="1"/>
  <c r="F32" i="1"/>
  <c r="C32" i="1"/>
</calcChain>
</file>

<file path=xl/sharedStrings.xml><?xml version="1.0" encoding="utf-8"?>
<sst xmlns="http://schemas.openxmlformats.org/spreadsheetml/2006/main" count="118" uniqueCount="118">
  <si>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</si>
  <si>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</si>
  <si>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</si>
  <si>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</si>
  <si>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</si>
  <si>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</si>
  <si>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</si>
  <si>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</si>
  <si>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</si>
  <si>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</si>
  <si>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</si>
  <si>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</si>
  <si>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</si>
  <si>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</si>
  <si>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</si>
  <si>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</si>
  <si>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</si>
  <si>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</si>
  <si>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</si>
  <si>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</si>
  <si>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</si>
  <si>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</si>
  <si>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</si>
  <si>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</si>
  <si>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</si>
  <si>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</si>
  <si>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</si>
  <si>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</si>
  <si>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</si>
  <si>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</si>
  <si>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</si>
  <si>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</si>
  <si>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</si>
  <si>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</si>
  <si>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</si>
  <si>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</si>
  <si>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</si>
  <si>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</si>
  <si>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</si>
  <si>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</si>
  <si>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</si>
  <si>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</si>
  <si>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</si>
  <si>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</si>
  <si>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</si>
  <si>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</si>
  <si>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</si>
  <si>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</si>
  <si>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</si>
  <si>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</si>
  <si>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</si>
  <si>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</si>
  <si>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</si>
  <si>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</si>
  <si>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</si>
  <si>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</si>
  <si>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</si>
  <si>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</si>
  <si>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</si>
  <si>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</si>
  <si>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</si>
  <si>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</si>
  <si>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</si>
  <si>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</si>
  <si>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</si>
  <si>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</si>
  <si>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</si>
  <si>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</si>
  <si>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</si>
  <si>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</si>
  <si>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</si>
  <si>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trail</t>
  </si>
  <si>
    <t>Measurement</t>
  </si>
  <si>
    <t>State</t>
  </si>
  <si>
    <t>bike_weight_650</t>
  </si>
  <si>
    <t>bike_weight_700</t>
  </si>
  <si>
    <t>steel</t>
  </si>
  <si>
    <t>external</t>
  </si>
  <si>
    <t>https://www.statebicycle.com/collections/6061-all-road</t>
  </si>
  <si>
    <t>USD</t>
  </si>
  <si>
    <t>drop bar</t>
  </si>
  <si>
    <t>threaded</t>
  </si>
  <si>
    <t>XS (48cm)</t>
  </si>
  <si>
    <t>S (51cm)</t>
  </si>
  <si>
    <t>M (54cm)</t>
  </si>
  <si>
    <t>L (58cm)</t>
  </si>
  <si>
    <t>5'3" to 5'7"</t>
  </si>
  <si>
    <t>5'6" to 5'10"</t>
  </si>
  <si>
    <t>5'9" to 6'1"</t>
  </si>
  <si>
    <t>6'0" to 6'3"</t>
  </si>
  <si>
    <t>BB DROP</t>
  </si>
  <si>
    <t>CHAINSTAY LENGTH</t>
  </si>
  <si>
    <t>COMPLETE BIKE WEIGHT (700)</t>
  </si>
  <si>
    <t>20lbs 15oz</t>
  </si>
  <si>
    <t>21lbs 1oz</t>
  </si>
  <si>
    <t>21lbs 3oz</t>
  </si>
  <si>
    <t>21lbs 6oz</t>
  </si>
  <si>
    <t>COMPLETE BIKE WEIGHT (650)</t>
  </si>
  <si>
    <t>21lbs 8oz</t>
  </si>
  <si>
    <t>21lbs 10oz</t>
  </si>
  <si>
    <t>21lbs 12oz</t>
  </si>
  <si>
    <t>21lbs 15oz</t>
  </si>
  <si>
    <t>CRANK ARM LENGTH</t>
  </si>
  <si>
    <t>EFFECTIVE TOP TUBE LENGTH</t>
  </si>
  <si>
    <t>FORK OFFSET</t>
  </si>
  <si>
    <t>HEAD TUBE LENGTH</t>
  </si>
  <si>
    <t>HEAD TUBE ANGLE</t>
  </si>
  <si>
    <t>REACH</t>
  </si>
  <si>
    <t>SEAT TUBE</t>
  </si>
  <si>
    <t>SEAT TUBE ANGLE</t>
  </si>
  <si>
    <t>STACK</t>
  </si>
  <si>
    <t>STANDOVER HEIGHT (700*38C)</t>
  </si>
  <si>
    <t>WHEELBASE</t>
  </si>
  <si>
    <t>6061 All-Road</t>
  </si>
  <si>
    <t>a8:f33</t>
  </si>
  <si>
    <t>https://www.statebicycle.com/cdn/shop/files/6061All-Road-GraniteGrey_650b_700c_-1.jpg?v=1698786039</t>
  </si>
  <si>
    <t>location</t>
  </si>
  <si>
    <t>Phoenix, Arizona,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</si>
</sst>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topLeftCell="A10" workbookViewId="0">
      <selection activeCell="A73" sqref="A73:B74"/>
    </sheetView>
  </sheetViews>
  <sheetFormatPr baseColWidth="10" defaultRowHeight="20" x14ac:dyDescent="0.3"/>
  <cols>
    <col min="1" max="2" width="19.6640625" style="1" customWidth="1"/>
    <col min="3" max="6" width="11.44140625" style="1" bestFit="1" customWidth="1"/>
    <col min="7" max="16384" width="10.77734375" style="1"/>
  </cols>
  <sheetData>
    <row r="1" spans="1:11" x14ac:dyDescent="0.3">
      <c r="A1" s="1" t="s">
        <v>0</v>
      </c>
      <c r="B1" s="1" t="s">
        <v>73</v>
      </c>
    </row>
    <row r="2" spans="1:11" x14ac:dyDescent="0.3">
      <c r="A2" s="1" t="s">
        <v>1</v>
      </c>
      <c r="B2" s="1" t="s">
        <v>113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45919</v>
      </c>
    </row>
    <row r="5" spans="1:11" x14ac:dyDescent="0.3">
      <c r="A5" s="1" t="s">
        <v>4</v>
      </c>
      <c r="B5" s="1" t="s">
        <v>78</v>
      </c>
    </row>
    <row r="6" spans="1:11" x14ac:dyDescent="0.3">
      <c r="B6" s="1" t="s">
        <v>115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114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5" t="s">
        <v>72</v>
      </c>
      <c r="C8" s="1" t="s">
        <v>82</v>
      </c>
      <c r="D8" s="1" t="s">
        <v>83</v>
      </c>
      <c r="E8" s="1" t="s">
        <v>84</v>
      </c>
      <c r="F8" s="1" t="s">
        <v>85</v>
      </c>
    </row>
    <row r="9" spans="1:11" x14ac:dyDescent="0.3">
      <c r="A9" s="1" t="s">
        <v>13</v>
      </c>
      <c r="B9" s="1" t="s">
        <v>90</v>
      </c>
      <c r="C9" s="1">
        <v>68</v>
      </c>
      <c r="D9" s="1">
        <v>68</v>
      </c>
      <c r="E9" s="1">
        <v>68</v>
      </c>
      <c r="F9" s="1">
        <v>68</v>
      </c>
    </row>
    <row r="10" spans="1:11" x14ac:dyDescent="0.3">
      <c r="A10" s="1" t="s">
        <v>12</v>
      </c>
      <c r="B10" s="1" t="s">
        <v>91</v>
      </c>
      <c r="C10" s="1">
        <v>435</v>
      </c>
      <c r="D10" s="1">
        <v>435</v>
      </c>
      <c r="E10" s="1">
        <v>435</v>
      </c>
      <c r="F10" s="1">
        <v>435</v>
      </c>
    </row>
    <row r="11" spans="1:11" x14ac:dyDescent="0.3">
      <c r="A11" s="1" t="s">
        <v>75</v>
      </c>
      <c r="B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</row>
    <row r="12" spans="1:11" x14ac:dyDescent="0.3">
      <c r="A12" s="1" t="s">
        <v>74</v>
      </c>
      <c r="B12" s="1" t="s">
        <v>97</v>
      </c>
      <c r="G12" s="1" t="s">
        <v>98</v>
      </c>
      <c r="H12" s="1" t="s">
        <v>99</v>
      </c>
      <c r="I12" s="1" t="s">
        <v>100</v>
      </c>
      <c r="J12" s="1" t="s">
        <v>101</v>
      </c>
    </row>
    <row r="13" spans="1:11" x14ac:dyDescent="0.3">
      <c r="A13" s="1" t="s">
        <v>19</v>
      </c>
      <c r="B13" s="1" t="s">
        <v>102</v>
      </c>
      <c r="C13" s="1">
        <v>165</v>
      </c>
      <c r="D13" s="1">
        <v>170</v>
      </c>
      <c r="E13" s="1">
        <v>170</v>
      </c>
      <c r="F13" s="1">
        <v>175</v>
      </c>
    </row>
    <row r="14" spans="1:11" x14ac:dyDescent="0.3">
      <c r="A14" s="1" t="s">
        <v>8</v>
      </c>
      <c r="B14" s="1" t="s">
        <v>103</v>
      </c>
      <c r="C14" s="1">
        <v>520</v>
      </c>
      <c r="D14" s="1">
        <v>535</v>
      </c>
      <c r="E14" s="1">
        <v>555</v>
      </c>
      <c r="F14" s="1">
        <v>575</v>
      </c>
    </row>
    <row r="15" spans="1:11" x14ac:dyDescent="0.3">
      <c r="A15" s="1" t="s">
        <v>18</v>
      </c>
      <c r="B15" s="1" t="s">
        <v>104</v>
      </c>
      <c r="C15" s="1">
        <v>45</v>
      </c>
      <c r="D15" s="1">
        <v>45</v>
      </c>
      <c r="E15" s="1">
        <v>45</v>
      </c>
      <c r="F15" s="1">
        <v>45</v>
      </c>
    </row>
    <row r="16" spans="1:11" x14ac:dyDescent="0.3">
      <c r="A16" s="1" t="s">
        <v>9</v>
      </c>
      <c r="B16" s="1" t="s">
        <v>105</v>
      </c>
      <c r="C16" s="1">
        <v>120</v>
      </c>
      <c r="D16" s="1">
        <v>140</v>
      </c>
      <c r="E16" s="1">
        <v>150</v>
      </c>
      <c r="F16" s="1">
        <v>190</v>
      </c>
    </row>
    <row r="17" spans="1:13" x14ac:dyDescent="0.3">
      <c r="A17" s="1" t="s">
        <v>11</v>
      </c>
      <c r="B17" s="1" t="s">
        <v>106</v>
      </c>
      <c r="C17" s="1">
        <v>70.5</v>
      </c>
      <c r="D17" s="1">
        <v>71</v>
      </c>
      <c r="E17" s="1">
        <v>71.5</v>
      </c>
      <c r="F17" s="1">
        <v>72</v>
      </c>
    </row>
    <row r="18" spans="1:13" x14ac:dyDescent="0.3">
      <c r="A18" s="1" t="s">
        <v>17</v>
      </c>
      <c r="B18" s="1" t="s">
        <v>107</v>
      </c>
      <c r="C18" s="1">
        <v>371</v>
      </c>
      <c r="D18" s="1">
        <v>375</v>
      </c>
      <c r="E18" s="1">
        <v>381</v>
      </c>
      <c r="F18" s="1">
        <v>383</v>
      </c>
    </row>
    <row r="19" spans="1:13" x14ac:dyDescent="0.3">
      <c r="A19" s="1" t="s">
        <v>7</v>
      </c>
      <c r="B19" s="1" t="s">
        <v>108</v>
      </c>
      <c r="C19" s="1">
        <v>480</v>
      </c>
      <c r="D19" s="1">
        <v>510</v>
      </c>
      <c r="E19" s="1">
        <v>540</v>
      </c>
      <c r="F19" s="1">
        <v>580</v>
      </c>
    </row>
    <row r="20" spans="1:13" x14ac:dyDescent="0.3">
      <c r="A20" s="1" t="s">
        <v>10</v>
      </c>
      <c r="B20" s="1" t="s">
        <v>109</v>
      </c>
      <c r="C20" s="1">
        <v>74.5</v>
      </c>
      <c r="D20" s="1">
        <v>74</v>
      </c>
      <c r="E20" s="1">
        <v>73</v>
      </c>
      <c r="F20" s="1">
        <v>72.5</v>
      </c>
    </row>
    <row r="21" spans="1:13" x14ac:dyDescent="0.3">
      <c r="A21" s="1" t="s">
        <v>16</v>
      </c>
      <c r="B21" s="1" t="s">
        <v>110</v>
      </c>
      <c r="C21" s="1">
        <v>538</v>
      </c>
      <c r="D21" s="1">
        <v>559</v>
      </c>
      <c r="E21" s="1">
        <v>572</v>
      </c>
      <c r="F21" s="1">
        <v>609</v>
      </c>
    </row>
    <row r="22" spans="1:13" x14ac:dyDescent="0.3">
      <c r="A22" s="1" t="s">
        <v>15</v>
      </c>
      <c r="B22" s="1" t="s">
        <v>111</v>
      </c>
      <c r="C22" s="1">
        <v>755</v>
      </c>
      <c r="D22" s="1">
        <v>780</v>
      </c>
      <c r="E22" s="1">
        <v>797</v>
      </c>
      <c r="F22" s="1">
        <v>834</v>
      </c>
    </row>
    <row r="23" spans="1:13" x14ac:dyDescent="0.3">
      <c r="A23" s="1" t="s">
        <v>14</v>
      </c>
      <c r="B23" s="1" t="s">
        <v>112</v>
      </c>
      <c r="C23" s="1">
        <v>1015</v>
      </c>
      <c r="D23" s="1">
        <v>1021</v>
      </c>
      <c r="E23" s="1">
        <v>1026</v>
      </c>
      <c r="F23" s="1">
        <v>1037</v>
      </c>
    </row>
    <row r="24" spans="1:13" x14ac:dyDescent="0.3">
      <c r="A24" s="1" t="s">
        <v>22</v>
      </c>
    </row>
    <row r="25" spans="1:13" x14ac:dyDescent="0.3">
      <c r="A25" s="1" t="s">
        <v>71</v>
      </c>
    </row>
    <row r="26" spans="1:13" x14ac:dyDescent="0.3">
      <c r="A26" s="1" t="s">
        <v>20</v>
      </c>
    </row>
    <row r="27" spans="1:13" x14ac:dyDescent="0.3">
      <c r="A27" s="1" t="s">
        <v>21</v>
      </c>
    </row>
    <row r="28" spans="1:13" x14ac:dyDescent="0.3">
      <c r="A28" s="1" t="s">
        <v>23</v>
      </c>
      <c r="C28" s="8">
        <f>I28/2.205 * 1000</f>
        <v>1814.0589569160995</v>
      </c>
      <c r="D28" s="8">
        <f t="shared" ref="D28:F28" si="0">J28/2.205 * 1000</f>
        <v>1870.7482993197277</v>
      </c>
      <c r="E28" s="8">
        <f t="shared" si="0"/>
        <v>1927.4376417233559</v>
      </c>
      <c r="F28" s="8">
        <f t="shared" si="0"/>
        <v>2012.4716553287981</v>
      </c>
      <c r="I28" s="1">
        <v>4</v>
      </c>
      <c r="J28" s="1">
        <f>4+2/16</f>
        <v>4.125</v>
      </c>
      <c r="K28" s="1">
        <f>4+4/16</f>
        <v>4.25</v>
      </c>
      <c r="L28" s="1">
        <f>4+7/16</f>
        <v>4.4375</v>
      </c>
      <c r="M28" s="1">
        <f>4+12/16</f>
        <v>4.75</v>
      </c>
    </row>
    <row r="29" spans="1:13" x14ac:dyDescent="0.3">
      <c r="A29" s="1" t="s">
        <v>24</v>
      </c>
      <c r="C29" s="4">
        <v>700</v>
      </c>
      <c r="D29" s="4">
        <v>700</v>
      </c>
      <c r="E29" s="4">
        <v>700</v>
      </c>
      <c r="F29" s="4">
        <v>700</v>
      </c>
      <c r="G29" s="4"/>
      <c r="H29" s="4"/>
      <c r="I29" s="4"/>
      <c r="J29" s="4"/>
      <c r="K29" s="4"/>
    </row>
    <row r="30" spans="1:13" x14ac:dyDescent="0.3">
      <c r="A30" s="1" t="s">
        <v>25</v>
      </c>
      <c r="C30" s="4">
        <v>38</v>
      </c>
      <c r="D30" s="4">
        <v>38</v>
      </c>
      <c r="E30" s="4">
        <v>38</v>
      </c>
      <c r="F30" s="4">
        <v>38</v>
      </c>
      <c r="G30" s="4"/>
      <c r="H30" s="4"/>
      <c r="I30" s="4"/>
      <c r="J30" s="4"/>
      <c r="K30" s="4"/>
    </row>
    <row r="31" spans="1:13" x14ac:dyDescent="0.3">
      <c r="A31" s="1" t="s">
        <v>26</v>
      </c>
      <c r="C31" s="1">
        <v>42</v>
      </c>
      <c r="D31" s="1">
        <v>42</v>
      </c>
      <c r="E31" s="1">
        <v>42</v>
      </c>
      <c r="F31" s="1">
        <v>42</v>
      </c>
    </row>
    <row r="32" spans="1:13" x14ac:dyDescent="0.3">
      <c r="A32" s="1" t="s">
        <v>27</v>
      </c>
      <c r="C32" s="7">
        <f>C34*2.54</f>
        <v>160.02000000000001</v>
      </c>
      <c r="D32" s="7">
        <f t="shared" ref="D32:F33" si="1">D34*2.54</f>
        <v>167.64000000000001</v>
      </c>
      <c r="E32" s="7">
        <f t="shared" si="1"/>
        <v>175.26</v>
      </c>
      <c r="F32" s="7">
        <f t="shared" si="1"/>
        <v>182.88</v>
      </c>
    </row>
    <row r="33" spans="1:8" x14ac:dyDescent="0.3">
      <c r="A33" s="1" t="s">
        <v>28</v>
      </c>
      <c r="C33" s="7">
        <f>C35*2.54</f>
        <v>170.18</v>
      </c>
      <c r="D33" s="7">
        <f t="shared" si="1"/>
        <v>177.8</v>
      </c>
      <c r="E33" s="7">
        <f t="shared" si="1"/>
        <v>185.42000000000002</v>
      </c>
      <c r="F33" s="7">
        <f t="shared" si="1"/>
        <v>190.5</v>
      </c>
    </row>
    <row r="34" spans="1:8" x14ac:dyDescent="0.3">
      <c r="C34" s="1">
        <v>63</v>
      </c>
      <c r="D34" s="1">
        <v>66</v>
      </c>
      <c r="E34" s="1">
        <v>69</v>
      </c>
      <c r="F34" s="1">
        <v>72</v>
      </c>
    </row>
    <row r="35" spans="1:8" x14ac:dyDescent="0.3">
      <c r="A35" s="1" t="s">
        <v>29</v>
      </c>
      <c r="B35" s="1" t="s">
        <v>30</v>
      </c>
      <c r="C35" s="1">
        <v>67</v>
      </c>
      <c r="D35" s="1">
        <v>70</v>
      </c>
      <c r="E35" s="1">
        <v>73</v>
      </c>
      <c r="F35" s="1">
        <v>75</v>
      </c>
      <c r="H35" s="4"/>
    </row>
    <row r="36" spans="1:8" x14ac:dyDescent="0.3">
      <c r="A36" s="1" t="s">
        <v>66</v>
      </c>
      <c r="B36" s="1" t="s">
        <v>67</v>
      </c>
      <c r="C36" s="1" t="s">
        <v>86</v>
      </c>
      <c r="D36" s="1" t="s">
        <v>87</v>
      </c>
      <c r="E36" s="1" t="s">
        <v>88</v>
      </c>
      <c r="F36" s="1" t="s">
        <v>89</v>
      </c>
    </row>
    <row r="37" spans="1:8" x14ac:dyDescent="0.3">
      <c r="A37" s="1" t="s">
        <v>68</v>
      </c>
      <c r="B37" s="1" t="s">
        <v>80</v>
      </c>
    </row>
    <row r="38" spans="1:8" x14ac:dyDescent="0.3">
      <c r="A38" s="1" t="s">
        <v>69</v>
      </c>
      <c r="B38" s="1" t="s">
        <v>70</v>
      </c>
    </row>
    <row r="39" spans="1:8" x14ac:dyDescent="0.3">
      <c r="A39" s="1" t="s">
        <v>31</v>
      </c>
      <c r="B39" s="1" t="s">
        <v>76</v>
      </c>
    </row>
    <row r="40" spans="1:8" x14ac:dyDescent="0.3">
      <c r="A40" s="1" t="s">
        <v>32</v>
      </c>
    </row>
    <row r="41" spans="1:8" x14ac:dyDescent="0.3">
      <c r="A41" s="1" t="s">
        <v>33</v>
      </c>
    </row>
    <row r="42" spans="1:8" x14ac:dyDescent="0.3">
      <c r="A42" s="1" t="s">
        <v>34</v>
      </c>
      <c r="B42" s="1">
        <v>45</v>
      </c>
    </row>
    <row r="43" spans="1:8" x14ac:dyDescent="0.3">
      <c r="A43" s="1" t="s">
        <v>35</v>
      </c>
      <c r="B43" s="6">
        <v>2.1</v>
      </c>
    </row>
    <row r="44" spans="1:8" x14ac:dyDescent="0.3">
      <c r="A44" s="1" t="s">
        <v>36</v>
      </c>
    </row>
    <row r="45" spans="1:8" x14ac:dyDescent="0.3">
      <c r="A45" s="1" t="s">
        <v>37</v>
      </c>
    </row>
    <row r="46" spans="1:8" x14ac:dyDescent="0.3">
      <c r="A46" s="1" t="s">
        <v>38</v>
      </c>
    </row>
    <row r="47" spans="1:8" x14ac:dyDescent="0.3">
      <c r="A47" s="1" t="s">
        <v>39</v>
      </c>
    </row>
    <row r="48" spans="1:8" x14ac:dyDescent="0.3">
      <c r="A48" s="1" t="s">
        <v>40</v>
      </c>
      <c r="B48" s="1">
        <v>142</v>
      </c>
    </row>
    <row r="49" spans="1:2" x14ac:dyDescent="0.3">
      <c r="A49" s="1" t="s">
        <v>41</v>
      </c>
      <c r="B49" s="1">
        <v>100</v>
      </c>
    </row>
    <row r="50" spans="1:2" x14ac:dyDescent="0.3">
      <c r="A50" s="1" t="s">
        <v>42</v>
      </c>
      <c r="B50" s="1" t="s">
        <v>81</v>
      </c>
    </row>
    <row r="51" spans="1:2" x14ac:dyDescent="0.3">
      <c r="A51" s="1" t="s">
        <v>43</v>
      </c>
    </row>
    <row r="52" spans="1:2" x14ac:dyDescent="0.3">
      <c r="A52" s="1" t="s">
        <v>44</v>
      </c>
      <c r="B52" s="1">
        <v>31.6</v>
      </c>
    </row>
    <row r="53" spans="1:2" x14ac:dyDescent="0.3">
      <c r="A53" s="1" t="s">
        <v>45</v>
      </c>
    </row>
    <row r="54" spans="1:2" x14ac:dyDescent="0.3">
      <c r="A54" s="1" t="s">
        <v>46</v>
      </c>
    </row>
    <row r="55" spans="1:2" x14ac:dyDescent="0.3">
      <c r="A55" s="1" t="s">
        <v>47</v>
      </c>
    </row>
    <row r="56" spans="1:2" x14ac:dyDescent="0.3">
      <c r="A56" s="1" t="s">
        <v>48</v>
      </c>
    </row>
    <row r="57" spans="1:2" x14ac:dyDescent="0.3">
      <c r="A57" s="1" t="s">
        <v>49</v>
      </c>
    </row>
    <row r="58" spans="1:2" x14ac:dyDescent="0.3">
      <c r="A58" s="1" t="s">
        <v>50</v>
      </c>
    </row>
    <row r="59" spans="1:2" x14ac:dyDescent="0.3">
      <c r="A59" s="1" t="s">
        <v>51</v>
      </c>
      <c r="B59" s="1" t="s">
        <v>77</v>
      </c>
    </row>
    <row r="60" spans="1:2" x14ac:dyDescent="0.3">
      <c r="A60" s="1" t="s">
        <v>52</v>
      </c>
    </row>
    <row r="61" spans="1:2" x14ac:dyDescent="0.3">
      <c r="A61" s="1" t="s">
        <v>53</v>
      </c>
    </row>
    <row r="62" spans="1:2" x14ac:dyDescent="0.3">
      <c r="A62" s="1" t="s">
        <v>54</v>
      </c>
    </row>
    <row r="63" spans="1:2" x14ac:dyDescent="0.3">
      <c r="A63" s="1" t="s">
        <v>55</v>
      </c>
    </row>
    <row r="64" spans="1:2" x14ac:dyDescent="0.3">
      <c r="A64" s="1" t="s">
        <v>56</v>
      </c>
    </row>
    <row r="65" spans="1:2" x14ac:dyDescent="0.3">
      <c r="A65" s="1" t="s">
        <v>57</v>
      </c>
    </row>
    <row r="66" spans="1:2" x14ac:dyDescent="0.3">
      <c r="A66" s="1" t="s">
        <v>58</v>
      </c>
    </row>
    <row r="67" spans="1:2" x14ac:dyDescent="0.3">
      <c r="A67" s="1" t="s">
        <v>59</v>
      </c>
    </row>
    <row r="68" spans="1:2" x14ac:dyDescent="0.3">
      <c r="A68" s="1" t="s">
        <v>60</v>
      </c>
    </row>
    <row r="69" spans="1:2" x14ac:dyDescent="0.3">
      <c r="A69" s="1" t="s">
        <v>61</v>
      </c>
    </row>
    <row r="70" spans="1:2" x14ac:dyDescent="0.3">
      <c r="A70" s="1" t="s">
        <v>62</v>
      </c>
      <c r="B70" s="1">
        <v>679</v>
      </c>
    </row>
    <row r="71" spans="1:2" x14ac:dyDescent="0.3">
      <c r="A71" s="1" t="s">
        <v>63</v>
      </c>
      <c r="B71" s="1">
        <v>1399</v>
      </c>
    </row>
    <row r="72" spans="1:2" x14ac:dyDescent="0.3">
      <c r="A72" s="1" t="s">
        <v>64</v>
      </c>
    </row>
    <row r="73" spans="1:2" x14ac:dyDescent="0.3">
      <c r="A73" s="1" t="s">
        <v>65</v>
      </c>
      <c r="B73" s="1" t="s">
        <v>79</v>
      </c>
    </row>
    <row r="74" spans="1:2" x14ac:dyDescent="0.3">
      <c r="A74" s="1" t="s">
        <v>116</v>
      </c>
      <c r="B74" s="1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2025-10-24T22:23:24Z</dcterms:modified>
</cp:coreProperties>
</file>