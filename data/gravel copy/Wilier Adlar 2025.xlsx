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74168C92-FAB9-D041-A5C0-FF5DE5E3FB50}" xr6:coauthVersionLast="47" xr6:coauthVersionMax="47" xr10:uidLastSave="{00000000-0000-0000-0000-000000000000}"/>
  <bookViews>
    <workbookView xWindow="18440" yWindow="-23500" windowWidth="25220" windowHeight="19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E9" i="1"/>
  <c r="F9" i="1"/>
  <c r="G9" i="1"/>
  <c r="D10" i="1"/>
  <c r="E10" i="1"/>
  <c r="F10" i="1"/>
  <c r="G10" i="1"/>
  <c r="D11" i="1"/>
  <c r="E11" i="1"/>
  <c r="F11" i="1"/>
  <c r="G11" i="1"/>
  <c r="D12" i="1"/>
  <c r="E12" i="1"/>
  <c r="F12" i="1"/>
  <c r="G12" i="1"/>
  <c r="D13" i="1"/>
  <c r="E13" i="1"/>
  <c r="F13" i="1"/>
  <c r="G13" i="1"/>
  <c r="D14" i="1"/>
  <c r="E14" i="1"/>
  <c r="F14" i="1"/>
  <c r="G14" i="1"/>
  <c r="C12" i="1"/>
  <c r="C10" i="1"/>
  <c r="C11" i="1"/>
  <c r="C13" i="1"/>
  <c r="C14" i="1"/>
  <c r="C9" i="1"/>
</calcChain>
</file>

<file path=xl/sharedStrings.xml><?xml version="1.0" encoding="utf-8"?>
<sst xmlns="http://schemas.openxmlformats.org/spreadsheetml/2006/main" count="115" uniqueCount="106">
  <si>
    <t>brand</t>
  </si>
  <si>
    <t>Wilier</t>
  </si>
  <si>
    <t>model</t>
  </si>
  <si>
    <t>model year</t>
  </si>
  <si>
    <t>2025</t>
  </si>
  <si>
    <t>input date</t>
  </si>
  <si>
    <t>URL</t>
  </si>
  <si>
    <t>data_range</t>
  </si>
  <si>
    <t>frame_size</t>
  </si>
  <si>
    <t>frame size</t>
  </si>
  <si>
    <t>XS</t>
  </si>
  <si>
    <t>S</t>
  </si>
  <si>
    <t>M</t>
  </si>
  <si>
    <t>L</t>
  </si>
  <si>
    <t>XL</t>
  </si>
  <si>
    <t>seat_tube_cc</t>
  </si>
  <si>
    <t>C/C (cm)</t>
  </si>
  <si>
    <t>top_tube_effective_length</t>
  </si>
  <si>
    <t>L (cm)</t>
  </si>
  <si>
    <t>seat_tube_length</t>
  </si>
  <si>
    <t>H (cm)</t>
  </si>
  <si>
    <t>seat_tube_angle</t>
  </si>
  <si>
    <t>A (°)</t>
  </si>
  <si>
    <t>chainstay_length</t>
  </si>
  <si>
    <t>L1 (cm)</t>
  </si>
  <si>
    <t>head_tube_length</t>
  </si>
  <si>
    <t>H1 (cm)</t>
  </si>
  <si>
    <t>head_tube_angle</t>
  </si>
  <si>
    <t>A1 (°)</t>
  </si>
  <si>
    <t>reach</t>
  </si>
  <si>
    <t>Reach (mm)</t>
  </si>
  <si>
    <t>stack</t>
  </si>
  <si>
    <t>Stack (mm)</t>
  </si>
  <si>
    <t>wheelbase</t>
  </si>
  <si>
    <t>Wheelbase (mm)</t>
  </si>
  <si>
    <t>bottom_bracket_drop</t>
  </si>
  <si>
    <t>fork_offset_rake</t>
  </si>
  <si>
    <t>front_center</t>
  </si>
  <si>
    <t>axle_crown</t>
  </si>
  <si>
    <t>trail</t>
  </si>
  <si>
    <t>handlebar_width</t>
  </si>
  <si>
    <t>stem_length</t>
  </si>
  <si>
    <t>crank_length</t>
  </si>
  <si>
    <t>standover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</si>
  <si>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</si>
  <si>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</si>
  <si>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</si>
  <si>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</si>
  <si>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</si>
  <si>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</si>
  <si>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</si>
  <si>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</si>
  <si>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</si>
  <si>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</si>
  <si>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yes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</si>
  <si>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</si>
  <si>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</si>
  <si>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</si>
  <si>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</si>
  <si>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</si>
  <si>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</si>
  <si>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</si>
  <si>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</si>
  <si>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</si>
  <si>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</si>
  <si>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</si>
  <si>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</si>
  <si>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</si>
  <si>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</si>
  <si>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</si>
  <si>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</si>
  <si>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</si>
  <si>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</si>
  <si>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</si>
  <si>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</si>
  <si>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</si>
  <si>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</si>
  <si>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</si>
  <si>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</si>
  <si>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</si>
  <si>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</si>
  <si>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</si>
  <si>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</si>
  <si>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</si>
  <si>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</si>
  <si>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</si>
  <si>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</si>
  <si>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</si>
  <si>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</si>
  <si>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</si>
  <si>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</si>
  <si>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</si>
  <si>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</si>
  <si>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</si>
  <si>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location</t>
  </si>
  <si>
    <t>Rossano Veneto, Italy</t>
  </si>
  <si>
    <t>EUR</t>
  </si>
  <si>
    <t>internal</t>
  </si>
  <si>
    <t>carbon</t>
  </si>
  <si>
    <t>Adlar</t>
  </si>
  <si>
    <t>https://www.wilier.com/en/bikes/gravel/adlar?color=c9-bottle-green</t>
  </si>
  <si>
    <t>https://wilier-cdn.thron.com/delivery/public/image/wilier/12a4e770-e208-49d2-a675-7b07d4bab8ac/gvltaa/std/5040x3078/_c9_1?scalemode=product&amp;format=webp</t>
  </si>
  <si>
    <t>press fit</t>
  </si>
  <si>
    <t>this is correct</t>
  </si>
  <si>
    <t>a8:g33</t>
  </si>
  <si>
    <t>https://bikeinsights.com/bikes/6528712e18717d001ea95b21-wilier-triestina-adlar?version=2025&amp;build=base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</si>
</sst>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4"/>
  <sheetViews>
    <sheetView tabSelected="1" workbookViewId="0">
      <selection activeCell="H20" sqref="H20"/>
    </sheetView>
  </sheetViews>
  <sheetFormatPr baseColWidth="10" defaultRowHeight="20" x14ac:dyDescent="0.3"/>
  <cols>
    <col min="1" max="2" width="19.6640625" customWidth="1"/>
  </cols>
  <sheetData>
    <row r="1" spans="1:13" x14ac:dyDescent="0.3">
      <c r="A1" t="s">
        <v>0</v>
      </c>
      <c r="B1" t="s">
        <v>1</v>
      </c>
    </row>
    <row r="2" spans="1:13" x14ac:dyDescent="0.3">
      <c r="A2" t="s">
        <v>2</v>
      </c>
      <c r="B2" s="1" t="s">
        <v>99</v>
      </c>
    </row>
    <row r="3" spans="1:13" x14ac:dyDescent="0.3">
      <c r="A3" t="s">
        <v>3</v>
      </c>
      <c r="B3" t="s">
        <v>4</v>
      </c>
    </row>
    <row r="4" spans="1:13" x14ac:dyDescent="0.3">
      <c r="A4" t="s">
        <v>5</v>
      </c>
      <c r="B4" s="2">
        <v>45950</v>
      </c>
    </row>
    <row r="5" spans="1:13" x14ac:dyDescent="0.3">
      <c r="A5" t="s">
        <v>6</v>
      </c>
      <c r="B5" t="s">
        <v>100</v>
      </c>
    </row>
    <row r="6" spans="1:13" x14ac:dyDescent="0.3">
      <c r="B6" t="s">
        <v>101</v>
      </c>
    </row>
    <row r="7" spans="1:13" x14ac:dyDescent="0.3">
      <c r="A7" t="s">
        <v>7</v>
      </c>
      <c r="B7" s="1" t="s">
        <v>104</v>
      </c>
    </row>
    <row r="8" spans="1:13" x14ac:dyDescent="0.3">
      <c r="A8" t="s">
        <v>8</v>
      </c>
      <c r="B8" s="1" t="s">
        <v>9</v>
      </c>
      <c r="C8" s="1" t="s">
        <v>10</v>
      </c>
      <c r="D8" t="s">
        <v>11</v>
      </c>
      <c r="E8" t="s">
        <v>12</v>
      </c>
      <c r="F8" t="s">
        <v>13</v>
      </c>
      <c r="G8" t="s">
        <v>14</v>
      </c>
    </row>
    <row r="9" spans="1:13" x14ac:dyDescent="0.3">
      <c r="A9" t="s">
        <v>15</v>
      </c>
      <c r="B9" t="s">
        <v>16</v>
      </c>
      <c r="C9">
        <f>I9*10</f>
        <v>380</v>
      </c>
      <c r="D9">
        <f t="shared" ref="D9:G11" si="0">J9*10</f>
        <v>410</v>
      </c>
      <c r="E9">
        <f t="shared" si="0"/>
        <v>440</v>
      </c>
      <c r="F9">
        <f t="shared" si="0"/>
        <v>470</v>
      </c>
      <c r="G9">
        <f t="shared" si="0"/>
        <v>510</v>
      </c>
      <c r="I9">
        <v>38</v>
      </c>
      <c r="J9">
        <v>41</v>
      </c>
      <c r="K9">
        <v>44</v>
      </c>
      <c r="L9">
        <v>47</v>
      </c>
      <c r="M9">
        <v>51</v>
      </c>
    </row>
    <row r="10" spans="1:13" x14ac:dyDescent="0.3">
      <c r="A10" t="s">
        <v>17</v>
      </c>
      <c r="B10" t="s">
        <v>18</v>
      </c>
      <c r="C10">
        <f t="shared" ref="C10:C14" si="1">I10*10</f>
        <v>542</v>
      </c>
      <c r="D10">
        <f t="shared" si="0"/>
        <v>562</v>
      </c>
      <c r="E10">
        <f t="shared" si="0"/>
        <v>583</v>
      </c>
      <c r="F10">
        <f t="shared" si="0"/>
        <v>599</v>
      </c>
      <c r="G10">
        <f t="shared" si="0"/>
        <v>621</v>
      </c>
      <c r="I10">
        <v>54.2</v>
      </c>
      <c r="J10">
        <v>56.2</v>
      </c>
      <c r="K10">
        <v>58.3</v>
      </c>
      <c r="L10">
        <v>59.9</v>
      </c>
      <c r="M10">
        <v>62.1</v>
      </c>
    </row>
    <row r="11" spans="1:13" x14ac:dyDescent="0.3">
      <c r="A11" t="s">
        <v>19</v>
      </c>
      <c r="B11" t="s">
        <v>20</v>
      </c>
      <c r="C11">
        <f t="shared" si="1"/>
        <v>440</v>
      </c>
      <c r="D11">
        <f t="shared" si="0"/>
        <v>470</v>
      </c>
      <c r="E11">
        <f t="shared" si="0"/>
        <v>500</v>
      </c>
      <c r="F11">
        <f t="shared" si="0"/>
        <v>530</v>
      </c>
      <c r="G11">
        <f t="shared" si="0"/>
        <v>570</v>
      </c>
      <c r="I11">
        <v>44</v>
      </c>
      <c r="J11">
        <v>47</v>
      </c>
      <c r="K11">
        <v>50</v>
      </c>
      <c r="L11">
        <v>53</v>
      </c>
      <c r="M11">
        <v>57</v>
      </c>
    </row>
    <row r="12" spans="1:13" x14ac:dyDescent="0.3">
      <c r="A12" t="s">
        <v>21</v>
      </c>
      <c r="B12" t="s">
        <v>22</v>
      </c>
      <c r="C12">
        <f>I12</f>
        <v>75</v>
      </c>
      <c r="D12">
        <f t="shared" ref="D12:G12" si="2">J12</f>
        <v>74.5</v>
      </c>
      <c r="E12">
        <f t="shared" si="2"/>
        <v>74</v>
      </c>
      <c r="F12">
        <f t="shared" si="2"/>
        <v>74</v>
      </c>
      <c r="G12">
        <f t="shared" si="2"/>
        <v>73.5</v>
      </c>
      <c r="I12">
        <v>75</v>
      </c>
      <c r="J12">
        <v>74.5</v>
      </c>
      <c r="K12">
        <v>74</v>
      </c>
      <c r="L12">
        <v>74</v>
      </c>
      <c r="M12">
        <v>73.5</v>
      </c>
    </row>
    <row r="13" spans="1:13" x14ac:dyDescent="0.3">
      <c r="A13" t="s">
        <v>23</v>
      </c>
      <c r="B13" t="s">
        <v>24</v>
      </c>
      <c r="C13">
        <f t="shared" si="1"/>
        <v>423</v>
      </c>
      <c r="D13">
        <f t="shared" ref="D13:D14" si="3">J13*10</f>
        <v>423</v>
      </c>
      <c r="E13">
        <f t="shared" ref="E13:E14" si="4">K13*10</f>
        <v>423</v>
      </c>
      <c r="F13">
        <f t="shared" ref="F13:F14" si="5">L13*10</f>
        <v>423</v>
      </c>
      <c r="G13">
        <f t="shared" ref="G13:G14" si="6">M13*10</f>
        <v>423</v>
      </c>
      <c r="I13">
        <v>42.3</v>
      </c>
      <c r="J13">
        <v>42.3</v>
      </c>
      <c r="K13">
        <v>42.3</v>
      </c>
      <c r="L13">
        <v>42.3</v>
      </c>
      <c r="M13">
        <v>42.3</v>
      </c>
    </row>
    <row r="14" spans="1:13" x14ac:dyDescent="0.3">
      <c r="A14" t="s">
        <v>25</v>
      </c>
      <c r="B14" t="s">
        <v>26</v>
      </c>
      <c r="C14">
        <f t="shared" si="1"/>
        <v>79</v>
      </c>
      <c r="D14">
        <f t="shared" si="3"/>
        <v>104</v>
      </c>
      <c r="E14">
        <f t="shared" si="4"/>
        <v>130</v>
      </c>
      <c r="F14">
        <f t="shared" si="5"/>
        <v>155</v>
      </c>
      <c r="G14">
        <f t="shared" si="6"/>
        <v>181</v>
      </c>
      <c r="I14">
        <v>7.9</v>
      </c>
      <c r="J14">
        <v>10.4</v>
      </c>
      <c r="K14">
        <v>13</v>
      </c>
      <c r="L14">
        <v>15.5</v>
      </c>
      <c r="M14">
        <v>18.100000000000001</v>
      </c>
    </row>
    <row r="15" spans="1:13" x14ac:dyDescent="0.3">
      <c r="A15" t="s">
        <v>27</v>
      </c>
      <c r="B15" t="s">
        <v>28</v>
      </c>
      <c r="C15">
        <v>70</v>
      </c>
      <c r="D15">
        <v>70</v>
      </c>
      <c r="E15">
        <v>70</v>
      </c>
      <c r="F15">
        <v>70</v>
      </c>
      <c r="G15">
        <v>70</v>
      </c>
    </row>
    <row r="16" spans="1:13" x14ac:dyDescent="0.3">
      <c r="A16" t="s">
        <v>29</v>
      </c>
      <c r="B16" t="s">
        <v>30</v>
      </c>
      <c r="C16">
        <v>395</v>
      </c>
      <c r="D16">
        <v>404</v>
      </c>
      <c r="E16">
        <v>413</v>
      </c>
      <c r="F16">
        <v>422</v>
      </c>
      <c r="G16">
        <v>431</v>
      </c>
    </row>
    <row r="17" spans="1:9" x14ac:dyDescent="0.3">
      <c r="A17" t="s">
        <v>31</v>
      </c>
      <c r="B17" t="s">
        <v>32</v>
      </c>
      <c r="C17">
        <v>538</v>
      </c>
      <c r="D17">
        <v>562</v>
      </c>
      <c r="E17">
        <v>586</v>
      </c>
      <c r="F17">
        <v>610</v>
      </c>
      <c r="G17">
        <v>634</v>
      </c>
    </row>
    <row r="18" spans="1:9" x14ac:dyDescent="0.3">
      <c r="A18" t="s">
        <v>33</v>
      </c>
      <c r="B18" t="s">
        <v>34</v>
      </c>
      <c r="C18">
        <v>1030</v>
      </c>
      <c r="D18">
        <v>1048</v>
      </c>
      <c r="E18">
        <v>1065</v>
      </c>
      <c r="F18">
        <v>1083</v>
      </c>
      <c r="G18">
        <v>1101</v>
      </c>
      <c r="I18" s="1"/>
    </row>
    <row r="19" spans="1:9" x14ac:dyDescent="0.3">
      <c r="A19" t="s">
        <v>35</v>
      </c>
      <c r="C19">
        <v>76</v>
      </c>
      <c r="D19">
        <v>76</v>
      </c>
      <c r="E19">
        <v>76</v>
      </c>
      <c r="F19">
        <v>76</v>
      </c>
      <c r="G19">
        <v>76</v>
      </c>
      <c r="H19" s="1" t="s">
        <v>105</v>
      </c>
      <c r="I19" s="1"/>
    </row>
    <row r="20" spans="1:9" x14ac:dyDescent="0.3">
      <c r="A20" t="s">
        <v>36</v>
      </c>
    </row>
    <row r="21" spans="1:9" x14ac:dyDescent="0.3">
      <c r="A21" t="s">
        <v>37</v>
      </c>
    </row>
    <row r="22" spans="1:9" x14ac:dyDescent="0.3">
      <c r="A22" t="s">
        <v>38</v>
      </c>
    </row>
    <row r="23" spans="1:9" x14ac:dyDescent="0.3">
      <c r="A23" t="s">
        <v>39</v>
      </c>
    </row>
    <row r="24" spans="1:9" x14ac:dyDescent="0.3">
      <c r="A24" t="s">
        <v>40</v>
      </c>
    </row>
    <row r="25" spans="1:9" x14ac:dyDescent="0.3">
      <c r="A25" t="s">
        <v>41</v>
      </c>
    </row>
    <row r="26" spans="1:9" x14ac:dyDescent="0.3">
      <c r="A26" t="s">
        <v>42</v>
      </c>
    </row>
    <row r="27" spans="1:9" x14ac:dyDescent="0.3">
      <c r="A27" t="s">
        <v>43</v>
      </c>
    </row>
    <row r="28" spans="1:9" x14ac:dyDescent="0.3">
      <c r="A28" t="s">
        <v>44</v>
      </c>
      <c r="E28">
        <v>1100</v>
      </c>
    </row>
    <row r="29" spans="1:9" x14ac:dyDescent="0.3">
      <c r="A29" t="s">
        <v>45</v>
      </c>
      <c r="B29" t="s">
        <v>45</v>
      </c>
      <c r="C29">
        <v>700</v>
      </c>
      <c r="D29">
        <v>700</v>
      </c>
      <c r="E29">
        <v>700</v>
      </c>
      <c r="F29">
        <v>700</v>
      </c>
      <c r="G29">
        <v>700</v>
      </c>
    </row>
    <row r="30" spans="1:9" x14ac:dyDescent="0.3">
      <c r="A30" t="s">
        <v>46</v>
      </c>
      <c r="B30" t="s">
        <v>46</v>
      </c>
      <c r="C30">
        <v>2.1</v>
      </c>
      <c r="D30">
        <v>2.1</v>
      </c>
      <c r="E30">
        <v>2.1</v>
      </c>
      <c r="F30">
        <v>2.1</v>
      </c>
      <c r="G30">
        <v>2.1</v>
      </c>
      <c r="H30" s="1" t="s">
        <v>103</v>
      </c>
    </row>
    <row r="31" spans="1:9" x14ac:dyDescent="0.3">
      <c r="A31" t="s">
        <v>47</v>
      </c>
      <c r="B31" t="s">
        <v>47</v>
      </c>
      <c r="C31">
        <v>2</v>
      </c>
      <c r="D31">
        <v>2</v>
      </c>
      <c r="E31">
        <v>2</v>
      </c>
      <c r="F31">
        <v>2</v>
      </c>
      <c r="G31">
        <v>2</v>
      </c>
      <c r="H31" s="1" t="s">
        <v>103</v>
      </c>
    </row>
    <row r="32" spans="1:9" x14ac:dyDescent="0.3">
      <c r="A32" t="s">
        <v>48</v>
      </c>
      <c r="B32" t="s">
        <v>48</v>
      </c>
    </row>
    <row r="33" spans="1:2" x14ac:dyDescent="0.3">
      <c r="A33" t="s">
        <v>49</v>
      </c>
      <c r="B33" t="s">
        <v>49</v>
      </c>
    </row>
    <row r="35" spans="1:2" x14ac:dyDescent="0.3">
      <c r="A35" t="s">
        <v>50</v>
      </c>
      <c r="B35" t="s">
        <v>51</v>
      </c>
    </row>
    <row r="36" spans="1:2" x14ac:dyDescent="0.3">
      <c r="A36" t="s">
        <v>88</v>
      </c>
      <c r="B36" t="s">
        <v>89</v>
      </c>
    </row>
    <row r="37" spans="1:2" x14ac:dyDescent="0.3">
      <c r="A37" t="s">
        <v>90</v>
      </c>
      <c r="B37" t="s">
        <v>91</v>
      </c>
    </row>
    <row r="38" spans="1:2" x14ac:dyDescent="0.3">
      <c r="A38" t="s">
        <v>92</v>
      </c>
      <c r="B38" t="s">
        <v>93</v>
      </c>
    </row>
    <row r="39" spans="1:2" x14ac:dyDescent="0.3">
      <c r="A39" t="s">
        <v>52</v>
      </c>
      <c r="B39" s="1" t="s">
        <v>98</v>
      </c>
    </row>
    <row r="40" spans="1:2" x14ac:dyDescent="0.3">
      <c r="A40" t="s">
        <v>53</v>
      </c>
      <c r="B40" s="1" t="s">
        <v>54</v>
      </c>
    </row>
    <row r="41" spans="1:2" x14ac:dyDescent="0.3">
      <c r="A41" t="s">
        <v>55</v>
      </c>
    </row>
    <row r="42" spans="1:2" x14ac:dyDescent="0.3">
      <c r="A42" t="s">
        <v>56</v>
      </c>
      <c r="B42">
        <v>52</v>
      </c>
    </row>
    <row r="43" spans="1:2" x14ac:dyDescent="0.3">
      <c r="A43" t="s">
        <v>57</v>
      </c>
    </row>
    <row r="44" spans="1:2" x14ac:dyDescent="0.3">
      <c r="A44" t="s">
        <v>58</v>
      </c>
      <c r="B44">
        <v>40</v>
      </c>
    </row>
    <row r="45" spans="1:2" x14ac:dyDescent="0.3">
      <c r="A45" t="s">
        <v>59</v>
      </c>
    </row>
    <row r="46" spans="1:2" x14ac:dyDescent="0.3">
      <c r="A46" t="s">
        <v>60</v>
      </c>
    </row>
    <row r="47" spans="1:2" x14ac:dyDescent="0.3">
      <c r="A47" t="s">
        <v>61</v>
      </c>
    </row>
    <row r="48" spans="1:2" x14ac:dyDescent="0.3">
      <c r="A48" t="s">
        <v>62</v>
      </c>
      <c r="B48">
        <v>142</v>
      </c>
    </row>
    <row r="49" spans="1:2" x14ac:dyDescent="0.3">
      <c r="A49" t="s">
        <v>63</v>
      </c>
      <c r="B49">
        <v>100</v>
      </c>
    </row>
    <row r="50" spans="1:2" x14ac:dyDescent="0.3">
      <c r="A50" t="s">
        <v>64</v>
      </c>
      <c r="B50" s="1" t="s">
        <v>102</v>
      </c>
    </row>
    <row r="51" spans="1:2" x14ac:dyDescent="0.3">
      <c r="A51" t="s">
        <v>65</v>
      </c>
    </row>
    <row r="52" spans="1:2" x14ac:dyDescent="0.3">
      <c r="A52" t="s">
        <v>66</v>
      </c>
      <c r="B52">
        <v>27.2</v>
      </c>
    </row>
    <row r="53" spans="1:2" x14ac:dyDescent="0.3">
      <c r="A53" t="s">
        <v>67</v>
      </c>
      <c r="B53" s="1"/>
    </row>
    <row r="54" spans="1:2" x14ac:dyDescent="0.3">
      <c r="A54" t="s">
        <v>68</v>
      </c>
    </row>
    <row r="55" spans="1:2" x14ac:dyDescent="0.3">
      <c r="A55" t="s">
        <v>69</v>
      </c>
    </row>
    <row r="56" spans="1:2" x14ac:dyDescent="0.3">
      <c r="A56" t="s">
        <v>70</v>
      </c>
    </row>
    <row r="57" spans="1:2" x14ac:dyDescent="0.3">
      <c r="A57" t="s">
        <v>71</v>
      </c>
    </row>
    <row r="58" spans="1:2" x14ac:dyDescent="0.3">
      <c r="A58" t="s">
        <v>72</v>
      </c>
    </row>
    <row r="59" spans="1:2" x14ac:dyDescent="0.3">
      <c r="A59" t="s">
        <v>73</v>
      </c>
      <c r="B59" s="1"/>
    </row>
    <row r="60" spans="1:2" x14ac:dyDescent="0.3">
      <c r="A60" t="s">
        <v>74</v>
      </c>
      <c r="B60" s="1" t="s">
        <v>97</v>
      </c>
    </row>
    <row r="61" spans="1:2" x14ac:dyDescent="0.3">
      <c r="A61" t="s">
        <v>75</v>
      </c>
    </row>
    <row r="62" spans="1:2" x14ac:dyDescent="0.3">
      <c r="A62" t="s">
        <v>76</v>
      </c>
    </row>
    <row r="63" spans="1:2" x14ac:dyDescent="0.3">
      <c r="A63" t="s">
        <v>77</v>
      </c>
      <c r="B63">
        <v>2</v>
      </c>
    </row>
    <row r="64" spans="1:2" x14ac:dyDescent="0.3">
      <c r="A64" t="s">
        <v>78</v>
      </c>
      <c r="B64">
        <v>1</v>
      </c>
    </row>
    <row r="65" spans="1:2" x14ac:dyDescent="0.3">
      <c r="A65" t="s">
        <v>79</v>
      </c>
      <c r="B65">
        <v>1</v>
      </c>
    </row>
    <row r="66" spans="1:2" x14ac:dyDescent="0.3">
      <c r="A66" t="s">
        <v>80</v>
      </c>
      <c r="B66">
        <v>3</v>
      </c>
    </row>
    <row r="67" spans="1:2" x14ac:dyDescent="0.3">
      <c r="A67" t="s">
        <v>81</v>
      </c>
      <c r="B67" s="1" t="s">
        <v>54</v>
      </c>
    </row>
    <row r="68" spans="1:2" x14ac:dyDescent="0.3">
      <c r="A68" t="s">
        <v>82</v>
      </c>
      <c r="B68" s="1" t="s">
        <v>54</v>
      </c>
    </row>
    <row r="69" spans="1:2" x14ac:dyDescent="0.3">
      <c r="A69" t="s">
        <v>83</v>
      </c>
      <c r="B69" s="1" t="s">
        <v>54</v>
      </c>
    </row>
    <row r="70" spans="1:2" x14ac:dyDescent="0.3">
      <c r="A70" t="s">
        <v>84</v>
      </c>
    </row>
    <row r="71" spans="1:2" x14ac:dyDescent="0.3">
      <c r="A71" t="s">
        <v>85</v>
      </c>
      <c r="B71">
        <v>3500</v>
      </c>
    </row>
    <row r="72" spans="1:2" x14ac:dyDescent="0.3">
      <c r="A72" t="s">
        <v>86</v>
      </c>
    </row>
    <row r="73" spans="1:2" x14ac:dyDescent="0.3">
      <c r="A73" t="s">
        <v>87</v>
      </c>
      <c r="B73" s="1" t="s">
        <v>96</v>
      </c>
    </row>
    <row r="74" spans="1:2" x14ac:dyDescent="0.3">
      <c r="A74" t="s">
        <v>94</v>
      </c>
      <c r="B74" t="s">
        <v>95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2025-07-26T16:23:52Z</dcterms:created>
  <dcterms:modified xsi:type="dcterms:W3CDTF">2025-10-21T11:15:33Z</dcterms:modified>
</cp:coreProperties>
</file>