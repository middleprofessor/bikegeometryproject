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2CF8579-7B69-E94B-A874-47D365C1DE3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F10" i="1"/>
  <c r="G10" i="1"/>
  <c r="H10" i="1"/>
  <c r="D11" i="1"/>
  <c r="E11" i="1"/>
  <c r="F11" i="1"/>
  <c r="G11" i="1"/>
  <c r="H11" i="1"/>
  <c r="C11" i="1"/>
  <c r="C10" i="1"/>
  <c r="E31" i="1"/>
  <c r="D32" i="1" s="1"/>
  <c r="F31" i="1"/>
  <c r="E32" i="1" s="1"/>
  <c r="G31" i="1"/>
  <c r="F32" i="1" s="1"/>
  <c r="H31" i="1"/>
  <c r="G32" i="1" s="1"/>
  <c r="D31" i="1"/>
  <c r="C32" i="1" s="1"/>
  <c r="D9" i="1"/>
  <c r="E9" i="1"/>
  <c r="F9" i="1"/>
  <c r="G9" i="1"/>
  <c r="H9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H38" i="1" s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C21" i="1"/>
  <c r="C20" i="1"/>
  <c r="C19" i="1"/>
  <c r="C18" i="1"/>
  <c r="C17" i="1"/>
  <c r="C16" i="1"/>
  <c r="C15" i="1"/>
  <c r="C14" i="1"/>
  <c r="C13" i="1"/>
  <c r="C12" i="1"/>
  <c r="C9" i="1"/>
  <c r="F38" i="1" l="1"/>
  <c r="G38" i="1"/>
  <c r="E38" i="1"/>
</calcChain>
</file>

<file path=xl/sharedStrings.xml><?xml version="1.0" encoding="utf-8"?>
<sst xmlns="http://schemas.openxmlformats.org/spreadsheetml/2006/main" count="228" uniqueCount="135">
  <si>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</si>
  <si>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</si>
  <si>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</si>
  <si>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</si>
  <si>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</si>
  <si>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</si>
  <si>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</si>
  <si>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</si>
  <si>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</si>
  <si>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</si>
  <si>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</si>
  <si>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</si>
  <si>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</si>
  <si>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</si>
  <si>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</si>
  <si>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</si>
  <si>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</si>
  <si>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</si>
  <si>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</si>
  <si>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</si>
  <si>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</si>
  <si>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</si>
  <si>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</si>
  <si>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</si>
  <si>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</si>
  <si>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</si>
  <si>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</si>
  <si>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</si>
  <si>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</si>
  <si>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</si>
  <si>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</si>
  <si>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</si>
  <si>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</si>
  <si>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</si>
  <si>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</si>
  <si>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</si>
  <si>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</si>
  <si>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</si>
  <si>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</si>
  <si>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</si>
  <si>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</si>
  <si>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</si>
  <si>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</si>
  <si>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</si>
  <si>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</si>
  <si>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</si>
  <si>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</si>
  <si>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</si>
  <si>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</si>
  <si>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</si>
  <si>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</si>
  <si>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</si>
  <si>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</si>
  <si>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</si>
  <si>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</si>
  <si>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</si>
  <si>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</si>
  <si>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</si>
  <si>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</si>
  <si>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</si>
  <si>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</si>
  <si>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</si>
  <si>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</si>
  <si>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</si>
  <si>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</si>
  <si>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</si>
  <si>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</si>
  <si>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</si>
  <si>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frame size</t>
  </si>
  <si>
    <t>titanium</t>
  </si>
  <si>
    <t>Litespeed</t>
  </si>
  <si>
    <t>A - Top Tube Length</t>
  </si>
  <si>
    <t>B - Head Tube Angle</t>
  </si>
  <si>
    <t>C - Seat Tube Angle</t>
  </si>
  <si>
    <t>D - Seat Tube Length</t>
  </si>
  <si>
    <t>E - Chainstay Length</t>
  </si>
  <si>
    <t>F - BB Drop</t>
  </si>
  <si>
    <t>G - Wheelbase</t>
  </si>
  <si>
    <t>H - Front Center</t>
  </si>
  <si>
    <t>I - Fork Rake</t>
  </si>
  <si>
    <t>J - Standover Height</t>
  </si>
  <si>
    <t>K - Head Tube Length</t>
  </si>
  <si>
    <t>L - Stack</t>
  </si>
  <si>
    <t>M - Reach</t>
  </si>
  <si>
    <t>Stem Length (mm)</t>
  </si>
  <si>
    <t>Crank Length (mm)</t>
  </si>
  <si>
    <t>XS</t>
  </si>
  <si>
    <t>S</t>
  </si>
  <si>
    <t>74.5°</t>
  </si>
  <si>
    <t>M</t>
  </si>
  <si>
    <t>70.0°</t>
  </si>
  <si>
    <t>74.0°</t>
  </si>
  <si>
    <t>ML</t>
  </si>
  <si>
    <t>73.5°</t>
  </si>
  <si>
    <t>L</t>
  </si>
  <si>
    <t>71.0°</t>
  </si>
  <si>
    <t>XL</t>
  </si>
  <si>
    <t>71.5°</t>
  </si>
  <si>
    <t>73.0°</t>
  </si>
  <si>
    <t>cm</t>
  </si>
  <si>
    <t>PF</t>
  </si>
  <si>
    <t>both available</t>
  </si>
  <si>
    <t>internal</t>
  </si>
  <si>
    <t>Frame Size</t>
  </si>
  <si>
    <t>Rider Height (in)</t>
  </si>
  <si>
    <t>Rider Height (cm)</t>
  </si>
  <si>
    <t>4'10” – 5’2”</t>
  </si>
  <si>
    <t>147 - 157</t>
  </si>
  <si>
    <t>5’2" – 5’6”</t>
  </si>
  <si>
    <t>157 - 165</t>
  </si>
  <si>
    <t>5’6"– 5’9”</t>
  </si>
  <si>
    <t>165 - 175</t>
  </si>
  <si>
    <t>5’8” – 5’11”</t>
  </si>
  <si>
    <t>173 - 180</t>
  </si>
  <si>
    <t>5'-11” – 6’2”</t>
  </si>
  <si>
    <t>178 - 188</t>
  </si>
  <si>
    <t>6’2" – 6'4"</t>
  </si>
  <si>
    <t>188 - 198</t>
  </si>
  <si>
    <t>es</t>
  </si>
  <si>
    <t>rigid</t>
  </si>
  <si>
    <t>suspension</t>
  </si>
  <si>
    <t>trail</t>
  </si>
  <si>
    <t>a8:h32</t>
  </si>
  <si>
    <t>Toscano</t>
  </si>
  <si>
    <t>https://litespeed.com/collections/toscano/products/toscano</t>
  </si>
  <si>
    <t>72.0°</t>
  </si>
  <si>
    <t>class</t>
  </si>
  <si>
    <t>gravel</t>
  </si>
  <si>
    <t>handlebar</t>
  </si>
  <si>
    <t>drop bar</t>
  </si>
  <si>
    <t>fork</t>
  </si>
  <si>
    <t>https://litespeed.com/cdn/shop/files/toscano_8e8f560f-c8fc-40d8-b4ce-ba0aa1252195.png?v=1695761382</t>
  </si>
  <si>
    <t>location</t>
  </si>
  <si>
    <t>Chattanooga, Tennessee,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</si>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</sst>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212529"/>
      <name val="Futura"/>
      <family val="2"/>
    </font>
    <font>
      <b/>
      <sz val="14"/>
      <color rgb="FF212529"/>
      <name val="Futura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"/>
  <sheetViews>
    <sheetView tabSelected="1" topLeftCell="A54" workbookViewId="0">
      <selection activeCell="B72" sqref="B72"/>
    </sheetView>
  </sheetViews>
  <sheetFormatPr baseColWidth="10" defaultRowHeight="20"/>
  <cols>
    <col min="1" max="2" width="19.6640625" customWidth="1"/>
  </cols>
  <sheetData>
    <row r="1" spans="1:32">
      <c r="A1" t="s">
        <v>0</v>
      </c>
      <c r="B1" s="1" t="s">
        <v>70</v>
      </c>
    </row>
    <row r="2" spans="1:32">
      <c r="A2" t="s">
        <v>1</v>
      </c>
      <c r="B2" s="1" t="s">
        <v>123</v>
      </c>
    </row>
    <row r="3" spans="1:32">
      <c r="A3" t="s">
        <v>2</v>
      </c>
      <c r="B3">
        <v>2025</v>
      </c>
    </row>
    <row r="4" spans="1:32">
      <c r="A4" t="s">
        <v>3</v>
      </c>
      <c r="B4" s="3">
        <v>45865</v>
      </c>
    </row>
    <row r="5" spans="1:32">
      <c r="A5" t="s">
        <v>4</v>
      </c>
      <c r="B5" t="s">
        <v>124</v>
      </c>
    </row>
    <row r="6" spans="1:32">
      <c r="B6" t="s">
        <v>131</v>
      </c>
    </row>
    <row r="7" spans="1:32">
      <c r="A7" t="s">
        <v>5</v>
      </c>
      <c r="B7" s="1" t="s">
        <v>122</v>
      </c>
      <c r="J7" s="1" t="s">
        <v>99</v>
      </c>
      <c r="Q7" s="1" t="s">
        <v>119</v>
      </c>
    </row>
    <row r="8" spans="1:32">
      <c r="A8" t="s">
        <v>6</v>
      </c>
      <c r="B8" s="1" t="s">
        <v>68</v>
      </c>
      <c r="C8" s="4" t="s">
        <v>86</v>
      </c>
      <c r="D8" s="4" t="s">
        <v>87</v>
      </c>
      <c r="E8" s="4" t="s">
        <v>89</v>
      </c>
      <c r="F8" s="4" t="s">
        <v>92</v>
      </c>
      <c r="G8" s="4" t="s">
        <v>94</v>
      </c>
      <c r="H8" s="4" t="s">
        <v>96</v>
      </c>
      <c r="I8" s="4"/>
      <c r="J8" s="4" t="s">
        <v>86</v>
      </c>
      <c r="K8" s="4" t="s">
        <v>87</v>
      </c>
      <c r="L8" s="4" t="s">
        <v>89</v>
      </c>
      <c r="M8" s="4" t="s">
        <v>92</v>
      </c>
      <c r="N8" s="4" t="s">
        <v>94</v>
      </c>
      <c r="O8" s="4" t="s">
        <v>96</v>
      </c>
      <c r="Q8" s="5"/>
      <c r="R8" s="4" t="s">
        <v>71</v>
      </c>
      <c r="S8" s="4" t="s">
        <v>72</v>
      </c>
      <c r="T8" s="4" t="s">
        <v>73</v>
      </c>
      <c r="U8" s="4" t="s">
        <v>74</v>
      </c>
      <c r="V8" s="4" t="s">
        <v>75</v>
      </c>
      <c r="W8" s="4" t="s">
        <v>76</v>
      </c>
      <c r="X8" s="4" t="s">
        <v>77</v>
      </c>
      <c r="Y8" s="4" t="s">
        <v>78</v>
      </c>
      <c r="Z8" s="4" t="s">
        <v>79</v>
      </c>
      <c r="AA8" s="4" t="s">
        <v>80</v>
      </c>
      <c r="AB8" s="4" t="s">
        <v>81</v>
      </c>
      <c r="AC8" s="4" t="s">
        <v>82</v>
      </c>
      <c r="AD8" s="4" t="s">
        <v>83</v>
      </c>
      <c r="AE8" s="4" t="s">
        <v>84</v>
      </c>
      <c r="AF8" s="4" t="s">
        <v>85</v>
      </c>
    </row>
    <row r="9" spans="1:32">
      <c r="A9" t="s">
        <v>9</v>
      </c>
      <c r="B9" s="4" t="s">
        <v>71</v>
      </c>
      <c r="C9" s="5">
        <f>J9*10</f>
        <v>517</v>
      </c>
      <c r="D9" s="5">
        <f t="shared" ref="D9:H9" si="0">K9*10</f>
        <v>532</v>
      </c>
      <c r="E9" s="5">
        <f t="shared" si="0"/>
        <v>555</v>
      </c>
      <c r="F9" s="5">
        <f t="shared" si="0"/>
        <v>568</v>
      </c>
      <c r="G9" s="5">
        <f t="shared" si="0"/>
        <v>590</v>
      </c>
      <c r="H9" s="5">
        <f t="shared" si="0"/>
        <v>610</v>
      </c>
      <c r="I9" s="5"/>
      <c r="J9" s="5">
        <v>51.7</v>
      </c>
      <c r="K9" s="5">
        <v>53.2</v>
      </c>
      <c r="L9" s="5">
        <v>55.5</v>
      </c>
      <c r="M9" s="5">
        <v>56.8</v>
      </c>
      <c r="N9" s="5">
        <v>59</v>
      </c>
      <c r="O9" s="5">
        <v>61</v>
      </c>
      <c r="Q9" s="4" t="s">
        <v>86</v>
      </c>
      <c r="R9" s="5">
        <v>51.7</v>
      </c>
      <c r="S9" s="5" t="s">
        <v>90</v>
      </c>
      <c r="T9" s="5" t="s">
        <v>88</v>
      </c>
      <c r="U9" s="5">
        <v>43</v>
      </c>
      <c r="V9" s="5">
        <v>43.5</v>
      </c>
      <c r="W9" s="5">
        <v>7.8</v>
      </c>
      <c r="X9" s="5">
        <v>101.9</v>
      </c>
      <c r="Y9" s="5">
        <v>59.6</v>
      </c>
      <c r="Z9" s="5">
        <v>5</v>
      </c>
      <c r="AA9" s="5">
        <v>71.7</v>
      </c>
      <c r="AB9" s="5">
        <v>9.1999999999999993</v>
      </c>
      <c r="AC9" s="5">
        <v>53.5</v>
      </c>
      <c r="AD9" s="5">
        <v>37</v>
      </c>
      <c r="AE9" s="5">
        <v>90</v>
      </c>
      <c r="AF9" s="5">
        <v>170</v>
      </c>
    </row>
    <row r="10" spans="1:32">
      <c r="A10" t="s">
        <v>11</v>
      </c>
      <c r="B10" s="4" t="s">
        <v>72</v>
      </c>
      <c r="C10" s="5">
        <f>VALUE(LEFT(J10,4))</f>
        <v>70</v>
      </c>
      <c r="D10" s="5">
        <f t="shared" ref="D10:H11" si="1">VALUE(LEFT(K10,4))</f>
        <v>71</v>
      </c>
      <c r="E10" s="5">
        <f t="shared" si="1"/>
        <v>71.5</v>
      </c>
      <c r="F10" s="5">
        <f t="shared" si="1"/>
        <v>71.5</v>
      </c>
      <c r="G10" s="5">
        <f t="shared" si="1"/>
        <v>72</v>
      </c>
      <c r="H10" s="5">
        <f t="shared" si="1"/>
        <v>72</v>
      </c>
      <c r="I10" s="5"/>
      <c r="J10" s="5" t="s">
        <v>90</v>
      </c>
      <c r="K10" s="5" t="s">
        <v>95</v>
      </c>
      <c r="L10" s="5" t="s">
        <v>97</v>
      </c>
      <c r="M10" s="5" t="s">
        <v>97</v>
      </c>
      <c r="N10" s="5" t="s">
        <v>125</v>
      </c>
      <c r="O10" s="5" t="s">
        <v>125</v>
      </c>
      <c r="Q10" s="4" t="s">
        <v>87</v>
      </c>
      <c r="R10" s="5">
        <v>53.2</v>
      </c>
      <c r="S10" s="5" t="s">
        <v>95</v>
      </c>
      <c r="T10" s="5" t="s">
        <v>91</v>
      </c>
      <c r="U10" s="5">
        <v>44.5</v>
      </c>
      <c r="V10" s="5">
        <v>43.5</v>
      </c>
      <c r="W10" s="5">
        <v>7.8</v>
      </c>
      <c r="X10" s="5">
        <v>101.9</v>
      </c>
      <c r="Y10" s="5">
        <v>59.6</v>
      </c>
      <c r="Z10" s="5">
        <v>5</v>
      </c>
      <c r="AA10" s="5">
        <v>72.7</v>
      </c>
      <c r="AB10" s="5">
        <v>9.1999999999999993</v>
      </c>
      <c r="AC10" s="5">
        <v>53.5</v>
      </c>
      <c r="AD10" s="5">
        <v>38</v>
      </c>
      <c r="AE10" s="5">
        <v>90</v>
      </c>
      <c r="AF10" s="5">
        <v>170</v>
      </c>
    </row>
    <row r="11" spans="1:32">
      <c r="A11" t="s">
        <v>8</v>
      </c>
      <c r="B11" s="4" t="s">
        <v>73</v>
      </c>
      <c r="C11" s="5">
        <f>VALUE(LEFT(J11,4))</f>
        <v>74.5</v>
      </c>
      <c r="D11" s="5">
        <f t="shared" si="1"/>
        <v>74</v>
      </c>
      <c r="E11" s="5">
        <f t="shared" si="1"/>
        <v>73.5</v>
      </c>
      <c r="F11" s="5">
        <f t="shared" si="1"/>
        <v>73.5</v>
      </c>
      <c r="G11" s="5">
        <f t="shared" si="1"/>
        <v>73</v>
      </c>
      <c r="H11" s="5">
        <f t="shared" si="1"/>
        <v>73</v>
      </c>
      <c r="I11" s="5"/>
      <c r="J11" s="5" t="s">
        <v>88</v>
      </c>
      <c r="K11" s="5" t="s">
        <v>91</v>
      </c>
      <c r="L11" s="5" t="s">
        <v>93</v>
      </c>
      <c r="M11" s="5" t="s">
        <v>93</v>
      </c>
      <c r="N11" s="5" t="s">
        <v>98</v>
      </c>
      <c r="O11" s="5" t="s">
        <v>98</v>
      </c>
      <c r="Q11" s="4" t="s">
        <v>89</v>
      </c>
      <c r="R11" s="5">
        <v>55.5</v>
      </c>
      <c r="S11" s="5" t="s">
        <v>97</v>
      </c>
      <c r="T11" s="5" t="s">
        <v>93</v>
      </c>
      <c r="U11" s="5">
        <v>47</v>
      </c>
      <c r="V11" s="5">
        <v>43.5</v>
      </c>
      <c r="W11" s="5">
        <v>7.4</v>
      </c>
      <c r="X11" s="5">
        <v>103.4</v>
      </c>
      <c r="Y11" s="5">
        <v>61</v>
      </c>
      <c r="Z11" s="5">
        <v>5</v>
      </c>
      <c r="AA11" s="5">
        <v>75.7</v>
      </c>
      <c r="AB11" s="5">
        <v>11.6</v>
      </c>
      <c r="AC11" s="5">
        <v>56</v>
      </c>
      <c r="AD11" s="5">
        <v>39</v>
      </c>
      <c r="AE11" s="5">
        <v>100</v>
      </c>
      <c r="AF11" s="5">
        <v>172.5</v>
      </c>
    </row>
    <row r="12" spans="1:32">
      <c r="A12" t="s">
        <v>7</v>
      </c>
      <c r="B12" s="4" t="s">
        <v>74</v>
      </c>
      <c r="C12" s="5">
        <f t="shared" ref="C12:C21" si="2">J12*10</f>
        <v>430</v>
      </c>
      <c r="D12" s="5">
        <f t="shared" ref="D12:H21" si="3">K12*10</f>
        <v>445</v>
      </c>
      <c r="E12" s="5">
        <f t="shared" si="3"/>
        <v>470</v>
      </c>
      <c r="F12" s="5">
        <f t="shared" si="3"/>
        <v>495</v>
      </c>
      <c r="G12" s="5">
        <f t="shared" si="3"/>
        <v>520</v>
      </c>
      <c r="H12" s="5">
        <f t="shared" si="3"/>
        <v>550</v>
      </c>
      <c r="I12" s="5"/>
      <c r="J12" s="5">
        <v>43</v>
      </c>
      <c r="K12" s="5">
        <v>44.5</v>
      </c>
      <c r="L12" s="5">
        <v>47</v>
      </c>
      <c r="M12" s="5">
        <v>49.5</v>
      </c>
      <c r="N12" s="5">
        <v>52</v>
      </c>
      <c r="O12" s="5">
        <v>55</v>
      </c>
      <c r="Q12" s="4" t="s">
        <v>92</v>
      </c>
      <c r="R12" s="5">
        <v>56.8</v>
      </c>
      <c r="S12" s="5" t="s">
        <v>97</v>
      </c>
      <c r="T12" s="5" t="s">
        <v>93</v>
      </c>
      <c r="U12" s="5">
        <v>49.5</v>
      </c>
      <c r="V12" s="5">
        <v>43.5</v>
      </c>
      <c r="W12" s="5">
        <v>7.4</v>
      </c>
      <c r="X12" s="5">
        <v>104.7</v>
      </c>
      <c r="Y12" s="5">
        <v>62.3</v>
      </c>
      <c r="Z12" s="5">
        <v>5</v>
      </c>
      <c r="AA12" s="5">
        <v>79</v>
      </c>
      <c r="AB12" s="5">
        <v>14.3</v>
      </c>
      <c r="AC12" s="5">
        <v>58.5</v>
      </c>
      <c r="AD12" s="5">
        <v>39.5</v>
      </c>
      <c r="AE12" s="5">
        <v>100</v>
      </c>
      <c r="AF12" s="5">
        <v>172.5</v>
      </c>
    </row>
    <row r="13" spans="1:32">
      <c r="A13" t="s">
        <v>14</v>
      </c>
      <c r="B13" s="4" t="s">
        <v>75</v>
      </c>
      <c r="C13" s="5">
        <f t="shared" si="2"/>
        <v>435</v>
      </c>
      <c r="D13" s="5">
        <f t="shared" si="3"/>
        <v>435</v>
      </c>
      <c r="E13" s="5">
        <f t="shared" si="3"/>
        <v>435</v>
      </c>
      <c r="F13" s="5">
        <f t="shared" si="3"/>
        <v>435</v>
      </c>
      <c r="G13" s="5">
        <f t="shared" si="3"/>
        <v>435</v>
      </c>
      <c r="H13" s="5">
        <f t="shared" si="3"/>
        <v>435</v>
      </c>
      <c r="I13" s="5"/>
      <c r="J13" s="5">
        <v>43.5</v>
      </c>
      <c r="K13" s="5">
        <v>43.5</v>
      </c>
      <c r="L13" s="5">
        <v>43.5</v>
      </c>
      <c r="M13" s="5">
        <v>43.5</v>
      </c>
      <c r="N13" s="5">
        <v>43.5</v>
      </c>
      <c r="O13" s="5">
        <v>43.5</v>
      </c>
      <c r="Q13" s="4" t="s">
        <v>94</v>
      </c>
      <c r="R13" s="5">
        <v>59</v>
      </c>
      <c r="S13" s="5" t="s">
        <v>125</v>
      </c>
      <c r="T13" s="5" t="s">
        <v>98</v>
      </c>
      <c r="U13" s="5">
        <v>52</v>
      </c>
      <c r="V13" s="5">
        <v>43.5</v>
      </c>
      <c r="W13" s="5">
        <v>6.8</v>
      </c>
      <c r="X13" s="5">
        <v>106.2</v>
      </c>
      <c r="Y13" s="5">
        <v>63.6</v>
      </c>
      <c r="Z13" s="5">
        <v>5</v>
      </c>
      <c r="AA13" s="5">
        <v>81.3</v>
      </c>
      <c r="AB13" s="5">
        <v>16.8</v>
      </c>
      <c r="AC13" s="5">
        <v>61.5</v>
      </c>
      <c r="AD13" s="5">
        <v>40.5</v>
      </c>
      <c r="AE13" s="5">
        <v>110</v>
      </c>
      <c r="AF13" s="5">
        <v>175</v>
      </c>
    </row>
    <row r="14" spans="1:32">
      <c r="A14" t="s">
        <v>15</v>
      </c>
      <c r="B14" s="4" t="s">
        <v>76</v>
      </c>
      <c r="C14" s="5">
        <f t="shared" si="2"/>
        <v>78</v>
      </c>
      <c r="D14" s="5">
        <f t="shared" si="3"/>
        <v>78</v>
      </c>
      <c r="E14" s="5">
        <f t="shared" si="3"/>
        <v>74</v>
      </c>
      <c r="F14" s="5">
        <f t="shared" si="3"/>
        <v>74</v>
      </c>
      <c r="G14" s="5">
        <f t="shared" si="3"/>
        <v>68</v>
      </c>
      <c r="H14" s="5">
        <f t="shared" si="3"/>
        <v>68</v>
      </c>
      <c r="I14" s="5"/>
      <c r="J14" s="5">
        <v>7.8</v>
      </c>
      <c r="K14" s="5">
        <v>7.8</v>
      </c>
      <c r="L14" s="5">
        <v>7.4</v>
      </c>
      <c r="M14" s="5">
        <v>7.4</v>
      </c>
      <c r="N14" s="5">
        <v>6.8</v>
      </c>
      <c r="O14" s="5">
        <v>6.8</v>
      </c>
      <c r="Q14" s="4" t="s">
        <v>96</v>
      </c>
      <c r="R14" s="5">
        <v>61</v>
      </c>
      <c r="S14" s="5" t="s">
        <v>125</v>
      </c>
      <c r="T14" s="5" t="s">
        <v>98</v>
      </c>
      <c r="U14" s="5">
        <v>55</v>
      </c>
      <c r="V14" s="5">
        <v>43.5</v>
      </c>
      <c r="W14" s="5">
        <v>6.8</v>
      </c>
      <c r="X14" s="5">
        <v>108.3</v>
      </c>
      <c r="Y14" s="5">
        <v>65.7</v>
      </c>
      <c r="Z14" s="5">
        <v>5</v>
      </c>
      <c r="AA14" s="5">
        <v>84.5</v>
      </c>
      <c r="AB14" s="5">
        <v>20.5</v>
      </c>
      <c r="AC14" s="5">
        <v>64</v>
      </c>
      <c r="AD14" s="5">
        <v>41.5</v>
      </c>
      <c r="AE14" s="5">
        <v>110</v>
      </c>
      <c r="AF14" s="5">
        <v>175</v>
      </c>
    </row>
    <row r="15" spans="1:32">
      <c r="A15" t="s">
        <v>13</v>
      </c>
      <c r="B15" s="4" t="s">
        <v>77</v>
      </c>
      <c r="C15" s="5">
        <f t="shared" si="2"/>
        <v>1019</v>
      </c>
      <c r="D15" s="5">
        <f t="shared" si="3"/>
        <v>1019</v>
      </c>
      <c r="E15" s="5">
        <f t="shared" si="3"/>
        <v>1034</v>
      </c>
      <c r="F15" s="5">
        <f t="shared" si="3"/>
        <v>1047</v>
      </c>
      <c r="G15" s="5">
        <f t="shared" si="3"/>
        <v>1062</v>
      </c>
      <c r="H15" s="5">
        <f t="shared" si="3"/>
        <v>1083</v>
      </c>
      <c r="I15" s="5"/>
      <c r="J15" s="5">
        <v>101.9</v>
      </c>
      <c r="K15" s="5">
        <v>101.9</v>
      </c>
      <c r="L15" s="5">
        <v>103.4</v>
      </c>
      <c r="M15" s="5">
        <v>104.7</v>
      </c>
      <c r="N15" s="5">
        <v>106.2</v>
      </c>
      <c r="O15" s="5">
        <v>108.3</v>
      </c>
      <c r="Q15" s="4" t="s">
        <v>120</v>
      </c>
    </row>
    <row r="16" spans="1:32">
      <c r="A16" s="1" t="s">
        <v>65</v>
      </c>
      <c r="B16" s="4" t="s">
        <v>78</v>
      </c>
      <c r="C16" s="5">
        <f t="shared" si="2"/>
        <v>596</v>
      </c>
      <c r="D16" s="5">
        <f t="shared" si="3"/>
        <v>596</v>
      </c>
      <c r="E16" s="5">
        <f t="shared" si="3"/>
        <v>610</v>
      </c>
      <c r="F16" s="5">
        <f t="shared" si="3"/>
        <v>623</v>
      </c>
      <c r="G16" s="5">
        <f t="shared" si="3"/>
        <v>636</v>
      </c>
      <c r="H16" s="5">
        <f t="shared" si="3"/>
        <v>657</v>
      </c>
      <c r="I16" s="5"/>
      <c r="J16" s="5">
        <v>59.6</v>
      </c>
      <c r="K16" s="5">
        <v>59.6</v>
      </c>
      <c r="L16" s="5">
        <v>61</v>
      </c>
      <c r="M16" s="5">
        <v>62.3</v>
      </c>
      <c r="N16" s="5">
        <v>63.6</v>
      </c>
      <c r="O16" s="5">
        <v>65.7</v>
      </c>
      <c r="Q16" s="5"/>
      <c r="R16" s="4" t="s">
        <v>71</v>
      </c>
      <c r="S16" s="4" t="s">
        <v>72</v>
      </c>
      <c r="T16" s="4" t="s">
        <v>73</v>
      </c>
      <c r="U16" s="4" t="s">
        <v>74</v>
      </c>
      <c r="V16" s="4" t="s">
        <v>75</v>
      </c>
      <c r="W16" s="4" t="s">
        <v>76</v>
      </c>
      <c r="X16" s="4" t="s">
        <v>77</v>
      </c>
      <c r="Y16" s="4" t="s">
        <v>78</v>
      </c>
      <c r="Z16" s="4" t="s">
        <v>79</v>
      </c>
      <c r="AA16" s="4" t="s">
        <v>80</v>
      </c>
      <c r="AB16" s="4" t="s">
        <v>81</v>
      </c>
      <c r="AC16" s="4" t="s">
        <v>82</v>
      </c>
      <c r="AD16" s="4" t="s">
        <v>83</v>
      </c>
      <c r="AE16" s="4" t="s">
        <v>84</v>
      </c>
      <c r="AF16" s="4" t="s">
        <v>85</v>
      </c>
    </row>
    <row r="17" spans="1:32">
      <c r="A17" t="s">
        <v>12</v>
      </c>
      <c r="B17" s="4" t="s">
        <v>79</v>
      </c>
      <c r="C17" s="5">
        <f t="shared" si="2"/>
        <v>50</v>
      </c>
      <c r="D17" s="5">
        <f t="shared" si="3"/>
        <v>50</v>
      </c>
      <c r="E17" s="5">
        <f t="shared" si="3"/>
        <v>50</v>
      </c>
      <c r="F17" s="5">
        <f t="shared" si="3"/>
        <v>50</v>
      </c>
      <c r="G17" s="5">
        <f t="shared" si="3"/>
        <v>50</v>
      </c>
      <c r="H17" s="5">
        <f t="shared" si="3"/>
        <v>50</v>
      </c>
      <c r="I17" s="5"/>
      <c r="J17" s="5">
        <v>5</v>
      </c>
      <c r="K17" s="5">
        <v>5</v>
      </c>
      <c r="L17" s="5">
        <v>5</v>
      </c>
      <c r="M17" s="5">
        <v>5</v>
      </c>
      <c r="N17" s="5">
        <v>5</v>
      </c>
      <c r="O17" s="5">
        <v>5</v>
      </c>
      <c r="Q17" s="4" t="s">
        <v>86</v>
      </c>
      <c r="R17" s="5">
        <v>51.7</v>
      </c>
      <c r="S17" s="5" t="s">
        <v>90</v>
      </c>
      <c r="T17" s="5" t="s">
        <v>88</v>
      </c>
      <c r="U17" s="5">
        <v>43</v>
      </c>
      <c r="V17" s="5">
        <v>43.5</v>
      </c>
      <c r="W17" s="5">
        <v>7.8</v>
      </c>
      <c r="X17" s="5">
        <v>101.9</v>
      </c>
      <c r="Y17" s="5">
        <v>59.6</v>
      </c>
      <c r="Z17" s="5">
        <v>5</v>
      </c>
      <c r="AA17" s="5">
        <v>71.7</v>
      </c>
      <c r="AB17" s="5">
        <v>9.1999999999999993</v>
      </c>
      <c r="AC17" s="5">
        <v>55.3</v>
      </c>
      <c r="AD17" s="5">
        <v>36.4</v>
      </c>
      <c r="AE17" s="5">
        <v>90</v>
      </c>
      <c r="AF17" s="5">
        <v>170</v>
      </c>
    </row>
    <row r="18" spans="1:32">
      <c r="A18" t="s">
        <v>18</v>
      </c>
      <c r="B18" s="4" t="s">
        <v>80</v>
      </c>
      <c r="C18" s="5">
        <f t="shared" si="2"/>
        <v>717</v>
      </c>
      <c r="D18" s="5">
        <f t="shared" si="3"/>
        <v>727</v>
      </c>
      <c r="E18" s="5">
        <f t="shared" si="3"/>
        <v>757</v>
      </c>
      <c r="F18" s="5">
        <f t="shared" si="3"/>
        <v>790</v>
      </c>
      <c r="G18" s="5">
        <f t="shared" si="3"/>
        <v>813</v>
      </c>
      <c r="H18" s="5">
        <f t="shared" si="3"/>
        <v>845</v>
      </c>
      <c r="I18" s="5"/>
      <c r="J18" s="5">
        <v>71.7</v>
      </c>
      <c r="K18" s="5">
        <v>72.7</v>
      </c>
      <c r="L18" s="5">
        <v>75.7</v>
      </c>
      <c r="M18" s="5">
        <v>79</v>
      </c>
      <c r="N18" s="5">
        <v>81.3</v>
      </c>
      <c r="O18" s="5">
        <v>84.5</v>
      </c>
      <c r="Q18" s="4" t="s">
        <v>87</v>
      </c>
      <c r="R18" s="5">
        <v>53.2</v>
      </c>
      <c r="S18" s="5" t="s">
        <v>95</v>
      </c>
      <c r="T18" s="5" t="s">
        <v>91</v>
      </c>
      <c r="U18" s="5">
        <v>44.5</v>
      </c>
      <c r="V18" s="5">
        <v>43.5</v>
      </c>
      <c r="W18" s="5">
        <v>7.8</v>
      </c>
      <c r="X18" s="5">
        <v>101.9</v>
      </c>
      <c r="Y18" s="5">
        <v>59.6</v>
      </c>
      <c r="Z18" s="5">
        <v>5</v>
      </c>
      <c r="AA18" s="5">
        <v>72.7</v>
      </c>
      <c r="AB18" s="5">
        <v>9.1999999999999993</v>
      </c>
      <c r="AC18" s="5">
        <v>55.7</v>
      </c>
      <c r="AD18" s="5">
        <v>37.299999999999997</v>
      </c>
      <c r="AE18" s="5">
        <v>90</v>
      </c>
      <c r="AF18" s="5">
        <v>170</v>
      </c>
    </row>
    <row r="19" spans="1:32">
      <c r="A19" t="s">
        <v>10</v>
      </c>
      <c r="B19" s="4" t="s">
        <v>81</v>
      </c>
      <c r="C19" s="5">
        <f t="shared" si="2"/>
        <v>92</v>
      </c>
      <c r="D19" s="5">
        <f t="shared" si="3"/>
        <v>92</v>
      </c>
      <c r="E19" s="5">
        <f t="shared" si="3"/>
        <v>116</v>
      </c>
      <c r="F19" s="5">
        <f t="shared" si="3"/>
        <v>143</v>
      </c>
      <c r="G19" s="5">
        <f t="shared" si="3"/>
        <v>168</v>
      </c>
      <c r="H19" s="5">
        <f t="shared" si="3"/>
        <v>205</v>
      </c>
      <c r="I19" s="5"/>
      <c r="J19" s="5">
        <v>9.1999999999999993</v>
      </c>
      <c r="K19" s="5">
        <v>9.1999999999999993</v>
      </c>
      <c r="L19" s="5">
        <v>11.6</v>
      </c>
      <c r="M19" s="5">
        <v>14.3</v>
      </c>
      <c r="N19" s="5">
        <v>16.8</v>
      </c>
      <c r="O19" s="5">
        <v>20.5</v>
      </c>
      <c r="Q19" s="4" t="s">
        <v>89</v>
      </c>
      <c r="R19" s="5">
        <v>55.5</v>
      </c>
      <c r="S19" s="5" t="s">
        <v>97</v>
      </c>
      <c r="T19" s="5" t="s">
        <v>93</v>
      </c>
      <c r="U19" s="5">
        <v>47</v>
      </c>
      <c r="V19" s="5">
        <v>43.5</v>
      </c>
      <c r="W19" s="5">
        <v>7.4</v>
      </c>
      <c r="X19" s="5">
        <v>103.4</v>
      </c>
      <c r="Y19" s="5">
        <v>61</v>
      </c>
      <c r="Z19" s="5">
        <v>5</v>
      </c>
      <c r="AA19" s="5">
        <v>75.7</v>
      </c>
      <c r="AB19" s="5">
        <v>9.6999999999999993</v>
      </c>
      <c r="AC19" s="5">
        <v>56</v>
      </c>
      <c r="AD19" s="5">
        <v>39</v>
      </c>
      <c r="AE19" s="5">
        <v>100</v>
      </c>
      <c r="AF19" s="5">
        <v>172.5</v>
      </c>
    </row>
    <row r="20" spans="1:32">
      <c r="A20" t="s">
        <v>16</v>
      </c>
      <c r="B20" s="4" t="s">
        <v>82</v>
      </c>
      <c r="C20" s="5">
        <f t="shared" si="2"/>
        <v>535</v>
      </c>
      <c r="D20" s="5">
        <f t="shared" si="3"/>
        <v>535</v>
      </c>
      <c r="E20" s="5">
        <f t="shared" si="3"/>
        <v>560</v>
      </c>
      <c r="F20" s="5">
        <f t="shared" si="3"/>
        <v>585</v>
      </c>
      <c r="G20" s="5">
        <f t="shared" si="3"/>
        <v>615</v>
      </c>
      <c r="H20" s="5">
        <f t="shared" si="3"/>
        <v>640</v>
      </c>
      <c r="I20" s="5"/>
      <c r="J20" s="5">
        <v>53.5</v>
      </c>
      <c r="K20" s="5">
        <v>53.5</v>
      </c>
      <c r="L20" s="5">
        <v>56</v>
      </c>
      <c r="M20" s="5">
        <v>58.5</v>
      </c>
      <c r="N20" s="5">
        <v>61.5</v>
      </c>
      <c r="O20" s="5">
        <v>64</v>
      </c>
      <c r="Q20" s="4" t="s">
        <v>92</v>
      </c>
      <c r="R20" s="5">
        <v>56.8</v>
      </c>
      <c r="S20" s="5" t="s">
        <v>97</v>
      </c>
      <c r="T20" s="5" t="s">
        <v>93</v>
      </c>
      <c r="U20" s="5">
        <v>49.5</v>
      </c>
      <c r="V20" s="5">
        <v>43.5</v>
      </c>
      <c r="W20" s="5">
        <v>7.4</v>
      </c>
      <c r="X20" s="5">
        <v>104.7</v>
      </c>
      <c r="Y20" s="5">
        <v>62.3</v>
      </c>
      <c r="Z20" s="5">
        <v>5</v>
      </c>
      <c r="AA20" s="5">
        <v>79</v>
      </c>
      <c r="AB20" s="5">
        <v>12.4</v>
      </c>
      <c r="AC20" s="5">
        <v>58.5</v>
      </c>
      <c r="AD20" s="5">
        <v>39.5</v>
      </c>
      <c r="AE20" s="5">
        <v>100</v>
      </c>
      <c r="AF20" s="5">
        <v>172.5</v>
      </c>
    </row>
    <row r="21" spans="1:32">
      <c r="A21" t="s">
        <v>17</v>
      </c>
      <c r="B21" s="4" t="s">
        <v>83</v>
      </c>
      <c r="C21" s="5">
        <f t="shared" si="2"/>
        <v>370</v>
      </c>
      <c r="D21" s="5">
        <f t="shared" si="3"/>
        <v>380</v>
      </c>
      <c r="E21" s="5">
        <f t="shared" si="3"/>
        <v>390</v>
      </c>
      <c r="F21" s="5">
        <f t="shared" si="3"/>
        <v>395</v>
      </c>
      <c r="G21" s="5">
        <f t="shared" si="3"/>
        <v>405</v>
      </c>
      <c r="H21" s="5">
        <f t="shared" si="3"/>
        <v>415</v>
      </c>
      <c r="I21" s="5"/>
      <c r="J21" s="5">
        <v>37</v>
      </c>
      <c r="K21" s="5">
        <v>38</v>
      </c>
      <c r="L21" s="5">
        <v>39</v>
      </c>
      <c r="M21" s="5">
        <v>39.5</v>
      </c>
      <c r="N21" s="5">
        <v>40.5</v>
      </c>
      <c r="O21" s="5">
        <v>41.5</v>
      </c>
      <c r="Q21" s="4" t="s">
        <v>94</v>
      </c>
      <c r="R21" s="5">
        <v>59</v>
      </c>
      <c r="S21" s="5" t="s">
        <v>125</v>
      </c>
      <c r="T21" s="5" t="s">
        <v>98</v>
      </c>
      <c r="U21" s="5">
        <v>52</v>
      </c>
      <c r="V21" s="5">
        <v>43.5</v>
      </c>
      <c r="W21" s="5">
        <v>6.8</v>
      </c>
      <c r="X21" s="5">
        <v>106.2</v>
      </c>
      <c r="Y21" s="5">
        <v>63.6</v>
      </c>
      <c r="Z21" s="5">
        <v>5</v>
      </c>
      <c r="AA21" s="5">
        <v>81.3</v>
      </c>
      <c r="AB21" s="5">
        <v>14.9</v>
      </c>
      <c r="AC21" s="5">
        <v>61.5</v>
      </c>
      <c r="AD21" s="5">
        <v>40.5</v>
      </c>
      <c r="AE21" s="5">
        <v>110</v>
      </c>
      <c r="AF21" s="5">
        <v>175</v>
      </c>
    </row>
    <row r="22" spans="1:32">
      <c r="A22" t="s">
        <v>20</v>
      </c>
      <c r="B22" s="4" t="s">
        <v>84</v>
      </c>
      <c r="C22" s="5">
        <v>80</v>
      </c>
      <c r="D22" s="5">
        <v>80</v>
      </c>
      <c r="E22" s="5">
        <v>90</v>
      </c>
      <c r="F22" s="5">
        <v>90</v>
      </c>
      <c r="G22" s="5">
        <v>110</v>
      </c>
      <c r="H22" s="5">
        <v>110</v>
      </c>
      <c r="I22" s="5"/>
      <c r="J22" s="5">
        <v>90</v>
      </c>
      <c r="K22" s="5">
        <v>90</v>
      </c>
      <c r="L22" s="5">
        <v>100</v>
      </c>
      <c r="M22" s="5">
        <v>100</v>
      </c>
      <c r="N22" s="5">
        <v>110</v>
      </c>
      <c r="O22" s="5">
        <v>110</v>
      </c>
      <c r="Q22" s="4" t="s">
        <v>96</v>
      </c>
      <c r="R22" s="5">
        <v>61</v>
      </c>
      <c r="S22" s="5" t="s">
        <v>125</v>
      </c>
      <c r="T22" s="5" t="s">
        <v>98</v>
      </c>
      <c r="U22" s="5">
        <v>55</v>
      </c>
      <c r="V22" s="5">
        <v>43.5</v>
      </c>
      <c r="W22" s="5">
        <v>6.8</v>
      </c>
      <c r="X22" s="5">
        <v>108.3</v>
      </c>
      <c r="Y22" s="5">
        <v>65.7</v>
      </c>
      <c r="Z22" s="5">
        <v>5</v>
      </c>
      <c r="AA22" s="5">
        <v>84.5</v>
      </c>
      <c r="AB22" s="5">
        <v>18.600000000000001</v>
      </c>
      <c r="AC22" s="5">
        <v>64</v>
      </c>
      <c r="AD22" s="5">
        <v>41.5</v>
      </c>
      <c r="AE22" s="5">
        <v>110</v>
      </c>
      <c r="AF22" s="5">
        <v>175</v>
      </c>
    </row>
    <row r="23" spans="1:32">
      <c r="A23" t="s">
        <v>21</v>
      </c>
      <c r="B23" s="4" t="s">
        <v>85</v>
      </c>
      <c r="C23" s="5">
        <v>170</v>
      </c>
      <c r="D23" s="5">
        <v>170</v>
      </c>
      <c r="E23" s="5">
        <v>170</v>
      </c>
      <c r="F23" s="5">
        <v>170</v>
      </c>
      <c r="G23" s="5">
        <v>175</v>
      </c>
      <c r="H23" s="5">
        <v>175</v>
      </c>
      <c r="I23" s="5"/>
      <c r="J23" s="5">
        <v>170</v>
      </c>
      <c r="K23" s="5">
        <v>170</v>
      </c>
      <c r="L23" s="5">
        <v>172.5</v>
      </c>
      <c r="M23" s="5">
        <v>172.5</v>
      </c>
      <c r="N23" s="5">
        <v>175</v>
      </c>
      <c r="O23" s="5">
        <v>175</v>
      </c>
    </row>
    <row r="24" spans="1:32">
      <c r="A24" t="s">
        <v>23</v>
      </c>
    </row>
    <row r="25" spans="1:32">
      <c r="A25" s="1" t="s">
        <v>121</v>
      </c>
    </row>
    <row r="26" spans="1:32">
      <c r="A26" s="1" t="s">
        <v>67</v>
      </c>
    </row>
    <row r="27" spans="1:32">
      <c r="A27" t="s">
        <v>19</v>
      </c>
    </row>
    <row r="28" spans="1:32">
      <c r="A28" t="s">
        <v>22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32">
      <c r="A29" t="s">
        <v>24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J29" s="6" t="s">
        <v>103</v>
      </c>
      <c r="K29" s="6" t="s">
        <v>104</v>
      </c>
      <c r="L29" s="6" t="s">
        <v>105</v>
      </c>
    </row>
    <row r="30" spans="1:32">
      <c r="A30" t="s">
        <v>25</v>
      </c>
      <c r="C30">
        <v>48</v>
      </c>
      <c r="D30">
        <v>48</v>
      </c>
      <c r="E30">
        <v>48</v>
      </c>
      <c r="F30">
        <v>48</v>
      </c>
      <c r="G30">
        <v>48</v>
      </c>
      <c r="H30">
        <v>48</v>
      </c>
      <c r="J30" s="6"/>
      <c r="K30" s="6"/>
      <c r="L30" s="6"/>
    </row>
    <row r="31" spans="1:32">
      <c r="A31" t="s">
        <v>26</v>
      </c>
      <c r="C31">
        <v>147</v>
      </c>
      <c r="D31">
        <f>AVERAGE(D33,C34)</f>
        <v>157</v>
      </c>
      <c r="E31">
        <f>AVERAGE(E33,D34)</f>
        <v>165</v>
      </c>
      <c r="F31">
        <f>AVERAGE(F33,E34)</f>
        <v>174</v>
      </c>
      <c r="G31">
        <f>AVERAGE(G33,F34)</f>
        <v>179</v>
      </c>
      <c r="H31">
        <f>AVERAGE(H33,G34)</f>
        <v>188</v>
      </c>
      <c r="J31" s="6" t="s">
        <v>86</v>
      </c>
      <c r="K31" s="6" t="s">
        <v>106</v>
      </c>
      <c r="L31" s="6" t="s">
        <v>107</v>
      </c>
    </row>
    <row r="32" spans="1:32">
      <c r="A32" t="s">
        <v>27</v>
      </c>
      <c r="C32">
        <f>D31</f>
        <v>157</v>
      </c>
      <c r="D32">
        <f t="shared" ref="D32:G32" si="4">E31</f>
        <v>165</v>
      </c>
      <c r="E32">
        <f t="shared" si="4"/>
        <v>174</v>
      </c>
      <c r="F32">
        <f t="shared" si="4"/>
        <v>179</v>
      </c>
      <c r="G32">
        <f t="shared" si="4"/>
        <v>188</v>
      </c>
      <c r="H32">
        <v>198</v>
      </c>
      <c r="J32" s="6"/>
      <c r="K32" s="6"/>
      <c r="L32" s="6"/>
    </row>
    <row r="33" spans="1:12">
      <c r="C33">
        <v>147</v>
      </c>
      <c r="D33">
        <v>157</v>
      </c>
      <c r="E33">
        <v>165</v>
      </c>
      <c r="F33">
        <v>173</v>
      </c>
      <c r="G33">
        <v>178</v>
      </c>
      <c r="H33">
        <v>188</v>
      </c>
      <c r="J33" s="6" t="s">
        <v>87</v>
      </c>
      <c r="K33" s="6" t="s">
        <v>108</v>
      </c>
      <c r="L33" s="6" t="s">
        <v>109</v>
      </c>
    </row>
    <row r="34" spans="1:12">
      <c r="A34" t="s">
        <v>28</v>
      </c>
      <c r="B34" t="s">
        <v>29</v>
      </c>
      <c r="C34">
        <v>157</v>
      </c>
      <c r="D34">
        <v>165</v>
      </c>
      <c r="E34">
        <v>175</v>
      </c>
      <c r="F34">
        <v>180</v>
      </c>
      <c r="G34">
        <v>188</v>
      </c>
      <c r="H34">
        <v>198</v>
      </c>
      <c r="J34" s="6"/>
      <c r="K34" s="6"/>
      <c r="L34" s="6"/>
    </row>
    <row r="35" spans="1:12">
      <c r="A35" t="s">
        <v>126</v>
      </c>
      <c r="B35" t="s">
        <v>127</v>
      </c>
      <c r="J35" s="6" t="s">
        <v>89</v>
      </c>
      <c r="K35" s="6" t="s">
        <v>110</v>
      </c>
      <c r="L35" s="6" t="s">
        <v>111</v>
      </c>
    </row>
    <row r="36" spans="1:12">
      <c r="A36" t="s">
        <v>128</v>
      </c>
      <c r="B36" t="s">
        <v>129</v>
      </c>
      <c r="J36" s="6"/>
      <c r="K36" s="6"/>
      <c r="L36" s="6"/>
    </row>
    <row r="37" spans="1:12">
      <c r="A37" t="s">
        <v>130</v>
      </c>
      <c r="B37" t="s">
        <v>119</v>
      </c>
      <c r="C37" s="1"/>
      <c r="D37" s="1"/>
      <c r="E37" s="1" t="s">
        <v>121</v>
      </c>
      <c r="F37" s="1" t="s">
        <v>121</v>
      </c>
      <c r="G37" s="1" t="s">
        <v>121</v>
      </c>
      <c r="H37" s="1" t="s">
        <v>121</v>
      </c>
      <c r="J37" s="6" t="s">
        <v>92</v>
      </c>
      <c r="K37" s="6" t="s">
        <v>112</v>
      </c>
      <c r="L37" s="6" t="s">
        <v>113</v>
      </c>
    </row>
    <row r="38" spans="1:12">
      <c r="A38" t="s">
        <v>30</v>
      </c>
      <c r="B38" s="1" t="s">
        <v>69</v>
      </c>
      <c r="E38">
        <f t="shared" ref="E38:H38" si="5">((622 + 2*E29)/2*COS(E10*PI()/180) - E17)/SIN(E10*PI()/180)</f>
        <v>64.71834174044983</v>
      </c>
      <c r="F38">
        <f t="shared" si="5"/>
        <v>64.71834174044983</v>
      </c>
      <c r="G38">
        <f t="shared" si="5"/>
        <v>61.473702165836777</v>
      </c>
      <c r="H38">
        <f t="shared" si="5"/>
        <v>61.473702165836777</v>
      </c>
      <c r="J38" s="6"/>
      <c r="K38" s="6"/>
      <c r="L38" s="6"/>
    </row>
    <row r="39" spans="1:12" ht="21">
      <c r="A39" t="s">
        <v>31</v>
      </c>
      <c r="B39" s="1" t="s">
        <v>66</v>
      </c>
      <c r="C39" s="2"/>
      <c r="J39" s="6" t="s">
        <v>94</v>
      </c>
      <c r="K39" s="6" t="s">
        <v>114</v>
      </c>
      <c r="L39" s="6" t="s">
        <v>115</v>
      </c>
    </row>
    <row r="40" spans="1:12">
      <c r="A40" t="s">
        <v>32</v>
      </c>
      <c r="J40" s="6"/>
      <c r="K40" s="6"/>
      <c r="L40" s="6"/>
    </row>
    <row r="41" spans="1:12">
      <c r="A41" t="s">
        <v>33</v>
      </c>
      <c r="B41">
        <v>48</v>
      </c>
      <c r="J41" s="6" t="s">
        <v>96</v>
      </c>
      <c r="K41" s="6" t="s">
        <v>116</v>
      </c>
      <c r="L41" s="6" t="s">
        <v>117</v>
      </c>
    </row>
    <row r="42" spans="1:12">
      <c r="A42" t="s">
        <v>34</v>
      </c>
      <c r="B42" s="1"/>
      <c r="J42" s="6"/>
      <c r="K42" s="6"/>
      <c r="L42" s="6"/>
    </row>
    <row r="43" spans="1:12">
      <c r="A43" t="s">
        <v>35</v>
      </c>
    </row>
    <row r="44" spans="1:12">
      <c r="A44" t="s">
        <v>36</v>
      </c>
      <c r="B44" s="1"/>
    </row>
    <row r="45" spans="1:12">
      <c r="A45" t="s">
        <v>37</v>
      </c>
    </row>
    <row r="46" spans="1:12">
      <c r="A46" t="s">
        <v>38</v>
      </c>
      <c r="C46" s="1" t="s">
        <v>101</v>
      </c>
    </row>
    <row r="47" spans="1:12">
      <c r="A47" t="s">
        <v>39</v>
      </c>
    </row>
    <row r="48" spans="1:12">
      <c r="A48" t="s">
        <v>40</v>
      </c>
    </row>
    <row r="49" spans="1:3">
      <c r="A49" t="s">
        <v>41</v>
      </c>
      <c r="B49" s="1" t="s">
        <v>100</v>
      </c>
      <c r="C49" s="1"/>
    </row>
    <row r="50" spans="1:3">
      <c r="A50" t="s">
        <v>42</v>
      </c>
    </row>
    <row r="51" spans="1:3">
      <c r="A51" t="s">
        <v>43</v>
      </c>
    </row>
    <row r="52" spans="1:3">
      <c r="A52" t="s">
        <v>44</v>
      </c>
      <c r="B52" s="1" t="s">
        <v>66</v>
      </c>
    </row>
    <row r="53" spans="1:3">
      <c r="A53" t="s">
        <v>45</v>
      </c>
      <c r="B53">
        <v>42</v>
      </c>
    </row>
    <row r="54" spans="1:3">
      <c r="A54" t="s">
        <v>46</v>
      </c>
      <c r="B54" s="1"/>
    </row>
    <row r="55" spans="1:3">
      <c r="A55" t="s">
        <v>47</v>
      </c>
    </row>
    <row r="56" spans="1:3">
      <c r="A56" t="s">
        <v>48</v>
      </c>
    </row>
    <row r="57" spans="1:3">
      <c r="A57" t="s">
        <v>49</v>
      </c>
    </row>
    <row r="58" spans="1:3">
      <c r="A58" t="s">
        <v>50</v>
      </c>
      <c r="B58" s="1" t="s">
        <v>102</v>
      </c>
    </row>
    <row r="59" spans="1:3">
      <c r="A59" t="s">
        <v>51</v>
      </c>
      <c r="B59" s="1"/>
    </row>
    <row r="60" spans="1:3">
      <c r="A60" t="s">
        <v>52</v>
      </c>
    </row>
    <row r="61" spans="1:3">
      <c r="A61" t="s">
        <v>53</v>
      </c>
    </row>
    <row r="62" spans="1:3">
      <c r="A62" t="s">
        <v>54</v>
      </c>
      <c r="B62">
        <v>2</v>
      </c>
    </row>
    <row r="63" spans="1:3">
      <c r="A63" t="s">
        <v>55</v>
      </c>
      <c r="B63">
        <v>1</v>
      </c>
    </row>
    <row r="64" spans="1:3">
      <c r="A64" t="s">
        <v>56</v>
      </c>
      <c r="B64" s="1" t="s">
        <v>66</v>
      </c>
    </row>
    <row r="65" spans="1:2">
      <c r="A65" t="s">
        <v>57</v>
      </c>
      <c r="B65" s="1" t="s">
        <v>66</v>
      </c>
    </row>
    <row r="66" spans="1:2">
      <c r="A66" t="s">
        <v>58</v>
      </c>
      <c r="B66" s="1" t="s">
        <v>118</v>
      </c>
    </row>
    <row r="67" spans="1:2">
      <c r="A67" t="s">
        <v>59</v>
      </c>
      <c r="B67" s="1" t="s">
        <v>66</v>
      </c>
    </row>
    <row r="68" spans="1:2">
      <c r="A68" t="s">
        <v>60</v>
      </c>
      <c r="B68" s="1" t="s">
        <v>66</v>
      </c>
    </row>
    <row r="69" spans="1:2">
      <c r="A69" t="s">
        <v>61</v>
      </c>
      <c r="B69">
        <v>2399</v>
      </c>
    </row>
    <row r="70" spans="1:2">
      <c r="A70" t="s">
        <v>62</v>
      </c>
      <c r="B70">
        <v>4975</v>
      </c>
    </row>
    <row r="71" spans="1:2">
      <c r="A71" t="s">
        <v>63</v>
      </c>
      <c r="B71" s="1" t="s">
        <v>66</v>
      </c>
    </row>
    <row r="72" spans="1:2">
      <c r="A72" t="s">
        <v>64</v>
      </c>
      <c r="B72" s="1" t="s">
        <v>134</v>
      </c>
    </row>
    <row r="73" spans="1:2">
      <c r="A73" t="s">
        <v>132</v>
      </c>
      <c r="B73" t="s">
        <v>133</v>
      </c>
    </row>
  </sheetData>
  <mergeCells count="21">
    <mergeCell ref="K35:K36"/>
    <mergeCell ref="J29:J30"/>
    <mergeCell ref="K29:K30"/>
    <mergeCell ref="J31:J32"/>
    <mergeCell ref="K31:K32"/>
    <mergeCell ref="J41:J42"/>
    <mergeCell ref="K41:K42"/>
    <mergeCell ref="L29:L30"/>
    <mergeCell ref="L31:L32"/>
    <mergeCell ref="L33:L34"/>
    <mergeCell ref="L35:L36"/>
    <mergeCell ref="L37:L38"/>
    <mergeCell ref="L39:L40"/>
    <mergeCell ref="L41:L42"/>
    <mergeCell ref="J37:J38"/>
    <mergeCell ref="K37:K38"/>
    <mergeCell ref="J39:J40"/>
    <mergeCell ref="K39:K40"/>
    <mergeCell ref="J33:J34"/>
    <mergeCell ref="K33:K34"/>
    <mergeCell ref="J35:J36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2025-10-17T21:28:57Z</dcterms:modified>
</cp:coreProperties>
</file>