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2E340E2-0BA5-194D-A73A-46D1C7E2A43D}" xr6:coauthVersionLast="47" xr6:coauthVersionMax="47" xr10:uidLastSave="{00000000-0000-0000-0000-000000000000}"/>
  <bookViews>
    <workbookView xWindow="28480" yWindow="-18400" windowWidth="25720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5" i="1"/>
  <c r="F35" i="1"/>
  <c r="G35" i="1"/>
  <c r="H35" i="1"/>
  <c r="D36" i="1"/>
  <c r="E36" i="1"/>
  <c r="F36" i="1"/>
  <c r="G36" i="1"/>
  <c r="H36" i="1"/>
  <c r="C36" i="1"/>
  <c r="C35" i="1"/>
</calcChain>
</file>

<file path=xl/sharedStrings.xml><?xml version="1.0" encoding="utf-8"?>
<sst xmlns="http://schemas.openxmlformats.org/spreadsheetml/2006/main" count="316" uniqueCount="196">
  <si>
    <t>brand</t>
  </si>
  <si>
    <t>Rose</t>
  </si>
  <si>
    <t>model</t>
  </si>
  <si>
    <t>model_year</t>
  </si>
  <si>
    <t>input_date</t>
  </si>
  <si>
    <t>url</t>
  </si>
  <si>
    <t>data_range</t>
  </si>
  <si>
    <t>frame_size</t>
  </si>
  <si>
    <t>frame size</t>
  </si>
  <si>
    <t>seat_tube_length</t>
  </si>
  <si>
    <t>top_tube_effective_length</t>
  </si>
  <si>
    <t>head_tube_length</t>
  </si>
  <si>
    <t>head_tube_angle</t>
  </si>
  <si>
    <t>seat_tube_angle</t>
  </si>
  <si>
    <t>bottom_bracket_drop</t>
  </si>
  <si>
    <t>chainstay_length</t>
  </si>
  <si>
    <t>wheelbase</t>
  </si>
  <si>
    <t>reach</t>
  </si>
  <si>
    <t>stack</t>
  </si>
  <si>
    <t>standover</t>
  </si>
  <si>
    <t>stack_reach</t>
  </si>
  <si>
    <t>fork_offset_rake</t>
  </si>
  <si>
    <t>frame_weight</t>
  </si>
  <si>
    <t>wheel_size</t>
  </si>
  <si>
    <t>tire_width_spec</t>
  </si>
  <si>
    <t>tire_width_max</t>
  </si>
  <si>
    <t>axle_crown</t>
  </si>
  <si>
    <t>crank_length</t>
  </si>
  <si>
    <t>handlebar_width</t>
  </si>
  <si>
    <t>stem_length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</si>
  <si>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</si>
  <si>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</si>
  <si>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</si>
  <si>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</si>
  <si>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</si>
  <si>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</si>
  <si>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</si>
  <si>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</si>
  <si>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</si>
  <si>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</si>
  <si>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</si>
  <si>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</si>
  <si>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</si>
  <si>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</si>
  <si>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</si>
  <si>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</si>
  <si>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</si>
  <si>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</si>
  <si>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</si>
  <si>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</si>
  <si>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</si>
  <si>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</si>
  <si>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</si>
  <si>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</si>
  <si>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</si>
  <si>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</si>
  <si>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</si>
  <si>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</si>
  <si>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</si>
  <si>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</si>
  <si>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</si>
  <si>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</si>
  <si>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</si>
  <si>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</si>
  <si>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</si>
  <si>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</si>
  <si>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</si>
  <si>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</si>
  <si>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</si>
  <si>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</si>
  <si>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</si>
  <si>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</si>
  <si>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</si>
  <si>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</si>
  <si>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</si>
  <si>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</si>
  <si>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https://www.rosebikes.com/bikes/gravel/race/backroad-ff?sf=1</t>
  </si>
  <si>
    <t xml:space="preserve">Backroad FF </t>
  </si>
  <si>
    <t>M</t>
  </si>
  <si>
    <t>M/L</t>
  </si>
  <si>
    <t>L</t>
  </si>
  <si>
    <t>XL</t>
  </si>
  <si>
    <t>a</t>
  </si>
  <si>
    <t>b</t>
  </si>
  <si>
    <t>c</t>
  </si>
  <si>
    <t>d</t>
  </si>
  <si>
    <t>72,25</t>
  </si>
  <si>
    <t>72,5</t>
  </si>
  <si>
    <t>e</t>
  </si>
  <si>
    <t>74,5</t>
  </si>
  <si>
    <t>f</t>
  </si>
  <si>
    <t>g</t>
  </si>
  <si>
    <t>h</t>
  </si>
  <si>
    <t>i4</t>
  </si>
  <si>
    <t>j</t>
  </si>
  <si>
    <t>j1</t>
  </si>
  <si>
    <t>k</t>
  </si>
  <si>
    <t>k1</t>
  </si>
  <si>
    <t>m</t>
  </si>
  <si>
    <t>o</t>
  </si>
  <si>
    <t>1,41</t>
  </si>
  <si>
    <t>1,42</t>
  </si>
  <si>
    <t>1,43</t>
  </si>
  <si>
    <t>o1</t>
  </si>
  <si>
    <t>1,12</t>
  </si>
  <si>
    <t>1,13</t>
  </si>
  <si>
    <t>1,11</t>
  </si>
  <si>
    <t>p</t>
  </si>
  <si>
    <t>q</t>
  </si>
  <si>
    <t>700C</t>
  </si>
  <si>
    <t>r</t>
  </si>
  <si>
    <t>u</t>
  </si>
  <si>
    <t>w1</t>
  </si>
  <si>
    <t>w2</t>
  </si>
  <si>
    <t>172,5</t>
  </si>
  <si>
    <t>w3</t>
  </si>
  <si>
    <t>x</t>
  </si>
  <si>
    <t>174-181</t>
  </si>
  <si>
    <t>179-186</t>
  </si>
  <si>
    <t>183-193</t>
  </si>
  <si>
    <t>191-200</t>
  </si>
  <si>
    <t>z</t>
  </si>
  <si>
    <t>seat tube length</t>
  </si>
  <si>
    <t>(mm)</t>
  </si>
  <si>
    <t>Top tube length</t>
  </si>
  <si>
    <t>head tube length</t>
  </si>
  <si>
    <t>head tube angle</t>
  </si>
  <si>
    <t>(°)</t>
  </si>
  <si>
    <t>71,25</t>
  </si>
  <si>
    <t>71,75</t>
  </si>
  <si>
    <t>seat angle</t>
  </si>
  <si>
    <t>76,25</t>
  </si>
  <si>
    <t>75,5</t>
  </si>
  <si>
    <t>BB drop</t>
  </si>
  <si>
    <t>chainstay length</t>
  </si>
  <si>
    <t>max. seat height (limited by seat post length 360mm)</t>
  </si>
  <si>
    <t>Reach+</t>
  </si>
  <si>
    <t>Stack+</t>
  </si>
  <si>
    <t>Standover height (100 mm in front of BB)</t>
  </si>
  <si>
    <t>stack to reach ratio</t>
  </si>
  <si>
    <t>1,39</t>
  </si>
  <si>
    <t>1,4</t>
  </si>
  <si>
    <t>Stack to Reach ratio+</t>
  </si>
  <si>
    <t>Fork offset</t>
  </si>
  <si>
    <t>Wheel diameter</t>
  </si>
  <si>
    <t>(inches)</t>
  </si>
  <si>
    <t>max. tyre width</t>
  </si>
  <si>
    <t>fork length</t>
  </si>
  <si>
    <t>Handlebar Width</t>
  </si>
  <si>
    <t>Crank Length</t>
  </si>
  <si>
    <t>Stem lengh</t>
  </si>
  <si>
    <t>recommended size</t>
  </si>
  <si>
    <t>(cm)</t>
  </si>
  <si>
    <t>157-168</t>
  </si>
  <si>
    <t>168-176</t>
  </si>
  <si>
    <t>system weight</t>
  </si>
  <si>
    <t>(kg)</t>
  </si>
  <si>
    <t>XS</t>
  </si>
  <si>
    <t>S</t>
  </si>
  <si>
    <r>
      <t>seat tube length</t>
    </r>
    <r>
      <rPr>
        <sz val="16"/>
        <color rgb="FF757575"/>
        <rFont val="Futura Medium"/>
      </rPr>
      <t>(mm)</t>
    </r>
  </si>
  <si>
    <r>
      <t>Top tube length</t>
    </r>
    <r>
      <rPr>
        <sz val="16"/>
        <color rgb="FF757575"/>
        <rFont val="Futura Medium"/>
      </rPr>
      <t>(mm)</t>
    </r>
  </si>
  <si>
    <r>
      <t>head tube length</t>
    </r>
    <r>
      <rPr>
        <sz val="16"/>
        <color rgb="FF757575"/>
        <rFont val="Futura Medium"/>
      </rPr>
      <t>(mm)</t>
    </r>
  </si>
  <si>
    <r>
      <t>head tube angle</t>
    </r>
    <r>
      <rPr>
        <sz val="16"/>
        <color rgb="FF757575"/>
        <rFont val="Futura Medium"/>
      </rPr>
      <t>(°)</t>
    </r>
  </si>
  <si>
    <r>
      <t>seat angle</t>
    </r>
    <r>
      <rPr>
        <sz val="16"/>
        <color rgb="FF757575"/>
        <rFont val="Futura Medium"/>
      </rPr>
      <t>(°)</t>
    </r>
  </si>
  <si>
    <r>
      <t>BB drop</t>
    </r>
    <r>
      <rPr>
        <sz val="16"/>
        <color rgb="FF757575"/>
        <rFont val="Futura Medium"/>
      </rPr>
      <t>(mm)</t>
    </r>
  </si>
  <si>
    <r>
      <t>chainstay length</t>
    </r>
    <r>
      <rPr>
        <sz val="16"/>
        <color rgb="FF757575"/>
        <rFont val="Futura Medium"/>
      </rPr>
      <t>(mm)</t>
    </r>
  </si>
  <si>
    <r>
      <t>wheelbase</t>
    </r>
    <r>
      <rPr>
        <sz val="16"/>
        <color rgb="FF757575"/>
        <rFont val="Futura Medium"/>
      </rPr>
      <t>(mm)</t>
    </r>
  </si>
  <si>
    <r>
      <t>max. seat height (limited by seat post length 360mm)</t>
    </r>
    <r>
      <rPr>
        <sz val="16"/>
        <color rgb="FF757575"/>
        <rFont val="Futura Medium"/>
      </rPr>
      <t>(mm)</t>
    </r>
  </si>
  <si>
    <r>
      <t>reach</t>
    </r>
    <r>
      <rPr>
        <sz val="16"/>
        <color rgb="FF757575"/>
        <rFont val="Futura Medium"/>
      </rPr>
      <t>(mm)</t>
    </r>
  </si>
  <si>
    <r>
      <t>Reach+</t>
    </r>
    <r>
      <rPr>
        <sz val="16"/>
        <color rgb="FF757575"/>
        <rFont val="Futura Medium"/>
      </rPr>
      <t>(mm)</t>
    </r>
  </si>
  <si>
    <r>
      <t>stack</t>
    </r>
    <r>
      <rPr>
        <sz val="16"/>
        <color rgb="FF757575"/>
        <rFont val="Futura Medium"/>
      </rPr>
      <t>(mm)</t>
    </r>
  </si>
  <si>
    <r>
      <t>Stack+</t>
    </r>
    <r>
      <rPr>
        <sz val="16"/>
        <color rgb="FF757575"/>
        <rFont val="Futura Medium"/>
      </rPr>
      <t>(mm)</t>
    </r>
  </si>
  <si>
    <r>
      <t>Standover height (100 mm in front of BB)</t>
    </r>
    <r>
      <rPr>
        <sz val="16"/>
        <color rgb="FF757575"/>
        <rFont val="Futura Medium"/>
      </rPr>
      <t>(mm)</t>
    </r>
  </si>
  <si>
    <r>
      <t>stack to reach ratio</t>
    </r>
    <r>
      <rPr>
        <sz val="16"/>
        <color rgb="FF757575"/>
        <rFont val="Futura Medium"/>
      </rPr>
      <t>(mm)</t>
    </r>
  </si>
  <si>
    <r>
      <t>Stack to Reach ratio+</t>
    </r>
    <r>
      <rPr>
        <sz val="16"/>
        <color rgb="FF757575"/>
        <rFont val="Futura Medium"/>
      </rPr>
      <t>(mm)</t>
    </r>
  </si>
  <si>
    <r>
      <t>Fork offset</t>
    </r>
    <r>
      <rPr>
        <sz val="16"/>
        <color rgb="FF757575"/>
        <rFont val="Futura Medium"/>
      </rPr>
      <t>(mm)</t>
    </r>
  </si>
  <si>
    <r>
      <t>Wheel diameter</t>
    </r>
    <r>
      <rPr>
        <sz val="16"/>
        <color rgb="FF757575"/>
        <rFont val="Futura Medium"/>
      </rPr>
      <t>(inches)</t>
    </r>
  </si>
  <si>
    <r>
      <t>max. tyre width</t>
    </r>
    <r>
      <rPr>
        <sz val="16"/>
        <color rgb="FF757575"/>
        <rFont val="Futura Medium"/>
      </rPr>
      <t>(inches)</t>
    </r>
  </si>
  <si>
    <r>
      <t>fork length</t>
    </r>
    <r>
      <rPr>
        <sz val="16"/>
        <color rgb="FF757575"/>
        <rFont val="Futura Medium"/>
      </rPr>
      <t>(mm)</t>
    </r>
  </si>
  <si>
    <r>
      <t>Handlebar Width</t>
    </r>
    <r>
      <rPr>
        <sz val="16"/>
        <color rgb="FF757575"/>
        <rFont val="Futura Medium"/>
      </rPr>
      <t>(mm)</t>
    </r>
  </si>
  <si>
    <r>
      <t>Crank Length</t>
    </r>
    <r>
      <rPr>
        <sz val="16"/>
        <color rgb="FF757575"/>
        <rFont val="Futura Medium"/>
      </rPr>
      <t>(mm)</t>
    </r>
  </si>
  <si>
    <r>
      <t>Stem lengh</t>
    </r>
    <r>
      <rPr>
        <sz val="16"/>
        <color rgb="FF757575"/>
        <rFont val="Futura Medium"/>
      </rPr>
      <t>(mm)</t>
    </r>
  </si>
  <si>
    <r>
      <t>recommended size</t>
    </r>
    <r>
      <rPr>
        <sz val="16"/>
        <color rgb="FF757575"/>
        <rFont val="Futura Medium"/>
      </rPr>
      <t>(cm)</t>
    </r>
  </si>
  <si>
    <r>
      <t>system weight</t>
    </r>
    <r>
      <rPr>
        <sz val="16"/>
        <color rgb="FF757575"/>
        <rFont val="Futura Medium"/>
      </rPr>
      <t>(kg)</t>
    </r>
  </si>
  <si>
    <t>system_weight</t>
  </si>
  <si>
    <t>yes</t>
  </si>
  <si>
    <t>integrated</t>
  </si>
  <si>
    <t>max_seat_height</t>
  </si>
  <si>
    <t>reach_plus</t>
  </si>
  <si>
    <t>stack_plus</t>
  </si>
  <si>
    <t>stack_plus_reach_plus</t>
  </si>
  <si>
    <t>https://cdn.rosebikes.de/cms/cms.65e72b4b48ede7.00076604.png?im=Resize=(2880)</t>
  </si>
  <si>
    <t>EUR</t>
  </si>
  <si>
    <t>location</t>
  </si>
  <si>
    <t>Bocholt, Germany</t>
  </si>
  <si>
    <t>a8:h36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</si>
</sst>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 Medium"/>
    </font>
    <font>
      <sz val="14"/>
      <color theme="1"/>
      <name val="Futura Medium"/>
    </font>
    <font>
      <sz val="16"/>
      <color rgb="FF303030"/>
      <name val="Futura Medium"/>
    </font>
    <font>
      <sz val="16"/>
      <color rgb="FF757575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7"/>
  <sheetViews>
    <sheetView tabSelected="1" zoomScale="94" workbookViewId="0">
      <selection activeCell="B8" sqref="B8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1" x14ac:dyDescent="0.3">
      <c r="A1" s="1" t="s">
        <v>0</v>
      </c>
      <c r="B1" s="1" t="s">
        <v>1</v>
      </c>
    </row>
    <row r="2" spans="1:61" x14ac:dyDescent="0.3">
      <c r="A2" s="1" t="s">
        <v>2</v>
      </c>
      <c r="B2" s="1" t="s">
        <v>77</v>
      </c>
    </row>
    <row r="3" spans="1:61" x14ac:dyDescent="0.3">
      <c r="A3" s="1" t="s">
        <v>3</v>
      </c>
      <c r="B3" s="1">
        <v>2025</v>
      </c>
    </row>
    <row r="4" spans="1:61" x14ac:dyDescent="0.3">
      <c r="A4" s="1" t="s">
        <v>4</v>
      </c>
      <c r="B4" s="2">
        <v>45890</v>
      </c>
    </row>
    <row r="5" spans="1:61" x14ac:dyDescent="0.3">
      <c r="A5" s="1" t="s">
        <v>5</v>
      </c>
      <c r="B5" s="1" t="s">
        <v>76</v>
      </c>
    </row>
    <row r="6" spans="1:61" x14ac:dyDescent="0.3">
      <c r="B6" s="1" t="s">
        <v>191</v>
      </c>
    </row>
    <row r="7" spans="1:61" x14ac:dyDescent="0.3">
      <c r="A7" s="3" t="s">
        <v>6</v>
      </c>
      <c r="B7" s="3" t="s">
        <v>195</v>
      </c>
      <c r="C7" s="3"/>
      <c r="D7" s="3"/>
      <c r="E7" s="3"/>
      <c r="F7" s="3"/>
      <c r="G7" s="3"/>
      <c r="H7" s="3"/>
    </row>
    <row r="8" spans="1:61" ht="22" x14ac:dyDescent="0.3">
      <c r="A8" s="3" t="s">
        <v>7</v>
      </c>
      <c r="B8" s="3" t="s">
        <v>8</v>
      </c>
      <c r="C8" s="3" t="s">
        <v>157</v>
      </c>
      <c r="D8" s="3" t="s">
        <v>158</v>
      </c>
      <c r="E8" s="3" t="s">
        <v>78</v>
      </c>
      <c r="F8" s="3" t="s">
        <v>79</v>
      </c>
      <c r="G8" s="3" t="s">
        <v>80</v>
      </c>
      <c r="H8" s="3" t="s">
        <v>81</v>
      </c>
      <c r="K8" s="1" t="s">
        <v>82</v>
      </c>
      <c r="L8" s="1" t="s">
        <v>83</v>
      </c>
      <c r="M8" s="1" t="s">
        <v>84</v>
      </c>
      <c r="N8" s="1" t="s">
        <v>85</v>
      </c>
      <c r="O8" s="1" t="s">
        <v>88</v>
      </c>
      <c r="P8" s="1" t="s">
        <v>90</v>
      </c>
      <c r="Q8" s="1" t="s">
        <v>91</v>
      </c>
      <c r="R8" s="1" t="s">
        <v>92</v>
      </c>
      <c r="S8" s="1" t="s">
        <v>93</v>
      </c>
      <c r="T8" s="1" t="s">
        <v>94</v>
      </c>
      <c r="U8" s="1" t="s">
        <v>95</v>
      </c>
      <c r="V8" s="1" t="s">
        <v>96</v>
      </c>
      <c r="W8" s="1" t="s">
        <v>97</v>
      </c>
      <c r="X8" s="1" t="s">
        <v>98</v>
      </c>
      <c r="Y8" s="1" t="s">
        <v>99</v>
      </c>
      <c r="Z8" s="1" t="s">
        <v>103</v>
      </c>
      <c r="AA8" s="1" t="s">
        <v>107</v>
      </c>
      <c r="AB8" s="1" t="s">
        <v>108</v>
      </c>
      <c r="AC8" s="1" t="s">
        <v>110</v>
      </c>
      <c r="AD8" s="1" t="s">
        <v>111</v>
      </c>
      <c r="AE8" s="1" t="s">
        <v>112</v>
      </c>
      <c r="AF8" s="1" t="s">
        <v>113</v>
      </c>
      <c r="AG8" s="1" t="s">
        <v>115</v>
      </c>
      <c r="AH8" s="1" t="s">
        <v>116</v>
      </c>
      <c r="AI8" s="1" t="s">
        <v>121</v>
      </c>
      <c r="AK8" s="4" t="s">
        <v>82</v>
      </c>
      <c r="AL8" s="4" t="s">
        <v>83</v>
      </c>
      <c r="AM8" s="4" t="s">
        <v>84</v>
      </c>
      <c r="AN8" s="4" t="s">
        <v>85</v>
      </c>
      <c r="AO8" s="4" t="s">
        <v>88</v>
      </c>
      <c r="AP8" s="4" t="s">
        <v>90</v>
      </c>
      <c r="AQ8" s="4" t="s">
        <v>91</v>
      </c>
      <c r="AR8" s="4" t="s">
        <v>92</v>
      </c>
      <c r="AS8" s="4" t="s">
        <v>93</v>
      </c>
      <c r="AT8" s="4" t="s">
        <v>94</v>
      </c>
      <c r="AU8" s="4" t="s">
        <v>95</v>
      </c>
      <c r="AV8" s="4" t="s">
        <v>96</v>
      </c>
      <c r="AW8" s="4" t="s">
        <v>97</v>
      </c>
      <c r="AX8" s="4" t="s">
        <v>98</v>
      </c>
      <c r="AY8" s="4" t="s">
        <v>99</v>
      </c>
      <c r="AZ8" s="4" t="s">
        <v>103</v>
      </c>
      <c r="BA8" s="4" t="s">
        <v>107</v>
      </c>
      <c r="BB8" s="4" t="s">
        <v>108</v>
      </c>
      <c r="BC8" s="4" t="s">
        <v>110</v>
      </c>
      <c r="BD8" s="4" t="s">
        <v>111</v>
      </c>
      <c r="BE8" s="4" t="s">
        <v>112</v>
      </c>
      <c r="BF8" s="4" t="s">
        <v>113</v>
      </c>
      <c r="BG8" s="4" t="s">
        <v>115</v>
      </c>
      <c r="BH8" s="4" t="s">
        <v>116</v>
      </c>
      <c r="BI8" s="4" t="s">
        <v>121</v>
      </c>
    </row>
    <row r="9" spans="1:61" ht="22" x14ac:dyDescent="0.3">
      <c r="A9" s="3" t="s">
        <v>9</v>
      </c>
      <c r="B9" s="3" t="s">
        <v>122</v>
      </c>
      <c r="C9" s="3">
        <v>450</v>
      </c>
      <c r="D9" s="3">
        <v>482</v>
      </c>
      <c r="E9" s="3">
        <v>505</v>
      </c>
      <c r="F9" s="3">
        <v>525</v>
      </c>
      <c r="G9" s="3">
        <v>550</v>
      </c>
      <c r="H9" s="3">
        <v>585</v>
      </c>
      <c r="I9" s="5"/>
      <c r="J9" s="5"/>
      <c r="K9" s="1" t="s">
        <v>122</v>
      </c>
      <c r="L9" s="1" t="s">
        <v>124</v>
      </c>
      <c r="M9" s="1" t="s">
        <v>125</v>
      </c>
      <c r="N9" s="1" t="s">
        <v>126</v>
      </c>
      <c r="O9" s="1" t="s">
        <v>130</v>
      </c>
      <c r="P9" s="1" t="s">
        <v>133</v>
      </c>
      <c r="Q9" s="1" t="s">
        <v>134</v>
      </c>
      <c r="R9" s="1" t="s">
        <v>16</v>
      </c>
      <c r="S9" s="1" t="s">
        <v>135</v>
      </c>
      <c r="T9" s="1" t="s">
        <v>17</v>
      </c>
      <c r="U9" s="1" t="s">
        <v>136</v>
      </c>
      <c r="V9" s="1" t="s">
        <v>18</v>
      </c>
      <c r="W9" s="1" t="s">
        <v>137</v>
      </c>
      <c r="X9" s="1" t="s">
        <v>138</v>
      </c>
      <c r="Y9" s="1" t="s">
        <v>139</v>
      </c>
      <c r="Z9" s="1" t="s">
        <v>142</v>
      </c>
      <c r="AA9" s="1" t="s">
        <v>143</v>
      </c>
      <c r="AB9" s="1" t="s">
        <v>144</v>
      </c>
      <c r="AC9" s="1" t="s">
        <v>146</v>
      </c>
      <c r="AD9" s="1" t="s">
        <v>147</v>
      </c>
      <c r="AE9" s="1" t="s">
        <v>148</v>
      </c>
      <c r="AF9" s="1" t="s">
        <v>149</v>
      </c>
      <c r="AG9" s="1" t="s">
        <v>150</v>
      </c>
      <c r="AH9" s="1" t="s">
        <v>151</v>
      </c>
      <c r="AI9" s="1" t="s">
        <v>155</v>
      </c>
      <c r="AK9" s="4" t="s">
        <v>159</v>
      </c>
      <c r="AL9" s="4" t="s">
        <v>160</v>
      </c>
      <c r="AM9" s="4" t="s">
        <v>161</v>
      </c>
      <c r="AN9" s="4" t="s">
        <v>162</v>
      </c>
      <c r="AO9" s="4" t="s">
        <v>163</v>
      </c>
      <c r="AP9" s="4" t="s">
        <v>164</v>
      </c>
      <c r="AQ9" s="4" t="s">
        <v>165</v>
      </c>
      <c r="AR9" s="4" t="s">
        <v>166</v>
      </c>
      <c r="AS9" s="4" t="s">
        <v>167</v>
      </c>
      <c r="AT9" s="4" t="s">
        <v>168</v>
      </c>
      <c r="AU9" s="4" t="s">
        <v>169</v>
      </c>
      <c r="AV9" s="4" t="s">
        <v>170</v>
      </c>
      <c r="AW9" s="4" t="s">
        <v>171</v>
      </c>
      <c r="AX9" s="4" t="s">
        <v>172</v>
      </c>
      <c r="AY9" s="4" t="s">
        <v>173</v>
      </c>
      <c r="AZ9" s="4" t="s">
        <v>174</v>
      </c>
      <c r="BA9" s="4" t="s">
        <v>175</v>
      </c>
      <c r="BB9" s="4" t="s">
        <v>176</v>
      </c>
      <c r="BC9" s="4" t="s">
        <v>177</v>
      </c>
      <c r="BD9" s="4" t="s">
        <v>178</v>
      </c>
      <c r="BE9" s="4" t="s">
        <v>179</v>
      </c>
      <c r="BF9" s="4" t="s">
        <v>180</v>
      </c>
      <c r="BG9" s="4" t="s">
        <v>181</v>
      </c>
      <c r="BH9" s="4" t="s">
        <v>182</v>
      </c>
      <c r="BI9" s="4" t="s">
        <v>183</v>
      </c>
    </row>
    <row r="10" spans="1:61" ht="22" x14ac:dyDescent="0.3">
      <c r="A10" s="3" t="s">
        <v>10</v>
      </c>
      <c r="B10" s="3" t="s">
        <v>124</v>
      </c>
      <c r="C10" s="3">
        <v>505</v>
      </c>
      <c r="D10" s="3">
        <v>527</v>
      </c>
      <c r="E10" s="3">
        <v>546</v>
      </c>
      <c r="F10" s="3">
        <v>564</v>
      </c>
      <c r="G10" s="3">
        <v>582</v>
      </c>
      <c r="H10" s="3">
        <v>603</v>
      </c>
      <c r="I10" s="5"/>
      <c r="J10" s="5"/>
      <c r="K10" s="1" t="s">
        <v>123</v>
      </c>
      <c r="L10" s="1" t="s">
        <v>123</v>
      </c>
      <c r="M10" s="1" t="s">
        <v>123</v>
      </c>
      <c r="N10" s="1" t="s">
        <v>127</v>
      </c>
      <c r="O10" s="1" t="s">
        <v>127</v>
      </c>
      <c r="P10" s="1" t="s">
        <v>123</v>
      </c>
      <c r="Q10" s="1" t="s">
        <v>123</v>
      </c>
      <c r="R10" s="1" t="s">
        <v>123</v>
      </c>
      <c r="S10" s="1" t="s">
        <v>123</v>
      </c>
      <c r="T10" s="1" t="s">
        <v>123</v>
      </c>
      <c r="U10" s="1" t="s">
        <v>123</v>
      </c>
      <c r="V10" s="1" t="s">
        <v>123</v>
      </c>
      <c r="W10" s="1" t="s">
        <v>123</v>
      </c>
      <c r="X10" s="1" t="s">
        <v>123</v>
      </c>
      <c r="Y10" s="1" t="s">
        <v>123</v>
      </c>
      <c r="Z10" s="1" t="s">
        <v>123</v>
      </c>
      <c r="AA10" s="1" t="s">
        <v>123</v>
      </c>
      <c r="AB10" s="1" t="s">
        <v>145</v>
      </c>
      <c r="AC10" s="1" t="s">
        <v>145</v>
      </c>
      <c r="AD10" s="1" t="s">
        <v>123</v>
      </c>
      <c r="AE10" s="1" t="s">
        <v>123</v>
      </c>
      <c r="AF10" s="1" t="s">
        <v>123</v>
      </c>
      <c r="AG10" s="1" t="s">
        <v>123</v>
      </c>
      <c r="AH10" s="1" t="s">
        <v>152</v>
      </c>
      <c r="AI10" s="1" t="s">
        <v>156</v>
      </c>
      <c r="AK10" s="5">
        <v>505</v>
      </c>
      <c r="AL10" s="5">
        <v>546</v>
      </c>
      <c r="AM10" s="5">
        <v>134</v>
      </c>
      <c r="AN10" s="5">
        <v>72</v>
      </c>
      <c r="AO10" s="5">
        <v>75</v>
      </c>
      <c r="AP10" s="5">
        <v>75</v>
      </c>
      <c r="AQ10" s="5">
        <v>420</v>
      </c>
      <c r="AR10" s="5">
        <v>1016</v>
      </c>
      <c r="AS10" s="5">
        <v>795</v>
      </c>
      <c r="AT10" s="5">
        <v>396</v>
      </c>
      <c r="AU10" s="5">
        <v>576</v>
      </c>
      <c r="AV10" s="5">
        <v>558</v>
      </c>
      <c r="AW10" s="5">
        <v>643</v>
      </c>
      <c r="AX10" s="5">
        <v>796</v>
      </c>
      <c r="AY10" s="5" t="s">
        <v>100</v>
      </c>
      <c r="AZ10" s="5" t="s">
        <v>104</v>
      </c>
      <c r="BA10" s="5">
        <v>48</v>
      </c>
      <c r="BB10" s="5" t="s">
        <v>109</v>
      </c>
      <c r="BC10" s="5">
        <v>45</v>
      </c>
      <c r="BD10" s="5">
        <v>390</v>
      </c>
      <c r="BE10" s="5">
        <v>400</v>
      </c>
      <c r="BF10" s="5" t="s">
        <v>114</v>
      </c>
      <c r="BG10" s="5">
        <v>100</v>
      </c>
      <c r="BH10" s="5" t="s">
        <v>117</v>
      </c>
      <c r="BI10" s="5">
        <v>120</v>
      </c>
    </row>
    <row r="11" spans="1:61" ht="22" x14ac:dyDescent="0.3">
      <c r="A11" s="3" t="s">
        <v>11</v>
      </c>
      <c r="B11" s="3" t="s">
        <v>125</v>
      </c>
      <c r="C11" s="3">
        <v>100</v>
      </c>
      <c r="D11" s="3">
        <v>118</v>
      </c>
      <c r="E11" s="3">
        <v>134</v>
      </c>
      <c r="F11" s="3">
        <v>153</v>
      </c>
      <c r="G11" s="3">
        <v>171</v>
      </c>
      <c r="H11" s="3">
        <v>195</v>
      </c>
      <c r="I11" s="5"/>
      <c r="J11" s="5"/>
      <c r="AK11" s="5">
        <v>525</v>
      </c>
      <c r="AL11" s="5">
        <v>564</v>
      </c>
      <c r="AM11" s="5">
        <v>153</v>
      </c>
      <c r="AN11" s="5" t="s">
        <v>86</v>
      </c>
      <c r="AO11" s="5" t="s">
        <v>89</v>
      </c>
      <c r="AP11" s="5">
        <v>72</v>
      </c>
      <c r="AQ11" s="5">
        <v>420</v>
      </c>
      <c r="AR11" s="5">
        <v>1030</v>
      </c>
      <c r="AS11" s="5">
        <v>815</v>
      </c>
      <c r="AT11" s="5">
        <v>405</v>
      </c>
      <c r="AU11" s="5">
        <v>585</v>
      </c>
      <c r="AV11" s="5">
        <v>574</v>
      </c>
      <c r="AW11" s="5">
        <v>659</v>
      </c>
      <c r="AX11" s="5">
        <v>817</v>
      </c>
      <c r="AY11" s="5" t="s">
        <v>101</v>
      </c>
      <c r="AZ11" s="5" t="s">
        <v>105</v>
      </c>
      <c r="BA11" s="5">
        <v>48</v>
      </c>
      <c r="BB11" s="5" t="s">
        <v>109</v>
      </c>
      <c r="BC11" s="5">
        <v>45</v>
      </c>
      <c r="BD11" s="5">
        <v>390</v>
      </c>
      <c r="BE11" s="5">
        <v>400</v>
      </c>
      <c r="BF11" s="5" t="s">
        <v>114</v>
      </c>
      <c r="BG11" s="5">
        <v>100</v>
      </c>
      <c r="BH11" s="5" t="s">
        <v>118</v>
      </c>
      <c r="BI11" s="5">
        <v>120</v>
      </c>
    </row>
    <row r="12" spans="1:61" ht="22" x14ac:dyDescent="0.3">
      <c r="A12" s="3" t="s">
        <v>12</v>
      </c>
      <c r="B12" s="3" t="s">
        <v>126</v>
      </c>
      <c r="C12" s="3">
        <v>71.25</v>
      </c>
      <c r="D12" s="3">
        <v>71.75</v>
      </c>
      <c r="E12" s="3">
        <v>72</v>
      </c>
      <c r="F12" s="3">
        <v>72.25</v>
      </c>
      <c r="G12" s="3">
        <v>72.5</v>
      </c>
      <c r="H12" s="3">
        <v>72.5</v>
      </c>
      <c r="I12" s="5"/>
      <c r="J12" s="5"/>
      <c r="K12" s="1">
        <v>450</v>
      </c>
      <c r="L12" s="1">
        <v>505</v>
      </c>
      <c r="M12" s="1">
        <v>100</v>
      </c>
      <c r="N12" s="1" t="s">
        <v>128</v>
      </c>
      <c r="O12" s="1" t="s">
        <v>131</v>
      </c>
      <c r="P12" s="1">
        <v>75</v>
      </c>
      <c r="Q12" s="1">
        <v>420</v>
      </c>
      <c r="R12" s="1">
        <v>993</v>
      </c>
      <c r="S12" s="1">
        <v>750</v>
      </c>
      <c r="T12" s="1">
        <v>377</v>
      </c>
      <c r="U12" s="1">
        <v>547</v>
      </c>
      <c r="V12" s="1">
        <v>523</v>
      </c>
      <c r="W12" s="1">
        <v>608</v>
      </c>
      <c r="X12" s="1">
        <v>751</v>
      </c>
      <c r="Y12" s="1" t="s">
        <v>140</v>
      </c>
      <c r="Z12" s="1" t="s">
        <v>106</v>
      </c>
      <c r="AA12" s="1">
        <v>48</v>
      </c>
      <c r="AB12" s="1" t="s">
        <v>109</v>
      </c>
      <c r="AC12" s="1">
        <v>45</v>
      </c>
      <c r="AD12" s="1">
        <v>390</v>
      </c>
      <c r="AE12" s="1">
        <v>380</v>
      </c>
      <c r="AF12" s="1">
        <v>170</v>
      </c>
      <c r="AG12" s="1">
        <v>90</v>
      </c>
      <c r="AH12" s="1" t="s">
        <v>153</v>
      </c>
      <c r="AI12" s="1">
        <v>120</v>
      </c>
      <c r="AK12" s="5">
        <v>550</v>
      </c>
      <c r="AL12" s="5">
        <v>582</v>
      </c>
      <c r="AM12" s="5">
        <v>171</v>
      </c>
      <c r="AN12" s="5" t="s">
        <v>87</v>
      </c>
      <c r="AO12" s="5" t="s">
        <v>89</v>
      </c>
      <c r="AP12" s="5">
        <v>72</v>
      </c>
      <c r="AQ12" s="5">
        <v>420</v>
      </c>
      <c r="AR12" s="5">
        <v>1046</v>
      </c>
      <c r="AS12" s="5">
        <v>845</v>
      </c>
      <c r="AT12" s="5">
        <v>418</v>
      </c>
      <c r="AU12" s="5">
        <v>608</v>
      </c>
      <c r="AV12" s="5">
        <v>592</v>
      </c>
      <c r="AW12" s="5">
        <v>677</v>
      </c>
      <c r="AX12" s="5">
        <v>837</v>
      </c>
      <c r="AY12" s="5" t="s">
        <v>101</v>
      </c>
      <c r="AZ12" s="5" t="s">
        <v>106</v>
      </c>
      <c r="BA12" s="5">
        <v>48</v>
      </c>
      <c r="BB12" s="5" t="s">
        <v>109</v>
      </c>
      <c r="BC12" s="5">
        <v>45</v>
      </c>
      <c r="BD12" s="5">
        <v>390</v>
      </c>
      <c r="BE12" s="5">
        <v>400</v>
      </c>
      <c r="BF12" s="5">
        <v>175</v>
      </c>
      <c r="BG12" s="5">
        <v>110</v>
      </c>
      <c r="BH12" s="5" t="s">
        <v>119</v>
      </c>
      <c r="BI12" s="5">
        <v>120</v>
      </c>
    </row>
    <row r="13" spans="1:61" ht="22" x14ac:dyDescent="0.3">
      <c r="A13" s="3" t="s">
        <v>13</v>
      </c>
      <c r="B13" s="3" t="s">
        <v>130</v>
      </c>
      <c r="C13" s="3">
        <v>76.25</v>
      </c>
      <c r="D13" s="3">
        <v>75.5</v>
      </c>
      <c r="E13" s="3">
        <v>75</v>
      </c>
      <c r="F13" s="3">
        <v>74.5</v>
      </c>
      <c r="G13" s="3">
        <v>74.5</v>
      </c>
      <c r="H13" s="3">
        <v>74.5</v>
      </c>
      <c r="I13" s="5"/>
      <c r="J13" s="5"/>
      <c r="K13" s="1">
        <v>482</v>
      </c>
      <c r="L13" s="1">
        <v>527</v>
      </c>
      <c r="M13" s="1">
        <v>118</v>
      </c>
      <c r="N13" s="1" t="s">
        <v>129</v>
      </c>
      <c r="O13" s="1" t="s">
        <v>132</v>
      </c>
      <c r="P13" s="1">
        <v>75</v>
      </c>
      <c r="Q13" s="1">
        <v>420</v>
      </c>
      <c r="R13" s="1">
        <v>1005</v>
      </c>
      <c r="S13" s="1">
        <v>770</v>
      </c>
      <c r="T13" s="1">
        <v>387</v>
      </c>
      <c r="U13" s="1">
        <v>557</v>
      </c>
      <c r="V13" s="1">
        <v>542</v>
      </c>
      <c r="W13" s="1">
        <v>627</v>
      </c>
      <c r="X13" s="1">
        <v>777</v>
      </c>
      <c r="Y13" s="1" t="s">
        <v>141</v>
      </c>
      <c r="Z13" s="1" t="s">
        <v>105</v>
      </c>
      <c r="AA13" s="1">
        <v>48</v>
      </c>
      <c r="AB13" s="1" t="s">
        <v>109</v>
      </c>
      <c r="AC13" s="1">
        <v>45</v>
      </c>
      <c r="AD13" s="1">
        <v>390</v>
      </c>
      <c r="AE13" s="1">
        <v>380</v>
      </c>
      <c r="AF13" s="1">
        <v>170</v>
      </c>
      <c r="AG13" s="1">
        <v>90</v>
      </c>
      <c r="AH13" s="1" t="s">
        <v>154</v>
      </c>
      <c r="AI13" s="1">
        <v>120</v>
      </c>
      <c r="AK13" s="5">
        <v>585</v>
      </c>
      <c r="AL13" s="5">
        <v>603</v>
      </c>
      <c r="AM13" s="5">
        <v>195</v>
      </c>
      <c r="AN13" s="5" t="s">
        <v>87</v>
      </c>
      <c r="AO13" s="5" t="s">
        <v>89</v>
      </c>
      <c r="AP13" s="5">
        <v>72</v>
      </c>
      <c r="AQ13" s="5">
        <v>420</v>
      </c>
      <c r="AR13" s="5">
        <v>1067</v>
      </c>
      <c r="AS13" s="5">
        <v>875</v>
      </c>
      <c r="AT13" s="5">
        <v>432</v>
      </c>
      <c r="AU13" s="5">
        <v>622</v>
      </c>
      <c r="AV13" s="5">
        <v>616</v>
      </c>
      <c r="AW13" s="5">
        <v>701</v>
      </c>
      <c r="AX13" s="5">
        <v>868</v>
      </c>
      <c r="AY13" s="5" t="s">
        <v>102</v>
      </c>
      <c r="AZ13" s="5" t="s">
        <v>105</v>
      </c>
      <c r="BA13" s="5">
        <v>48</v>
      </c>
      <c r="BB13" s="5" t="s">
        <v>109</v>
      </c>
      <c r="BC13" s="5">
        <v>45</v>
      </c>
      <c r="BD13" s="5">
        <v>390</v>
      </c>
      <c r="BE13" s="5">
        <v>400</v>
      </c>
      <c r="BF13" s="5">
        <v>175</v>
      </c>
      <c r="BG13" s="5">
        <v>110</v>
      </c>
      <c r="BH13" s="5" t="s">
        <v>120</v>
      </c>
      <c r="BI13" s="5">
        <v>120</v>
      </c>
    </row>
    <row r="14" spans="1:61" ht="22" x14ac:dyDescent="0.3">
      <c r="A14" s="3" t="s">
        <v>14</v>
      </c>
      <c r="B14" s="3" t="s">
        <v>133</v>
      </c>
      <c r="C14" s="3">
        <v>75</v>
      </c>
      <c r="D14" s="3">
        <v>75</v>
      </c>
      <c r="E14" s="3">
        <v>75</v>
      </c>
      <c r="F14" s="3">
        <v>72</v>
      </c>
      <c r="G14" s="3">
        <v>72</v>
      </c>
      <c r="H14" s="3">
        <v>72</v>
      </c>
      <c r="I14" s="5"/>
      <c r="J14" s="5"/>
      <c r="K14" s="1">
        <v>505</v>
      </c>
      <c r="L14" s="1">
        <v>546</v>
      </c>
      <c r="M14" s="1">
        <v>134</v>
      </c>
      <c r="N14" s="1">
        <v>72</v>
      </c>
      <c r="O14" s="1">
        <v>75</v>
      </c>
      <c r="P14" s="1">
        <v>75</v>
      </c>
      <c r="Q14" s="1">
        <v>420</v>
      </c>
      <c r="R14" s="1">
        <v>1016</v>
      </c>
      <c r="S14" s="1">
        <v>795</v>
      </c>
      <c r="T14" s="1">
        <v>396</v>
      </c>
      <c r="U14" s="1">
        <v>576</v>
      </c>
      <c r="V14" s="1">
        <v>558</v>
      </c>
      <c r="W14" s="1">
        <v>643</v>
      </c>
      <c r="X14" s="1">
        <v>796</v>
      </c>
      <c r="Y14" s="1" t="s">
        <v>100</v>
      </c>
      <c r="Z14" s="1" t="s">
        <v>104</v>
      </c>
      <c r="AA14" s="1">
        <v>48</v>
      </c>
      <c r="AB14" s="1" t="s">
        <v>109</v>
      </c>
      <c r="AC14" s="1">
        <v>45</v>
      </c>
      <c r="AD14" s="1">
        <v>390</v>
      </c>
      <c r="AE14" s="1">
        <v>400</v>
      </c>
      <c r="AF14" s="1" t="s">
        <v>114</v>
      </c>
      <c r="AG14" s="1">
        <v>100</v>
      </c>
      <c r="AH14" s="1" t="s">
        <v>117</v>
      </c>
      <c r="AI14" s="1">
        <v>120</v>
      </c>
    </row>
    <row r="15" spans="1:61" ht="22" x14ac:dyDescent="0.3">
      <c r="A15" s="3" t="s">
        <v>15</v>
      </c>
      <c r="B15" s="3" t="s">
        <v>134</v>
      </c>
      <c r="C15" s="3">
        <v>420</v>
      </c>
      <c r="D15" s="3">
        <v>420</v>
      </c>
      <c r="E15" s="3">
        <v>420</v>
      </c>
      <c r="F15" s="3">
        <v>420</v>
      </c>
      <c r="G15" s="3">
        <v>420</v>
      </c>
      <c r="H15" s="3">
        <v>420</v>
      </c>
      <c r="I15" s="5"/>
      <c r="J15" s="5"/>
      <c r="K15" s="1">
        <v>525</v>
      </c>
      <c r="L15" s="1">
        <v>564</v>
      </c>
      <c r="M15" s="1">
        <v>153</v>
      </c>
      <c r="N15" s="1" t="s">
        <v>86</v>
      </c>
      <c r="O15" s="1" t="s">
        <v>89</v>
      </c>
      <c r="P15" s="1">
        <v>72</v>
      </c>
      <c r="Q15" s="1">
        <v>420</v>
      </c>
      <c r="R15" s="1">
        <v>1030</v>
      </c>
      <c r="S15" s="1">
        <v>815</v>
      </c>
      <c r="T15" s="1">
        <v>405</v>
      </c>
      <c r="U15" s="1">
        <v>585</v>
      </c>
      <c r="V15" s="1">
        <v>574</v>
      </c>
      <c r="W15" s="1">
        <v>659</v>
      </c>
      <c r="X15" s="1">
        <v>817</v>
      </c>
      <c r="Y15" s="1" t="s">
        <v>101</v>
      </c>
      <c r="Z15" s="1" t="s">
        <v>105</v>
      </c>
      <c r="AA15" s="1">
        <v>48</v>
      </c>
      <c r="AB15" s="1" t="s">
        <v>109</v>
      </c>
      <c r="AC15" s="1">
        <v>45</v>
      </c>
      <c r="AD15" s="1">
        <v>390</v>
      </c>
      <c r="AE15" s="1">
        <v>400</v>
      </c>
      <c r="AF15" s="1" t="s">
        <v>114</v>
      </c>
      <c r="AG15" s="1">
        <v>100</v>
      </c>
      <c r="AH15" s="1" t="s">
        <v>118</v>
      </c>
      <c r="AI15" s="1">
        <v>120</v>
      </c>
    </row>
    <row r="16" spans="1:61" ht="22" x14ac:dyDescent="0.3">
      <c r="A16" s="3" t="s">
        <v>16</v>
      </c>
      <c r="B16" s="3" t="s">
        <v>16</v>
      </c>
      <c r="C16" s="3">
        <v>993</v>
      </c>
      <c r="D16" s="3">
        <v>1005</v>
      </c>
      <c r="E16" s="3">
        <v>1016</v>
      </c>
      <c r="F16" s="3">
        <v>1030</v>
      </c>
      <c r="G16" s="3">
        <v>1046</v>
      </c>
      <c r="H16" s="3">
        <v>1067</v>
      </c>
      <c r="I16" s="5"/>
      <c r="J16" s="5"/>
      <c r="K16" s="5">
        <v>550</v>
      </c>
      <c r="L16" s="5">
        <v>582</v>
      </c>
      <c r="M16" s="5">
        <v>171</v>
      </c>
      <c r="N16" s="5" t="s">
        <v>87</v>
      </c>
      <c r="O16" s="5" t="s">
        <v>89</v>
      </c>
      <c r="P16" s="5">
        <v>72</v>
      </c>
      <c r="Q16" s="5">
        <v>420</v>
      </c>
      <c r="R16" s="5">
        <v>1046</v>
      </c>
      <c r="S16" s="5">
        <v>845</v>
      </c>
      <c r="T16" s="5">
        <v>418</v>
      </c>
      <c r="U16" s="5">
        <v>608</v>
      </c>
      <c r="V16" s="5">
        <v>592</v>
      </c>
      <c r="W16" s="5">
        <v>677</v>
      </c>
      <c r="X16" s="5">
        <v>837</v>
      </c>
      <c r="Y16" s="5" t="s">
        <v>101</v>
      </c>
      <c r="Z16" s="5" t="s">
        <v>106</v>
      </c>
      <c r="AA16" s="5">
        <v>48</v>
      </c>
      <c r="AB16" s="5" t="s">
        <v>109</v>
      </c>
      <c r="AC16" s="5">
        <v>45</v>
      </c>
      <c r="AD16" s="5">
        <v>390</v>
      </c>
      <c r="AE16" s="5">
        <v>400</v>
      </c>
      <c r="AF16" s="5">
        <v>175</v>
      </c>
      <c r="AG16" s="5">
        <v>110</v>
      </c>
      <c r="AH16" s="5" t="s">
        <v>119</v>
      </c>
      <c r="AI16" s="5">
        <v>120</v>
      </c>
    </row>
    <row r="17" spans="1:35" ht="22" x14ac:dyDescent="0.3">
      <c r="A17" s="1" t="s">
        <v>187</v>
      </c>
      <c r="B17" s="3" t="s">
        <v>135</v>
      </c>
      <c r="C17" s="3">
        <v>750</v>
      </c>
      <c r="D17" s="3">
        <v>770</v>
      </c>
      <c r="E17" s="3">
        <v>795</v>
      </c>
      <c r="F17" s="3">
        <v>815</v>
      </c>
      <c r="G17" s="3">
        <v>845</v>
      </c>
      <c r="H17" s="3">
        <v>875</v>
      </c>
      <c r="I17" s="5"/>
      <c r="J17" s="5"/>
      <c r="K17" s="5">
        <v>585</v>
      </c>
      <c r="L17" s="5">
        <v>603</v>
      </c>
      <c r="M17" s="5">
        <v>195</v>
      </c>
      <c r="N17" s="5" t="s">
        <v>87</v>
      </c>
      <c r="O17" s="5" t="s">
        <v>89</v>
      </c>
      <c r="P17" s="5">
        <v>72</v>
      </c>
      <c r="Q17" s="5">
        <v>420</v>
      </c>
      <c r="R17" s="5">
        <v>1067</v>
      </c>
      <c r="S17" s="5">
        <v>875</v>
      </c>
      <c r="T17" s="5">
        <v>432</v>
      </c>
      <c r="U17" s="5">
        <v>622</v>
      </c>
      <c r="V17" s="5">
        <v>616</v>
      </c>
      <c r="W17" s="5">
        <v>701</v>
      </c>
      <c r="X17" s="5">
        <v>868</v>
      </c>
      <c r="Y17" s="5" t="s">
        <v>102</v>
      </c>
      <c r="Z17" s="5" t="s">
        <v>105</v>
      </c>
      <c r="AA17" s="5">
        <v>48</v>
      </c>
      <c r="AB17" s="5" t="s">
        <v>109</v>
      </c>
      <c r="AC17" s="5">
        <v>45</v>
      </c>
      <c r="AD17" s="5">
        <v>390</v>
      </c>
      <c r="AE17" s="5">
        <v>400</v>
      </c>
      <c r="AF17" s="5">
        <v>175</v>
      </c>
      <c r="AG17" s="5">
        <v>110</v>
      </c>
      <c r="AH17" s="5" t="s">
        <v>120</v>
      </c>
      <c r="AI17" s="5">
        <v>120</v>
      </c>
    </row>
    <row r="18" spans="1:35" ht="22" x14ac:dyDescent="0.3">
      <c r="A18" s="3" t="s">
        <v>17</v>
      </c>
      <c r="B18" s="3" t="s">
        <v>17</v>
      </c>
      <c r="C18" s="3">
        <v>377</v>
      </c>
      <c r="D18" s="3">
        <v>387</v>
      </c>
      <c r="E18" s="3">
        <v>396</v>
      </c>
      <c r="F18" s="3">
        <v>405</v>
      </c>
      <c r="G18" s="3">
        <v>418</v>
      </c>
      <c r="H18" s="3">
        <v>432</v>
      </c>
      <c r="I18" s="5"/>
      <c r="J18" s="5"/>
    </row>
    <row r="19" spans="1:35" ht="22" x14ac:dyDescent="0.3">
      <c r="A19" s="1" t="s">
        <v>188</v>
      </c>
      <c r="B19" s="3" t="s">
        <v>136</v>
      </c>
      <c r="C19" s="3">
        <v>547</v>
      </c>
      <c r="D19" s="3">
        <v>557</v>
      </c>
      <c r="E19" s="3">
        <v>576</v>
      </c>
      <c r="F19" s="3">
        <v>585</v>
      </c>
      <c r="G19" s="3">
        <v>608</v>
      </c>
      <c r="H19" s="3">
        <v>622</v>
      </c>
      <c r="I19" s="5"/>
      <c r="J19" s="5"/>
    </row>
    <row r="20" spans="1:35" ht="22" x14ac:dyDescent="0.3">
      <c r="A20" s="3" t="s">
        <v>18</v>
      </c>
      <c r="B20" s="3" t="s">
        <v>18</v>
      </c>
      <c r="C20" s="3">
        <v>523</v>
      </c>
      <c r="D20" s="3">
        <v>542</v>
      </c>
      <c r="E20" s="3">
        <v>558</v>
      </c>
      <c r="F20" s="3">
        <v>574</v>
      </c>
      <c r="G20" s="3">
        <v>592</v>
      </c>
      <c r="H20" s="3">
        <v>616</v>
      </c>
      <c r="I20" s="5"/>
      <c r="J20" s="5"/>
    </row>
    <row r="21" spans="1:35" ht="22" x14ac:dyDescent="0.3">
      <c r="A21" s="1" t="s">
        <v>189</v>
      </c>
      <c r="B21" s="3" t="s">
        <v>137</v>
      </c>
      <c r="C21" s="3">
        <v>608</v>
      </c>
      <c r="D21" s="3">
        <v>627</v>
      </c>
      <c r="E21" s="3">
        <v>643</v>
      </c>
      <c r="F21" s="3">
        <v>659</v>
      </c>
      <c r="G21" s="3">
        <v>677</v>
      </c>
      <c r="H21" s="3">
        <v>701</v>
      </c>
      <c r="I21" s="5"/>
      <c r="J21" s="5"/>
    </row>
    <row r="22" spans="1:35" ht="22" x14ac:dyDescent="0.3">
      <c r="A22" s="3" t="s">
        <v>19</v>
      </c>
      <c r="B22" s="3" t="s">
        <v>138</v>
      </c>
      <c r="C22" s="3">
        <v>751</v>
      </c>
      <c r="D22" s="3">
        <v>777</v>
      </c>
      <c r="E22" s="3">
        <v>796</v>
      </c>
      <c r="F22" s="3">
        <v>817</v>
      </c>
      <c r="G22" s="3">
        <v>837</v>
      </c>
      <c r="H22" s="3">
        <v>868</v>
      </c>
      <c r="I22" s="5"/>
      <c r="J22" s="5"/>
    </row>
    <row r="23" spans="1:35" ht="22" x14ac:dyDescent="0.3">
      <c r="A23" s="3" t="s">
        <v>20</v>
      </c>
      <c r="B23" s="3" t="s">
        <v>139</v>
      </c>
      <c r="C23" s="3">
        <v>1.39</v>
      </c>
      <c r="D23" s="3">
        <v>1.4</v>
      </c>
      <c r="E23" s="3">
        <v>1.41</v>
      </c>
      <c r="F23" s="3">
        <v>1.42</v>
      </c>
      <c r="G23" s="3">
        <v>1.42</v>
      </c>
      <c r="H23" s="3">
        <v>1.43</v>
      </c>
      <c r="I23" s="5"/>
      <c r="J23" s="5"/>
    </row>
    <row r="24" spans="1:35" ht="22" x14ac:dyDescent="0.3">
      <c r="A24" s="1" t="s">
        <v>190</v>
      </c>
      <c r="B24" s="3" t="s">
        <v>142</v>
      </c>
      <c r="C24" s="3">
        <v>1.1100000000000001</v>
      </c>
      <c r="D24" s="3">
        <v>1.1299999999999999</v>
      </c>
      <c r="E24" s="3">
        <v>1.1200000000000001</v>
      </c>
      <c r="F24" s="3">
        <v>1.1299999999999999</v>
      </c>
      <c r="G24" s="3">
        <v>1.1100000000000001</v>
      </c>
      <c r="H24" s="3">
        <v>1.1299999999999999</v>
      </c>
      <c r="I24" s="5"/>
      <c r="J24" s="5"/>
    </row>
    <row r="25" spans="1:35" ht="22" x14ac:dyDescent="0.3">
      <c r="A25" s="3" t="s">
        <v>21</v>
      </c>
      <c r="B25" s="3" t="s">
        <v>143</v>
      </c>
      <c r="C25" s="3">
        <v>48</v>
      </c>
      <c r="D25" s="3">
        <v>48</v>
      </c>
      <c r="E25" s="3">
        <v>48</v>
      </c>
      <c r="F25" s="3">
        <v>48</v>
      </c>
      <c r="G25" s="3">
        <v>48</v>
      </c>
      <c r="H25" s="3">
        <v>48</v>
      </c>
      <c r="I25" s="5"/>
      <c r="J25" s="5"/>
    </row>
    <row r="26" spans="1:35" ht="22" x14ac:dyDescent="0.3">
      <c r="A26" s="3" t="s">
        <v>23</v>
      </c>
      <c r="B26" s="3" t="s">
        <v>144</v>
      </c>
      <c r="C26" s="3">
        <v>700</v>
      </c>
      <c r="D26" s="3">
        <v>700</v>
      </c>
      <c r="E26" s="3">
        <v>700</v>
      </c>
      <c r="F26" s="3">
        <v>700</v>
      </c>
      <c r="G26" s="3">
        <v>700</v>
      </c>
      <c r="H26" s="3">
        <v>700</v>
      </c>
      <c r="I26" s="5"/>
      <c r="J26" s="5"/>
    </row>
    <row r="27" spans="1:35" ht="22" x14ac:dyDescent="0.3">
      <c r="A27" s="3" t="s">
        <v>25</v>
      </c>
      <c r="B27" s="3" t="s">
        <v>146</v>
      </c>
      <c r="C27" s="3">
        <v>45</v>
      </c>
      <c r="D27" s="3">
        <v>45</v>
      </c>
      <c r="E27" s="3">
        <v>45</v>
      </c>
      <c r="F27" s="3">
        <v>45</v>
      </c>
      <c r="G27" s="3">
        <v>45</v>
      </c>
      <c r="H27" s="3">
        <v>45</v>
      </c>
      <c r="I27" s="5"/>
      <c r="J27" s="5"/>
    </row>
    <row r="28" spans="1:35" ht="22" x14ac:dyDescent="0.3">
      <c r="A28" s="3" t="s">
        <v>26</v>
      </c>
      <c r="B28" s="3" t="s">
        <v>147</v>
      </c>
      <c r="C28" s="3">
        <v>390</v>
      </c>
      <c r="D28" s="3">
        <v>390</v>
      </c>
      <c r="E28" s="3">
        <v>390</v>
      </c>
      <c r="F28" s="3">
        <v>390</v>
      </c>
      <c r="G28" s="3">
        <v>390</v>
      </c>
      <c r="H28" s="3">
        <v>390</v>
      </c>
      <c r="I28" s="5"/>
      <c r="J28" s="5"/>
    </row>
    <row r="29" spans="1:35" ht="22" x14ac:dyDescent="0.3">
      <c r="A29" s="3" t="s">
        <v>28</v>
      </c>
      <c r="B29" s="3" t="s">
        <v>148</v>
      </c>
      <c r="C29" s="3">
        <v>380</v>
      </c>
      <c r="D29" s="3">
        <v>380</v>
      </c>
      <c r="E29" s="3">
        <v>400</v>
      </c>
      <c r="F29" s="3">
        <v>400</v>
      </c>
      <c r="G29" s="3">
        <v>400</v>
      </c>
      <c r="H29" s="3">
        <v>400</v>
      </c>
      <c r="I29" s="5"/>
      <c r="J29" s="5"/>
    </row>
    <row r="30" spans="1:35" ht="22" x14ac:dyDescent="0.3">
      <c r="A30" s="3" t="s">
        <v>27</v>
      </c>
      <c r="B30" s="3" t="s">
        <v>149</v>
      </c>
      <c r="C30" s="3">
        <v>170</v>
      </c>
      <c r="D30" s="3">
        <v>170</v>
      </c>
      <c r="E30" s="3">
        <v>172.5</v>
      </c>
      <c r="F30" s="3">
        <v>172.5</v>
      </c>
      <c r="G30" s="3">
        <v>175</v>
      </c>
      <c r="H30" s="3">
        <v>175</v>
      </c>
      <c r="I30" s="5"/>
      <c r="J30" s="5"/>
    </row>
    <row r="31" spans="1:35" ht="22" x14ac:dyDescent="0.3">
      <c r="A31" s="3" t="s">
        <v>29</v>
      </c>
      <c r="B31" s="3" t="s">
        <v>150</v>
      </c>
      <c r="C31" s="3">
        <v>90</v>
      </c>
      <c r="D31" s="3">
        <v>90</v>
      </c>
      <c r="E31" s="3">
        <v>100</v>
      </c>
      <c r="F31" s="3">
        <v>100</v>
      </c>
      <c r="G31" s="3">
        <v>110</v>
      </c>
      <c r="H31" s="3">
        <v>110</v>
      </c>
      <c r="I31" s="5"/>
      <c r="J31" s="5"/>
    </row>
    <row r="32" spans="1:35" ht="22" x14ac:dyDescent="0.3">
      <c r="A32" s="3" t="s">
        <v>22</v>
      </c>
      <c r="B32" s="3"/>
      <c r="C32" s="3"/>
      <c r="D32" s="3"/>
      <c r="E32" s="3"/>
      <c r="F32" s="3"/>
      <c r="G32" s="3"/>
      <c r="H32" s="3"/>
      <c r="I32" s="5"/>
      <c r="J32" s="5"/>
    </row>
    <row r="33" spans="1:10" ht="22" x14ac:dyDescent="0.3">
      <c r="A33" s="1" t="s">
        <v>184</v>
      </c>
      <c r="B33" s="3" t="s">
        <v>155</v>
      </c>
      <c r="C33" s="3">
        <v>120</v>
      </c>
      <c r="D33" s="3">
        <v>120</v>
      </c>
      <c r="E33" s="3">
        <v>120</v>
      </c>
      <c r="F33" s="3">
        <v>120</v>
      </c>
      <c r="G33" s="3">
        <v>120</v>
      </c>
      <c r="H33" s="3">
        <v>120</v>
      </c>
      <c r="I33" s="5"/>
      <c r="J33" s="5"/>
    </row>
    <row r="34" spans="1:10" ht="22" x14ac:dyDescent="0.3">
      <c r="A34" s="3" t="s">
        <v>24</v>
      </c>
      <c r="B34" s="3"/>
      <c r="C34" s="3">
        <v>40</v>
      </c>
      <c r="D34" s="3">
        <v>40</v>
      </c>
      <c r="E34" s="3">
        <v>40</v>
      </c>
      <c r="F34" s="3">
        <v>40</v>
      </c>
      <c r="G34" s="3">
        <v>40</v>
      </c>
      <c r="H34" s="3">
        <v>40</v>
      </c>
      <c r="I34" s="5"/>
      <c r="J34" s="5"/>
    </row>
    <row r="35" spans="1:10" x14ac:dyDescent="0.3">
      <c r="A35" s="3" t="s">
        <v>30</v>
      </c>
      <c r="B35" s="3" t="s">
        <v>30</v>
      </c>
      <c r="C35" s="1">
        <f>VALUE(LEFT(C$37,3))</f>
        <v>157</v>
      </c>
      <c r="D35" s="1">
        <f>VALUE(LEFT(D$37,3))</f>
        <v>168</v>
      </c>
      <c r="E35" s="1">
        <f>VALUE(LEFT(E$37,3))</f>
        <v>174</v>
      </c>
      <c r="F35" s="1">
        <f>VALUE(LEFT(F$37,3))</f>
        <v>179</v>
      </c>
      <c r="G35" s="1">
        <f>VALUE(LEFT(G$37,3))</f>
        <v>183</v>
      </c>
      <c r="H35" s="1">
        <f>VALUE(LEFT(H$37,3))</f>
        <v>191</v>
      </c>
    </row>
    <row r="36" spans="1:10" x14ac:dyDescent="0.3">
      <c r="A36" s="3" t="s">
        <v>31</v>
      </c>
      <c r="B36" s="3" t="s">
        <v>31</v>
      </c>
      <c r="C36" s="1">
        <f>VALUE(RIGHT(C$37,3))</f>
        <v>168</v>
      </c>
      <c r="D36" s="1">
        <f>VALUE(RIGHT(D$37,3))</f>
        <v>176</v>
      </c>
      <c r="E36" s="1">
        <f>VALUE(RIGHT(E$37,3))</f>
        <v>181</v>
      </c>
      <c r="F36" s="1">
        <f>VALUE(RIGHT(F$37,3))</f>
        <v>186</v>
      </c>
      <c r="G36" s="1">
        <f>VALUE(RIGHT(G$37,3))</f>
        <v>193</v>
      </c>
      <c r="H36" s="1">
        <f>VALUE(RIGHT(H$37,3))</f>
        <v>200</v>
      </c>
    </row>
    <row r="37" spans="1:10" x14ac:dyDescent="0.3">
      <c r="C37" s="3" t="s">
        <v>153</v>
      </c>
      <c r="D37" s="3" t="s">
        <v>154</v>
      </c>
      <c r="E37" s="3" t="s">
        <v>117</v>
      </c>
      <c r="F37" s="3" t="s">
        <v>118</v>
      </c>
      <c r="G37" s="3" t="s">
        <v>119</v>
      </c>
      <c r="H37" s="3" t="s">
        <v>120</v>
      </c>
      <c r="I37" s="3" t="s">
        <v>151</v>
      </c>
    </row>
    <row r="38" spans="1:10" x14ac:dyDescent="0.3">
      <c r="A38" s="1" t="s">
        <v>32</v>
      </c>
      <c r="B38" s="1" t="s">
        <v>33</v>
      </c>
    </row>
    <row r="39" spans="1:10" x14ac:dyDescent="0.3">
      <c r="A39" s="1" t="s">
        <v>70</v>
      </c>
      <c r="B39" s="1" t="s">
        <v>71</v>
      </c>
    </row>
    <row r="40" spans="1:10" x14ac:dyDescent="0.3">
      <c r="A40" s="1" t="s">
        <v>72</v>
      </c>
      <c r="B40" s="1" t="s">
        <v>73</v>
      </c>
    </row>
    <row r="41" spans="1:10" x14ac:dyDescent="0.3">
      <c r="A41" s="1" t="s">
        <v>74</v>
      </c>
      <c r="B41" s="1" t="s">
        <v>75</v>
      </c>
    </row>
    <row r="42" spans="1:10" x14ac:dyDescent="0.3">
      <c r="A42" s="1" t="s">
        <v>34</v>
      </c>
      <c r="B42" s="1" t="s">
        <v>35</v>
      </c>
    </row>
    <row r="43" spans="1:10" x14ac:dyDescent="0.3">
      <c r="A43" s="1" t="s">
        <v>36</v>
      </c>
      <c r="B43" s="1" t="s">
        <v>185</v>
      </c>
    </row>
    <row r="44" spans="1:10" x14ac:dyDescent="0.3">
      <c r="A44" s="1" t="s">
        <v>37</v>
      </c>
    </row>
    <row r="45" spans="1:10" x14ac:dyDescent="0.3">
      <c r="A45" s="1" t="s">
        <v>38</v>
      </c>
      <c r="B45" s="1">
        <v>45</v>
      </c>
    </row>
    <row r="46" spans="1:10" x14ac:dyDescent="0.3">
      <c r="A46" s="1" t="s">
        <v>39</v>
      </c>
    </row>
    <row r="47" spans="1:10" x14ac:dyDescent="0.3">
      <c r="A47" s="1" t="s">
        <v>40</v>
      </c>
    </row>
    <row r="48" spans="1:10" x14ac:dyDescent="0.3">
      <c r="A48" s="1" t="s">
        <v>41</v>
      </c>
    </row>
    <row r="49" spans="1:2" x14ac:dyDescent="0.3">
      <c r="A49" s="1" t="s">
        <v>42</v>
      </c>
    </row>
    <row r="50" spans="1:2" x14ac:dyDescent="0.3">
      <c r="A50" s="1" t="s">
        <v>43</v>
      </c>
    </row>
    <row r="51" spans="1:2" x14ac:dyDescent="0.3">
      <c r="A51" s="1" t="s">
        <v>44</v>
      </c>
      <c r="B51" s="1">
        <v>142</v>
      </c>
    </row>
    <row r="52" spans="1:2" x14ac:dyDescent="0.3">
      <c r="A52" s="1" t="s">
        <v>45</v>
      </c>
      <c r="B52" s="1">
        <v>100</v>
      </c>
    </row>
    <row r="53" spans="1:2" x14ac:dyDescent="0.3">
      <c r="A53" s="1" t="s">
        <v>46</v>
      </c>
    </row>
    <row r="54" spans="1:2" x14ac:dyDescent="0.3">
      <c r="A54" s="1" t="s">
        <v>47</v>
      </c>
    </row>
    <row r="55" spans="1:2" x14ac:dyDescent="0.3">
      <c r="A55" s="1" t="s">
        <v>48</v>
      </c>
    </row>
    <row r="56" spans="1:2" x14ac:dyDescent="0.3">
      <c r="A56" s="1" t="s">
        <v>49</v>
      </c>
      <c r="B56" s="1" t="s">
        <v>185</v>
      </c>
    </row>
    <row r="57" spans="1:2" x14ac:dyDescent="0.3">
      <c r="A57" s="1" t="s">
        <v>50</v>
      </c>
    </row>
    <row r="58" spans="1:2" x14ac:dyDescent="0.3">
      <c r="A58" s="1" t="s">
        <v>51</v>
      </c>
    </row>
    <row r="59" spans="1:2" x14ac:dyDescent="0.3">
      <c r="A59" s="1" t="s">
        <v>52</v>
      </c>
    </row>
    <row r="60" spans="1:2" x14ac:dyDescent="0.3">
      <c r="A60" s="1" t="s">
        <v>53</v>
      </c>
    </row>
    <row r="61" spans="1:2" x14ac:dyDescent="0.3">
      <c r="A61" s="1" t="s">
        <v>54</v>
      </c>
    </row>
    <row r="62" spans="1:2" x14ac:dyDescent="0.3">
      <c r="A62" s="1" t="s">
        <v>55</v>
      </c>
      <c r="B62" s="1" t="s">
        <v>186</v>
      </c>
    </row>
    <row r="63" spans="1:2" x14ac:dyDescent="0.3">
      <c r="A63" s="1" t="s">
        <v>56</v>
      </c>
    </row>
    <row r="64" spans="1:2" x14ac:dyDescent="0.3">
      <c r="A64" s="1" t="s">
        <v>57</v>
      </c>
    </row>
    <row r="65" spans="1:2" x14ac:dyDescent="0.3">
      <c r="A65" s="1" t="s">
        <v>58</v>
      </c>
    </row>
    <row r="66" spans="1:2" x14ac:dyDescent="0.3">
      <c r="A66" s="1" t="s">
        <v>59</v>
      </c>
      <c r="B66" s="1">
        <v>2</v>
      </c>
    </row>
    <row r="67" spans="1:2" x14ac:dyDescent="0.3">
      <c r="A67" s="1" t="s">
        <v>60</v>
      </c>
    </row>
    <row r="68" spans="1:2" x14ac:dyDescent="0.3">
      <c r="A68" s="1" t="s">
        <v>61</v>
      </c>
      <c r="B68" s="1" t="s">
        <v>185</v>
      </c>
    </row>
    <row r="69" spans="1:2" x14ac:dyDescent="0.3">
      <c r="A69" s="1" t="s">
        <v>62</v>
      </c>
    </row>
    <row r="70" spans="1:2" x14ac:dyDescent="0.3">
      <c r="A70" s="1" t="s">
        <v>63</v>
      </c>
    </row>
    <row r="71" spans="1:2" x14ac:dyDescent="0.3">
      <c r="A71" s="1" t="s">
        <v>64</v>
      </c>
    </row>
    <row r="72" spans="1:2" x14ac:dyDescent="0.3">
      <c r="A72" s="1" t="s">
        <v>65</v>
      </c>
    </row>
    <row r="73" spans="1:2" x14ac:dyDescent="0.3">
      <c r="A73" s="1" t="s">
        <v>66</v>
      </c>
    </row>
    <row r="74" spans="1:2" x14ac:dyDescent="0.3">
      <c r="A74" s="1" t="s">
        <v>67</v>
      </c>
      <c r="B74" s="1">
        <v>3699</v>
      </c>
    </row>
    <row r="75" spans="1:2" x14ac:dyDescent="0.3">
      <c r="A75" s="1" t="s">
        <v>68</v>
      </c>
    </row>
    <row r="76" spans="1:2" x14ac:dyDescent="0.3">
      <c r="A76" s="1" t="s">
        <v>69</v>
      </c>
      <c r="B76" s="1" t="s">
        <v>192</v>
      </c>
    </row>
    <row r="77" spans="1:2" x14ac:dyDescent="0.3">
      <c r="A77" s="1" t="s">
        <v>193</v>
      </c>
      <c r="B77" s="1" t="s">
        <v>194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2025-10-22T13:49:35Z</dcterms:modified>
</cp:coreProperties>
</file>