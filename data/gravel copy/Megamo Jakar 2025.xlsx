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3C9FD1A-5411-544A-A0E9-C2C4C80ECCE9}" xr6:coauthVersionLast="47" xr6:coauthVersionMax="47" xr10:uidLastSave="{00000000-0000-0000-0000-000000000000}"/>
  <bookViews>
    <workbookView xWindow="10660" yWindow="86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F34" i="1" s="1"/>
  <c r="G34" i="1"/>
  <c r="C33" i="1"/>
  <c r="D33" i="1" l="1"/>
  <c r="C34" i="1" s="1"/>
  <c r="E33" i="1"/>
  <c r="D34" i="1" s="1"/>
  <c r="F33" i="1"/>
  <c r="E34" i="1" s="1"/>
</calcChain>
</file>

<file path=xl/sharedStrings.xml><?xml version="1.0" encoding="utf-8"?>
<sst xmlns="http://schemas.openxmlformats.org/spreadsheetml/2006/main" count="173" uniqueCount="144">
  <si>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</si>
  <si>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</si>
  <si>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</si>
  <si>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</si>
  <si>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</si>
  <si>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</si>
  <si>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</si>
  <si>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</si>
  <si>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</si>
  <si>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</si>
  <si>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</si>
  <si>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</si>
  <si>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</si>
  <si>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</si>
  <si>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</si>
  <si>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</si>
  <si>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</si>
  <si>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</si>
  <si>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</si>
  <si>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</si>
  <si>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</si>
  <si>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</si>
  <si>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</si>
  <si>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</si>
  <si>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</si>
  <si>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</si>
  <si>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</si>
  <si>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</si>
  <si>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</si>
  <si>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</si>
  <si>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</si>
  <si>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</si>
  <si>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</si>
  <si>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</si>
  <si>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</si>
  <si>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</si>
  <si>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</si>
  <si>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</si>
  <si>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</si>
  <si>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</si>
  <si>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</si>
  <si>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</si>
  <si>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</si>
  <si>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</si>
  <si>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</si>
  <si>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</si>
  <si>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</si>
  <si>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</si>
  <si>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</si>
  <si>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</si>
  <si>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</si>
  <si>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</si>
  <si>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</si>
  <si>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</si>
  <si>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</si>
  <si>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</si>
  <si>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</si>
  <si>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</si>
  <si>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</si>
  <si>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</si>
  <si>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</si>
  <si>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</si>
  <si>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</si>
  <si>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</si>
  <si>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</si>
  <si>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</si>
  <si>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</si>
  <si>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</si>
  <si>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</si>
  <si>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</si>
  <si>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</si>
  <si>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trail</t>
  </si>
  <si>
    <t>rider_min_spec</t>
  </si>
  <si>
    <t>rider_max_spec</t>
  </si>
  <si>
    <t>drop bar</t>
  </si>
  <si>
    <t>A</t>
  </si>
  <si>
    <t>B</t>
  </si>
  <si>
    <t>C</t>
  </si>
  <si>
    <t>D</t>
  </si>
  <si>
    <t>E</t>
  </si>
  <si>
    <t>F</t>
  </si>
  <si>
    <t>G</t>
  </si>
  <si>
    <t>H</t>
  </si>
  <si>
    <t>XS</t>
  </si>
  <si>
    <t>S</t>
  </si>
  <si>
    <t>M</t>
  </si>
  <si>
    <t>L</t>
  </si>
  <si>
    <t>XL</t>
  </si>
  <si>
    <t>T/T</t>
  </si>
  <si>
    <t>C/S</t>
  </si>
  <si>
    <t>S/T</t>
  </si>
  <si>
    <t>H/T</t>
  </si>
  <si>
    <t>REACH</t>
  </si>
  <si>
    <t>STACK</t>
  </si>
  <si>
    <t>FRONT ANGLE</t>
  </si>
  <si>
    <t>71º</t>
  </si>
  <si>
    <t>REAR ANGLE</t>
  </si>
  <si>
    <t>74º</t>
  </si>
  <si>
    <t>Megamo</t>
  </si>
  <si>
    <t>73º</t>
  </si>
  <si>
    <t>front_center</t>
  </si>
  <si>
    <t>Jakar</t>
  </si>
  <si>
    <t>70º</t>
  </si>
  <si>
    <t>70,5º</t>
  </si>
  <si>
    <t>74,5º</t>
  </si>
  <si>
    <t>73,5º</t>
  </si>
  <si>
    <t>https://www.megamo.com/en/bikes/gravel/jakar</t>
  </si>
  <si>
    <t>aluminum</t>
  </si>
  <si>
    <t>Metric</t>
  </si>
  <si>
    <t>Stack (mm)</t>
  </si>
  <si>
    <t>Reach (mm)</t>
  </si>
  <si>
    <t>Stack:Reach Ratio</t>
  </si>
  <si>
    <t>1.52:1</t>
  </si>
  <si>
    <t>1.54:1</t>
  </si>
  <si>
    <t>1.53:1</t>
  </si>
  <si>
    <t>1.55:1</t>
  </si>
  <si>
    <t>Seat Tube Length C–T (mm)</t>
  </si>
  <si>
    <t>Top Tube Effective (mm)</t>
  </si>
  <si>
    <t>Top Tube Slope (°)</t>
  </si>
  <si>
    <t>Head Tube Angle (°)</t>
  </si>
  <si>
    <t>Seat Tube Angle (°)</t>
  </si>
  <si>
    <t>Head Tube Length (mm)</t>
  </si>
  <si>
    <t>BB Drop (mm)</t>
  </si>
  <si>
    <t>BB Height (mm)</t>
  </si>
  <si>
    <t>Chainstay Length (mm)</t>
  </si>
  <si>
    <t>Horizontal Chainstay (mm)</t>
  </si>
  <si>
    <t>Front-Center (mm)</t>
  </si>
  <si>
    <t>Front-Center Horizontal (mm)</t>
  </si>
  <si>
    <t>Wheelbase (mm)</t>
  </si>
  <si>
    <t>Fork Offset (mm)</t>
  </si>
  <si>
    <t>Trail (mm)</t>
  </si>
  <si>
    <t>Mechanical Trail (mm)</t>
  </si>
  <si>
    <t>Wheel Flop (mm)</t>
  </si>
  <si>
    <t>Tire-to-Pedal-Spindle (mm)</t>
  </si>
  <si>
    <t>Pedal-Spindle-Ground Clearance (mm)</t>
  </si>
  <si>
    <t>https://bikeinsights.com/bikes/611b87c0b9bf4d00209dce1f-megamo-jakar?build=20&amp;version=2024</t>
  </si>
  <si>
    <t>bb_height</t>
  </si>
  <si>
    <t>trail_mechanical</t>
  </si>
  <si>
    <t>frame size</t>
  </si>
  <si>
    <t>a8:g36</t>
  </si>
  <si>
    <t>https://www.megamo.com/biblioteca/arxius/MY26/JAKAR/images/JAKAR-20_CORAL26.png</t>
  </si>
  <si>
    <t>location</t>
  </si>
  <si>
    <t>Girona, Spain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</si>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</sst>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000000"/>
      <name val="Futura"/>
      <family val="2"/>
    </font>
    <font>
      <b/>
      <sz val="14"/>
      <color rgb="FF000000"/>
      <name val="Futura"/>
      <family val="2"/>
    </font>
    <font>
      <i/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5" fillId="0" borderId="0" xfId="0" applyFont="1"/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58" workbookViewId="0">
      <selection activeCell="B76" sqref="B76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7" x14ac:dyDescent="0.3">
      <c r="A1" s="1" t="s">
        <v>0</v>
      </c>
      <c r="B1" s="1" t="s">
        <v>98</v>
      </c>
    </row>
    <row r="2" spans="1:17" x14ac:dyDescent="0.3">
      <c r="A2" s="1" t="s">
        <v>1</v>
      </c>
      <c r="B2" s="1" t="s">
        <v>101</v>
      </c>
    </row>
    <row r="3" spans="1:17" x14ac:dyDescent="0.3">
      <c r="A3" s="1" t="s">
        <v>2</v>
      </c>
      <c r="B3" s="1">
        <v>2025</v>
      </c>
    </row>
    <row r="4" spans="1:17" x14ac:dyDescent="0.3">
      <c r="A4" s="1" t="s">
        <v>3</v>
      </c>
      <c r="B4" s="2">
        <v>45905</v>
      </c>
    </row>
    <row r="5" spans="1:17" x14ac:dyDescent="0.3">
      <c r="A5" s="1" t="s">
        <v>4</v>
      </c>
      <c r="B5" s="1" t="s">
        <v>106</v>
      </c>
    </row>
    <row r="6" spans="1:17" x14ac:dyDescent="0.3">
      <c r="B6" s="1" t="s">
        <v>140</v>
      </c>
      <c r="C6" s="3"/>
      <c r="D6" s="3"/>
      <c r="E6" s="3"/>
      <c r="F6" s="3"/>
      <c r="G6" s="3"/>
      <c r="H6" s="3"/>
      <c r="I6" s="3"/>
      <c r="J6" s="1" t="s">
        <v>75</v>
      </c>
      <c r="K6" s="1" t="s">
        <v>76</v>
      </c>
      <c r="L6" s="1" t="s">
        <v>77</v>
      </c>
      <c r="M6" s="1" t="s">
        <v>78</v>
      </c>
      <c r="N6" s="1" t="s">
        <v>79</v>
      </c>
      <c r="O6" s="1" t="s">
        <v>80</v>
      </c>
      <c r="P6" s="1" t="s">
        <v>81</v>
      </c>
      <c r="Q6" s="1" t="s">
        <v>82</v>
      </c>
    </row>
    <row r="7" spans="1:17" x14ac:dyDescent="0.3">
      <c r="A7" s="1" t="s">
        <v>5</v>
      </c>
      <c r="B7" s="1" t="s">
        <v>139</v>
      </c>
      <c r="C7" s="3"/>
      <c r="D7" s="3"/>
      <c r="E7" s="3"/>
      <c r="F7" s="3"/>
      <c r="G7" s="3"/>
      <c r="H7" s="3"/>
      <c r="I7" s="3"/>
      <c r="J7" s="1" t="s">
        <v>88</v>
      </c>
      <c r="K7" s="1" t="s">
        <v>89</v>
      </c>
      <c r="L7" s="1" t="s">
        <v>90</v>
      </c>
      <c r="M7" s="1" t="s">
        <v>91</v>
      </c>
      <c r="N7" s="1" t="s">
        <v>92</v>
      </c>
      <c r="O7" s="1" t="s">
        <v>93</v>
      </c>
      <c r="P7" s="1" t="s">
        <v>94</v>
      </c>
      <c r="Q7" s="1" t="s">
        <v>96</v>
      </c>
    </row>
    <row r="8" spans="1:17" x14ac:dyDescent="0.3">
      <c r="A8" s="1" t="s">
        <v>6</v>
      </c>
      <c r="B8" s="3" t="s">
        <v>138</v>
      </c>
      <c r="C8" s="1" t="s">
        <v>83</v>
      </c>
      <c r="D8" s="1" t="s">
        <v>84</v>
      </c>
      <c r="E8" s="1" t="s">
        <v>85</v>
      </c>
      <c r="F8" s="1" t="s">
        <v>86</v>
      </c>
      <c r="G8" s="1" t="s">
        <v>87</v>
      </c>
      <c r="I8" s="1" t="s">
        <v>83</v>
      </c>
      <c r="J8" s="1">
        <v>494</v>
      </c>
      <c r="K8" s="1">
        <v>430</v>
      </c>
      <c r="L8" s="1">
        <v>415</v>
      </c>
      <c r="M8" s="1">
        <v>105</v>
      </c>
      <c r="N8" s="1">
        <v>347</v>
      </c>
      <c r="O8" s="1">
        <v>529</v>
      </c>
      <c r="P8" s="1" t="s">
        <v>102</v>
      </c>
      <c r="Q8" s="1" t="s">
        <v>104</v>
      </c>
    </row>
    <row r="9" spans="1:17" x14ac:dyDescent="0.3">
      <c r="A9" s="1" t="s">
        <v>8</v>
      </c>
      <c r="B9" s="1" t="s">
        <v>88</v>
      </c>
      <c r="C9" s="1">
        <v>494</v>
      </c>
      <c r="D9" s="1">
        <v>515</v>
      </c>
      <c r="E9" s="1">
        <v>545</v>
      </c>
      <c r="F9" s="1">
        <v>575</v>
      </c>
      <c r="G9" s="1">
        <v>600</v>
      </c>
      <c r="I9" s="1" t="s">
        <v>84</v>
      </c>
      <c r="J9" s="1">
        <v>515</v>
      </c>
      <c r="K9" s="1">
        <v>430</v>
      </c>
      <c r="L9" s="1">
        <v>500</v>
      </c>
      <c r="M9" s="1">
        <v>125</v>
      </c>
      <c r="N9" s="1">
        <v>358</v>
      </c>
      <c r="O9" s="1">
        <v>550</v>
      </c>
      <c r="P9" s="1" t="s">
        <v>103</v>
      </c>
      <c r="Q9" s="1" t="s">
        <v>97</v>
      </c>
    </row>
    <row r="10" spans="1:17" x14ac:dyDescent="0.3">
      <c r="A10" s="1" t="s">
        <v>12</v>
      </c>
      <c r="B10" s="1" t="s">
        <v>89</v>
      </c>
      <c r="C10" s="1">
        <v>430</v>
      </c>
      <c r="D10" s="1">
        <v>430</v>
      </c>
      <c r="E10" s="1">
        <v>430</v>
      </c>
      <c r="F10" s="1">
        <v>430</v>
      </c>
      <c r="G10" s="1">
        <v>430</v>
      </c>
      <c r="I10" s="1" t="s">
        <v>85</v>
      </c>
      <c r="J10" s="1">
        <v>545</v>
      </c>
      <c r="K10" s="1">
        <v>430</v>
      </c>
      <c r="L10" s="1">
        <v>530</v>
      </c>
      <c r="M10" s="1">
        <v>145</v>
      </c>
      <c r="N10" s="1">
        <v>376</v>
      </c>
      <c r="O10" s="1">
        <v>570</v>
      </c>
      <c r="P10" s="1" t="s">
        <v>95</v>
      </c>
      <c r="Q10" s="1" t="s">
        <v>105</v>
      </c>
    </row>
    <row r="11" spans="1:17" x14ac:dyDescent="0.3">
      <c r="A11" s="1" t="s">
        <v>7</v>
      </c>
      <c r="B11" s="1" t="s">
        <v>90</v>
      </c>
      <c r="C11" s="1">
        <v>415</v>
      </c>
      <c r="D11" s="1">
        <v>500</v>
      </c>
      <c r="E11" s="1">
        <v>530</v>
      </c>
      <c r="F11" s="1">
        <v>570</v>
      </c>
      <c r="G11" s="1">
        <v>590</v>
      </c>
      <c r="I11" s="1" t="s">
        <v>86</v>
      </c>
      <c r="J11" s="1">
        <v>575</v>
      </c>
      <c r="K11" s="1">
        <v>430</v>
      </c>
      <c r="L11" s="1">
        <v>570</v>
      </c>
      <c r="M11" s="1">
        <v>175</v>
      </c>
      <c r="N11" s="1">
        <v>392</v>
      </c>
      <c r="O11" s="1">
        <v>600</v>
      </c>
      <c r="P11" s="1" t="s">
        <v>95</v>
      </c>
      <c r="Q11" s="1" t="s">
        <v>99</v>
      </c>
    </row>
    <row r="12" spans="1:17" x14ac:dyDescent="0.3">
      <c r="A12" s="1" t="s">
        <v>9</v>
      </c>
      <c r="B12" s="1" t="s">
        <v>91</v>
      </c>
      <c r="C12" s="1">
        <v>105</v>
      </c>
      <c r="D12" s="1">
        <v>125</v>
      </c>
      <c r="E12" s="1">
        <v>145</v>
      </c>
      <c r="F12" s="1">
        <v>175</v>
      </c>
      <c r="G12" s="1">
        <v>210</v>
      </c>
      <c r="I12" s="1" t="s">
        <v>87</v>
      </c>
      <c r="J12" s="1">
        <v>600</v>
      </c>
      <c r="K12" s="1">
        <v>430</v>
      </c>
      <c r="L12" s="1">
        <v>590</v>
      </c>
      <c r="M12" s="1">
        <v>210</v>
      </c>
      <c r="N12" s="1">
        <v>407</v>
      </c>
      <c r="O12" s="1">
        <v>632</v>
      </c>
      <c r="P12" s="1" t="s">
        <v>95</v>
      </c>
      <c r="Q12" s="1" t="s">
        <v>99</v>
      </c>
    </row>
    <row r="13" spans="1:17" x14ac:dyDescent="0.3">
      <c r="A13" s="1" t="s">
        <v>17</v>
      </c>
      <c r="B13" s="1" t="s">
        <v>92</v>
      </c>
      <c r="C13" s="1">
        <v>347</v>
      </c>
      <c r="D13" s="1">
        <v>358</v>
      </c>
      <c r="E13" s="1">
        <v>376</v>
      </c>
      <c r="F13" s="1">
        <v>392</v>
      </c>
      <c r="G13" s="1">
        <v>407</v>
      </c>
    </row>
    <row r="14" spans="1:17" x14ac:dyDescent="0.3">
      <c r="A14" s="1" t="s">
        <v>16</v>
      </c>
      <c r="B14" s="1" t="s">
        <v>93</v>
      </c>
      <c r="C14" s="1">
        <v>529</v>
      </c>
      <c r="D14" s="1">
        <v>550</v>
      </c>
      <c r="E14" s="1">
        <v>570</v>
      </c>
      <c r="F14" s="1">
        <v>600</v>
      </c>
      <c r="G14" s="1">
        <v>632</v>
      </c>
      <c r="I14" s="1" t="s">
        <v>135</v>
      </c>
    </row>
    <row r="15" spans="1:17" x14ac:dyDescent="0.3">
      <c r="A15" s="1" t="s">
        <v>11</v>
      </c>
      <c r="B15" s="1" t="s">
        <v>94</v>
      </c>
      <c r="C15" s="1">
        <v>70</v>
      </c>
      <c r="D15" s="1">
        <v>70.5</v>
      </c>
      <c r="E15" s="1">
        <v>71</v>
      </c>
      <c r="F15" s="1">
        <v>71</v>
      </c>
      <c r="G15" s="1">
        <v>71</v>
      </c>
      <c r="I15" s="1" t="s">
        <v>108</v>
      </c>
      <c r="J15" s="1" t="s">
        <v>83</v>
      </c>
      <c r="K15" s="1" t="s">
        <v>84</v>
      </c>
      <c r="L15" s="1" t="s">
        <v>85</v>
      </c>
      <c r="M15" s="1" t="s">
        <v>86</v>
      </c>
      <c r="N15" s="1" t="s">
        <v>87</v>
      </c>
    </row>
    <row r="16" spans="1:17" x14ac:dyDescent="0.3">
      <c r="A16" s="1" t="s">
        <v>10</v>
      </c>
      <c r="B16" s="1" t="s">
        <v>96</v>
      </c>
      <c r="C16" s="1">
        <v>74.5</v>
      </c>
      <c r="D16" s="1">
        <v>74</v>
      </c>
      <c r="E16" s="1">
        <v>73.5</v>
      </c>
      <c r="F16" s="1">
        <v>73</v>
      </c>
      <c r="G16" s="1">
        <v>73</v>
      </c>
      <c r="I16" s="1" t="s">
        <v>109</v>
      </c>
      <c r="J16" s="1">
        <v>529</v>
      </c>
      <c r="K16" s="1">
        <v>550</v>
      </c>
      <c r="L16" s="1">
        <v>570</v>
      </c>
      <c r="M16" s="1">
        <v>600</v>
      </c>
      <c r="N16" s="1">
        <v>632</v>
      </c>
    </row>
    <row r="17" spans="1:14" x14ac:dyDescent="0.3">
      <c r="A17" s="1" t="s">
        <v>13</v>
      </c>
      <c r="B17" s="1" t="s">
        <v>122</v>
      </c>
      <c r="C17" s="1">
        <v>70</v>
      </c>
      <c r="D17" s="1">
        <v>70</v>
      </c>
      <c r="E17" s="1">
        <v>70</v>
      </c>
      <c r="F17" s="1">
        <v>70</v>
      </c>
      <c r="G17" s="1">
        <v>70</v>
      </c>
      <c r="I17" s="1" t="s">
        <v>110</v>
      </c>
      <c r="J17" s="1">
        <v>347</v>
      </c>
      <c r="K17" s="1">
        <v>358</v>
      </c>
      <c r="L17" s="1">
        <v>376</v>
      </c>
      <c r="M17" s="1">
        <v>392</v>
      </c>
      <c r="N17" s="1">
        <v>407</v>
      </c>
    </row>
    <row r="18" spans="1:14" x14ac:dyDescent="0.3">
      <c r="A18" s="1" t="s">
        <v>136</v>
      </c>
      <c r="B18" s="1" t="s">
        <v>123</v>
      </c>
      <c r="C18" s="1">
        <v>286</v>
      </c>
      <c r="D18" s="1">
        <v>286</v>
      </c>
      <c r="E18" s="1">
        <v>286</v>
      </c>
      <c r="F18" s="1">
        <v>286</v>
      </c>
      <c r="G18" s="1">
        <v>286</v>
      </c>
      <c r="I18" s="1" t="s">
        <v>111</v>
      </c>
      <c r="J18" s="1" t="s">
        <v>112</v>
      </c>
      <c r="K18" s="1" t="s">
        <v>113</v>
      </c>
      <c r="L18" s="1" t="s">
        <v>112</v>
      </c>
      <c r="M18" s="1" t="s">
        <v>114</v>
      </c>
      <c r="N18" s="1" t="s">
        <v>115</v>
      </c>
    </row>
    <row r="19" spans="1:14" x14ac:dyDescent="0.3">
      <c r="A19" s="1" t="s">
        <v>100</v>
      </c>
      <c r="B19" s="1" t="s">
        <v>126</v>
      </c>
      <c r="C19" s="4">
        <v>572</v>
      </c>
      <c r="D19" s="4">
        <v>584</v>
      </c>
      <c r="E19" s="1">
        <v>605</v>
      </c>
      <c r="F19" s="1">
        <v>631</v>
      </c>
      <c r="G19" s="1">
        <v>657</v>
      </c>
      <c r="I19" s="1" t="s">
        <v>116</v>
      </c>
      <c r="J19" s="1">
        <v>415</v>
      </c>
      <c r="K19" s="1">
        <v>500</v>
      </c>
      <c r="L19" s="1">
        <v>530</v>
      </c>
      <c r="M19" s="1">
        <v>570</v>
      </c>
      <c r="N19" s="1">
        <v>590</v>
      </c>
    </row>
    <row r="20" spans="1:14" x14ac:dyDescent="0.3">
      <c r="A20" s="1" t="s">
        <v>14</v>
      </c>
      <c r="B20" s="1" t="s">
        <v>128</v>
      </c>
      <c r="C20" s="1">
        <v>992</v>
      </c>
      <c r="D20" s="1">
        <v>1004</v>
      </c>
      <c r="E20" s="1">
        <v>1026</v>
      </c>
      <c r="F20" s="1">
        <v>1051</v>
      </c>
      <c r="G20" s="1">
        <v>1078</v>
      </c>
      <c r="I20" s="1" t="s">
        <v>117</v>
      </c>
      <c r="J20" s="1">
        <v>494</v>
      </c>
      <c r="K20" s="1">
        <v>515</v>
      </c>
      <c r="L20" s="1">
        <v>545</v>
      </c>
      <c r="M20" s="1">
        <v>575</v>
      </c>
      <c r="N20" s="1">
        <v>600</v>
      </c>
    </row>
    <row r="21" spans="1:14" x14ac:dyDescent="0.3">
      <c r="A21" s="1" t="s">
        <v>18</v>
      </c>
      <c r="B21" s="1" t="s">
        <v>129</v>
      </c>
      <c r="C21" s="1">
        <v>45</v>
      </c>
      <c r="D21" s="1">
        <v>45</v>
      </c>
      <c r="E21" s="1">
        <v>45</v>
      </c>
      <c r="F21" s="1">
        <v>45</v>
      </c>
      <c r="G21" s="1">
        <v>45</v>
      </c>
      <c r="H21" s="7"/>
      <c r="I21" s="1" t="s">
        <v>118</v>
      </c>
      <c r="J21" s="1">
        <v>15.7</v>
      </c>
      <c r="K21" s="7">
        <v>8</v>
      </c>
      <c r="L21" s="1">
        <v>6.7</v>
      </c>
      <c r="M21" s="1">
        <v>5.6</v>
      </c>
      <c r="N21" s="1">
        <v>6.7</v>
      </c>
    </row>
    <row r="22" spans="1:14" x14ac:dyDescent="0.3">
      <c r="A22" s="1" t="s">
        <v>71</v>
      </c>
      <c r="B22" s="1" t="s">
        <v>130</v>
      </c>
      <c r="C22" s="1">
        <v>81.7</v>
      </c>
      <c r="D22" s="1">
        <v>78.3</v>
      </c>
      <c r="E22" s="1">
        <v>75</v>
      </c>
      <c r="F22" s="1">
        <v>75</v>
      </c>
      <c r="G22" s="1">
        <v>75</v>
      </c>
      <c r="I22" s="1" t="s">
        <v>119</v>
      </c>
      <c r="J22" s="1">
        <v>70</v>
      </c>
      <c r="K22" s="1">
        <v>70.5</v>
      </c>
      <c r="L22" s="1">
        <v>71</v>
      </c>
      <c r="M22" s="1">
        <v>71</v>
      </c>
      <c r="N22" s="1">
        <v>71</v>
      </c>
    </row>
    <row r="23" spans="1:14" x14ac:dyDescent="0.3">
      <c r="A23" s="1" t="s">
        <v>137</v>
      </c>
      <c r="B23" s="1" t="s">
        <v>131</v>
      </c>
      <c r="C23" s="1">
        <v>76.8</v>
      </c>
      <c r="D23" s="1">
        <v>73.8</v>
      </c>
      <c r="E23" s="1">
        <v>70.900000000000006</v>
      </c>
      <c r="F23" s="1">
        <v>70.900000000000006</v>
      </c>
      <c r="G23" s="1">
        <v>70.900000000000006</v>
      </c>
      <c r="I23" s="1" t="s">
        <v>120</v>
      </c>
      <c r="J23" s="1">
        <v>74.5</v>
      </c>
      <c r="K23" s="1">
        <v>74</v>
      </c>
      <c r="L23" s="1">
        <v>73.5</v>
      </c>
      <c r="M23" s="1">
        <v>73</v>
      </c>
      <c r="N23" s="1">
        <v>73</v>
      </c>
    </row>
    <row r="24" spans="1:14" x14ac:dyDescent="0.3">
      <c r="A24" s="1" t="s">
        <v>15</v>
      </c>
      <c r="B24" s="6"/>
      <c r="I24" s="1" t="s">
        <v>121</v>
      </c>
      <c r="J24" s="1">
        <v>105</v>
      </c>
      <c r="K24" s="1">
        <v>125</v>
      </c>
      <c r="L24" s="1">
        <v>145</v>
      </c>
      <c r="M24" s="1">
        <v>175</v>
      </c>
      <c r="N24" s="1">
        <v>210</v>
      </c>
    </row>
    <row r="25" spans="1:14" x14ac:dyDescent="0.3">
      <c r="A25" s="1" t="s">
        <v>22</v>
      </c>
      <c r="B25" s="6"/>
      <c r="C25" s="7"/>
      <c r="D25" s="7"/>
      <c r="E25" s="7"/>
      <c r="F25" s="7"/>
      <c r="G25" s="7"/>
      <c r="I25" s="1" t="s">
        <v>122</v>
      </c>
      <c r="J25" s="1">
        <v>70</v>
      </c>
      <c r="K25" s="1">
        <v>70</v>
      </c>
      <c r="L25" s="1">
        <v>70</v>
      </c>
      <c r="M25" s="1">
        <v>70</v>
      </c>
      <c r="N25" s="1">
        <v>70</v>
      </c>
    </row>
    <row r="26" spans="1:14" x14ac:dyDescent="0.3">
      <c r="A26" s="1" t="s">
        <v>19</v>
      </c>
      <c r="I26" s="1" t="s">
        <v>123</v>
      </c>
      <c r="J26" s="1">
        <v>286</v>
      </c>
      <c r="K26" s="1">
        <v>286</v>
      </c>
      <c r="L26" s="1">
        <v>286</v>
      </c>
      <c r="M26" s="1">
        <v>286</v>
      </c>
      <c r="N26" s="1">
        <v>286</v>
      </c>
    </row>
    <row r="27" spans="1:14" x14ac:dyDescent="0.3">
      <c r="A27" s="1" t="s">
        <v>20</v>
      </c>
      <c r="I27" s="1" t="s">
        <v>124</v>
      </c>
      <c r="J27" s="1">
        <v>430</v>
      </c>
      <c r="K27" s="1">
        <v>430</v>
      </c>
      <c r="L27" s="1">
        <v>430</v>
      </c>
      <c r="M27" s="1">
        <v>430</v>
      </c>
      <c r="N27" s="1">
        <v>430</v>
      </c>
    </row>
    <row r="28" spans="1:14" x14ac:dyDescent="0.3">
      <c r="A28" s="1" t="s">
        <v>21</v>
      </c>
      <c r="C28" s="1">
        <v>70</v>
      </c>
      <c r="D28" s="1">
        <v>80</v>
      </c>
      <c r="E28" s="1">
        <v>90</v>
      </c>
      <c r="F28" s="1">
        <v>100</v>
      </c>
      <c r="G28" s="1">
        <v>110</v>
      </c>
      <c r="H28" s="4"/>
      <c r="I28" s="1" t="s">
        <v>125</v>
      </c>
      <c r="J28" s="4">
        <v>424.3</v>
      </c>
      <c r="K28" s="4">
        <v>424.3</v>
      </c>
      <c r="L28" s="1">
        <v>424.3</v>
      </c>
      <c r="M28" s="1">
        <v>424.3</v>
      </c>
      <c r="N28" s="1">
        <v>424.3</v>
      </c>
    </row>
    <row r="29" spans="1:14" x14ac:dyDescent="0.3">
      <c r="A29" s="1" t="s">
        <v>23</v>
      </c>
      <c r="H29" s="4"/>
      <c r="I29" s="1" t="s">
        <v>126</v>
      </c>
      <c r="J29" s="4">
        <v>572</v>
      </c>
      <c r="K29" s="4">
        <v>584</v>
      </c>
      <c r="L29" s="1">
        <v>605</v>
      </c>
      <c r="M29" s="1">
        <v>631</v>
      </c>
      <c r="N29" s="1">
        <v>657</v>
      </c>
    </row>
    <row r="30" spans="1:14" x14ac:dyDescent="0.3">
      <c r="A30" s="1" t="s">
        <v>24</v>
      </c>
      <c r="C30" s="4">
        <v>700</v>
      </c>
      <c r="D30" s="4">
        <v>700</v>
      </c>
      <c r="E30" s="4">
        <v>700</v>
      </c>
      <c r="F30" s="4">
        <v>700</v>
      </c>
      <c r="G30" s="4">
        <v>700</v>
      </c>
      <c r="I30" s="1" t="s">
        <v>127</v>
      </c>
      <c r="J30" s="1">
        <v>567.70000000000005</v>
      </c>
      <c r="K30" s="1">
        <v>579.70000000000005</v>
      </c>
      <c r="L30" s="1">
        <v>601.70000000000005</v>
      </c>
      <c r="M30" s="1">
        <v>626.70000000000005</v>
      </c>
      <c r="N30" s="1">
        <v>653.70000000000005</v>
      </c>
    </row>
    <row r="31" spans="1:14" x14ac:dyDescent="0.3">
      <c r="A31" s="1" t="s">
        <v>25</v>
      </c>
      <c r="C31" s="4">
        <v>45</v>
      </c>
      <c r="D31" s="4">
        <v>45</v>
      </c>
      <c r="E31" s="4">
        <v>45</v>
      </c>
      <c r="F31" s="4">
        <v>45</v>
      </c>
      <c r="G31" s="4">
        <v>45</v>
      </c>
      <c r="I31" s="1" t="s">
        <v>128</v>
      </c>
      <c r="J31" s="1">
        <v>992</v>
      </c>
      <c r="K31" s="1">
        <v>1004</v>
      </c>
      <c r="L31" s="1">
        <v>1026</v>
      </c>
      <c r="M31" s="1">
        <v>1051</v>
      </c>
      <c r="N31" s="1">
        <v>1078</v>
      </c>
    </row>
    <row r="32" spans="1:14" x14ac:dyDescent="0.3">
      <c r="A32" s="1" t="s">
        <v>26</v>
      </c>
      <c r="C32" s="1">
        <v>50</v>
      </c>
      <c r="D32" s="1">
        <v>50</v>
      </c>
      <c r="E32" s="1">
        <v>50</v>
      </c>
      <c r="F32" s="1">
        <v>50</v>
      </c>
      <c r="G32" s="1">
        <v>50</v>
      </c>
      <c r="I32" s="1" t="s">
        <v>129</v>
      </c>
      <c r="J32" s="1">
        <v>45</v>
      </c>
      <c r="K32" s="1">
        <v>45</v>
      </c>
      <c r="L32" s="1">
        <v>45</v>
      </c>
      <c r="M32" s="1">
        <v>45</v>
      </c>
      <c r="N32" s="1">
        <v>45</v>
      </c>
    </row>
    <row r="33" spans="1:14" x14ac:dyDescent="0.3">
      <c r="A33" s="1" t="s">
        <v>27</v>
      </c>
      <c r="C33" s="1">
        <f>C35</f>
        <v>150</v>
      </c>
      <c r="D33" s="1">
        <f>AVERAGE(D35,C36)</f>
        <v>160</v>
      </c>
      <c r="E33" s="1">
        <f t="shared" ref="E33:G33" si="0">AVERAGE(E35,D36)</f>
        <v>170</v>
      </c>
      <c r="F33" s="1">
        <f t="shared" si="0"/>
        <v>180</v>
      </c>
      <c r="G33" s="1">
        <f t="shared" si="0"/>
        <v>190</v>
      </c>
      <c r="I33" s="1" t="s">
        <v>130</v>
      </c>
      <c r="J33" s="1">
        <v>81.7</v>
      </c>
      <c r="K33" s="1">
        <v>78.3</v>
      </c>
      <c r="L33" s="1">
        <v>75</v>
      </c>
      <c r="M33" s="1">
        <v>75</v>
      </c>
      <c r="N33" s="1">
        <v>75</v>
      </c>
    </row>
    <row r="34" spans="1:14" x14ac:dyDescent="0.3">
      <c r="A34" s="1" t="s">
        <v>28</v>
      </c>
      <c r="C34" s="1">
        <f>D33</f>
        <v>160</v>
      </c>
      <c r="D34" s="1">
        <f t="shared" ref="D34:F34" si="1">E33</f>
        <v>170</v>
      </c>
      <c r="E34" s="1">
        <f t="shared" si="1"/>
        <v>180</v>
      </c>
      <c r="F34" s="1">
        <f t="shared" si="1"/>
        <v>190</v>
      </c>
      <c r="G34" s="1">
        <f>G36</f>
        <v>210</v>
      </c>
      <c r="I34" s="1" t="s">
        <v>131</v>
      </c>
      <c r="J34" s="1">
        <v>76.8</v>
      </c>
      <c r="K34" s="1">
        <v>73.8</v>
      </c>
      <c r="L34" s="1">
        <v>70.900000000000006</v>
      </c>
      <c r="M34" s="1">
        <v>70.900000000000006</v>
      </c>
      <c r="N34" s="1">
        <v>70.900000000000006</v>
      </c>
    </row>
    <row r="35" spans="1:14" x14ac:dyDescent="0.3">
      <c r="A35" s="1" t="s">
        <v>72</v>
      </c>
      <c r="C35" s="1">
        <v>150</v>
      </c>
      <c r="D35" s="1">
        <v>160</v>
      </c>
      <c r="E35" s="1">
        <v>170</v>
      </c>
      <c r="F35" s="1">
        <v>180</v>
      </c>
      <c r="G35" s="1">
        <v>190</v>
      </c>
      <c r="I35" s="1" t="s">
        <v>132</v>
      </c>
      <c r="J35" s="1">
        <v>26.3</v>
      </c>
      <c r="K35" s="1">
        <v>24.7</v>
      </c>
      <c r="L35" s="1">
        <v>23.1</v>
      </c>
      <c r="M35" s="1">
        <v>23.1</v>
      </c>
      <c r="N35" s="1">
        <v>23.1</v>
      </c>
    </row>
    <row r="36" spans="1:14" x14ac:dyDescent="0.3">
      <c r="A36" s="1" t="s">
        <v>73</v>
      </c>
      <c r="C36" s="1">
        <v>160</v>
      </c>
      <c r="D36" s="1">
        <v>170</v>
      </c>
      <c r="E36" s="1">
        <v>180</v>
      </c>
      <c r="F36" s="1">
        <v>190</v>
      </c>
      <c r="G36" s="1">
        <v>210</v>
      </c>
      <c r="H36" s="4"/>
      <c r="I36" s="1" t="s">
        <v>133</v>
      </c>
      <c r="J36" s="1">
        <v>46</v>
      </c>
      <c r="K36" s="1">
        <v>58</v>
      </c>
      <c r="L36" s="1">
        <v>79</v>
      </c>
      <c r="M36" s="1">
        <v>105</v>
      </c>
      <c r="N36" s="1">
        <v>131</v>
      </c>
    </row>
    <row r="37" spans="1:14" x14ac:dyDescent="0.3">
      <c r="E37" s="8"/>
      <c r="I37" s="1" t="s">
        <v>134</v>
      </c>
      <c r="J37" s="1">
        <v>116</v>
      </c>
      <c r="K37" s="1">
        <v>116</v>
      </c>
      <c r="L37" s="1">
        <v>116</v>
      </c>
      <c r="M37" s="1">
        <v>116</v>
      </c>
      <c r="N37" s="1">
        <v>116</v>
      </c>
    </row>
    <row r="38" spans="1:14" x14ac:dyDescent="0.3">
      <c r="A38" s="1" t="s">
        <v>29</v>
      </c>
      <c r="B38" s="1" t="s">
        <v>30</v>
      </c>
    </row>
    <row r="39" spans="1:14" x14ac:dyDescent="0.3">
      <c r="A39" s="1" t="s">
        <v>66</v>
      </c>
      <c r="B39" s="1" t="s">
        <v>67</v>
      </c>
      <c r="C39" s="7"/>
      <c r="D39" s="7"/>
      <c r="E39" s="7"/>
      <c r="F39" s="7"/>
      <c r="G39" s="7"/>
    </row>
    <row r="40" spans="1:14" x14ac:dyDescent="0.3">
      <c r="A40" s="1" t="s">
        <v>68</v>
      </c>
      <c r="B40" s="1" t="s">
        <v>74</v>
      </c>
    </row>
    <row r="41" spans="1:14" x14ac:dyDescent="0.3">
      <c r="A41" s="1" t="s">
        <v>69</v>
      </c>
      <c r="B41" s="1" t="s">
        <v>70</v>
      </c>
    </row>
    <row r="42" spans="1:14" x14ac:dyDescent="0.3">
      <c r="A42" s="1" t="s">
        <v>31</v>
      </c>
      <c r="B42" s="1" t="s">
        <v>107</v>
      </c>
    </row>
    <row r="43" spans="1:14" x14ac:dyDescent="0.3">
      <c r="A43" s="1" t="s">
        <v>32</v>
      </c>
    </row>
    <row r="44" spans="1:14" x14ac:dyDescent="0.3">
      <c r="A44" s="1" t="s">
        <v>33</v>
      </c>
    </row>
    <row r="45" spans="1:14" x14ac:dyDescent="0.3">
      <c r="A45" s="1" t="s">
        <v>34</v>
      </c>
    </row>
    <row r="46" spans="1:14" x14ac:dyDescent="0.3">
      <c r="A46" s="1" t="s">
        <v>35</v>
      </c>
      <c r="B46" s="5"/>
    </row>
    <row r="47" spans="1:14" x14ac:dyDescent="0.3">
      <c r="A47" s="1" t="s">
        <v>36</v>
      </c>
    </row>
    <row r="48" spans="1:14" x14ac:dyDescent="0.3">
      <c r="A48" s="1" t="s">
        <v>37</v>
      </c>
    </row>
    <row r="49" spans="1:2" x14ac:dyDescent="0.3">
      <c r="A49" s="1" t="s">
        <v>38</v>
      </c>
    </row>
    <row r="50" spans="1:2" x14ac:dyDescent="0.3">
      <c r="A50" s="1" t="s">
        <v>39</v>
      </c>
    </row>
    <row r="51" spans="1:2" x14ac:dyDescent="0.3">
      <c r="A51" s="1" t="s">
        <v>40</v>
      </c>
      <c r="B51" s="1">
        <v>142</v>
      </c>
    </row>
    <row r="52" spans="1:2" x14ac:dyDescent="0.3">
      <c r="A52" s="1" t="s">
        <v>41</v>
      </c>
      <c r="B52" s="1">
        <v>100</v>
      </c>
    </row>
    <row r="53" spans="1:2" x14ac:dyDescent="0.3">
      <c r="A53" s="1" t="s">
        <v>42</v>
      </c>
    </row>
    <row r="54" spans="1:2" x14ac:dyDescent="0.3">
      <c r="A54" s="1" t="s">
        <v>43</v>
      </c>
    </row>
    <row r="55" spans="1:2" x14ac:dyDescent="0.3">
      <c r="A55" s="1" t="s">
        <v>44</v>
      </c>
    </row>
    <row r="56" spans="1:2" x14ac:dyDescent="0.3">
      <c r="A56" s="1" t="s">
        <v>45</v>
      </c>
    </row>
    <row r="57" spans="1:2" x14ac:dyDescent="0.3">
      <c r="A57" s="1" t="s">
        <v>46</v>
      </c>
    </row>
    <row r="58" spans="1:2" x14ac:dyDescent="0.3">
      <c r="A58" s="1" t="s">
        <v>47</v>
      </c>
    </row>
    <row r="59" spans="1:2" x14ac:dyDescent="0.3">
      <c r="A59" s="1" t="s">
        <v>48</v>
      </c>
    </row>
    <row r="60" spans="1:2" x14ac:dyDescent="0.3">
      <c r="A60" s="1" t="s">
        <v>49</v>
      </c>
    </row>
    <row r="61" spans="1:2" x14ac:dyDescent="0.3">
      <c r="A61" s="1" t="s">
        <v>50</v>
      </c>
    </row>
    <row r="62" spans="1:2" x14ac:dyDescent="0.3">
      <c r="A62" s="1" t="s">
        <v>51</v>
      </c>
    </row>
    <row r="63" spans="1:2" x14ac:dyDescent="0.3">
      <c r="A63" s="1" t="s">
        <v>52</v>
      </c>
    </row>
    <row r="64" spans="1:2" x14ac:dyDescent="0.3">
      <c r="A64" s="1" t="s">
        <v>53</v>
      </c>
    </row>
    <row r="65" spans="1:2" x14ac:dyDescent="0.3">
      <c r="A65" s="1" t="s">
        <v>54</v>
      </c>
    </row>
    <row r="66" spans="1:2" x14ac:dyDescent="0.3">
      <c r="A66" s="1" t="s">
        <v>55</v>
      </c>
    </row>
    <row r="67" spans="1:2" x14ac:dyDescent="0.3">
      <c r="A67" s="1" t="s">
        <v>56</v>
      </c>
    </row>
    <row r="68" spans="1:2" x14ac:dyDescent="0.3">
      <c r="A68" s="1" t="s">
        <v>57</v>
      </c>
    </row>
    <row r="69" spans="1:2" x14ac:dyDescent="0.3">
      <c r="A69" s="1" t="s">
        <v>58</v>
      </c>
    </row>
    <row r="70" spans="1:2" x14ac:dyDescent="0.3">
      <c r="A70" s="1" t="s">
        <v>59</v>
      </c>
    </row>
    <row r="71" spans="1:2" x14ac:dyDescent="0.3">
      <c r="A71" s="1" t="s">
        <v>60</v>
      </c>
    </row>
    <row r="72" spans="1:2" x14ac:dyDescent="0.3">
      <c r="A72" s="1" t="s">
        <v>61</v>
      </c>
    </row>
    <row r="73" spans="1:2" x14ac:dyDescent="0.3">
      <c r="A73" s="1" t="s">
        <v>62</v>
      </c>
    </row>
    <row r="74" spans="1:2" x14ac:dyDescent="0.3">
      <c r="A74" s="1" t="s">
        <v>63</v>
      </c>
    </row>
    <row r="75" spans="1:2" x14ac:dyDescent="0.3">
      <c r="A75" s="1" t="s">
        <v>64</v>
      </c>
    </row>
    <row r="76" spans="1:2" x14ac:dyDescent="0.3">
      <c r="A76" s="1" t="s">
        <v>65</v>
      </c>
      <c r="B76" s="1" t="s">
        <v>143</v>
      </c>
    </row>
    <row r="77" spans="1:2" x14ac:dyDescent="0.3">
      <c r="A77" s="1" t="s">
        <v>141</v>
      </c>
      <c r="B77" s="1" t="s">
        <v>142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2025-10-17T21:48:44Z</dcterms:modified>
</cp:coreProperties>
</file>