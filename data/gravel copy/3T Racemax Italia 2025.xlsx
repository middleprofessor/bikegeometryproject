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22BA354-D58A-D748-BB88-32415E8C0937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2" i="1" s="1"/>
  <c r="F31" i="1"/>
  <c r="E32" i="1" s="1"/>
  <c r="D31" i="1"/>
  <c r="C32" i="1" s="1"/>
  <c r="F32" i="1"/>
  <c r="C31" i="1"/>
</calcChain>
</file>

<file path=xl/sharedStrings.xml><?xml version="1.0" encoding="utf-8"?>
<sst xmlns="http://schemas.openxmlformats.org/spreadsheetml/2006/main" count="111" uniqueCount="109">
  <si>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</si>
  <si>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</si>
  <si>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</si>
  <si>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</si>
  <si>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</si>
  <si>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</si>
  <si>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</si>
  <si>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</si>
  <si>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</si>
  <si>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</si>
  <si>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</si>
  <si>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</si>
  <si>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</si>
  <si>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</si>
  <si>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</si>
  <si>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</si>
  <si>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</si>
  <si>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</si>
  <si>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</si>
  <si>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</si>
  <si>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</si>
  <si>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</si>
  <si>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</si>
  <si>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</si>
  <si>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</si>
  <si>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</si>
  <si>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</si>
  <si>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</si>
  <si>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</si>
  <si>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</si>
  <si>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</si>
  <si>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</si>
  <si>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</si>
  <si>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</si>
  <si>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</si>
  <si>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</si>
  <si>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</si>
  <si>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</si>
  <si>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</si>
  <si>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</si>
  <si>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</si>
  <si>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</si>
  <si>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</si>
  <si>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</si>
  <si>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</si>
  <si>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</si>
  <si>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</si>
  <si>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</si>
  <si>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</si>
  <si>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</si>
  <si>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</si>
  <si>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</si>
  <si>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</si>
  <si>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</si>
  <si>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</si>
  <si>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</si>
  <si>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</si>
  <si>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</si>
  <si>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</si>
  <si>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</si>
  <si>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</si>
  <si>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</si>
  <si>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</si>
  <si>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</si>
  <si>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</si>
  <si>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</si>
  <si>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</si>
  <si>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</si>
  <si>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Rider Height (cm)</t>
  </si>
  <si>
    <t>157-171</t>
  </si>
  <si>
    <t>168-180</t>
  </si>
  <si>
    <t>176-186</t>
  </si>
  <si>
    <t>183-195</t>
  </si>
  <si>
    <t>Rider Height* (inches)</t>
  </si>
  <si>
    <t>5'2"-5'7"</t>
  </si>
  <si>
    <t>5'6"-5'11"</t>
  </si>
  <si>
    <t>5'9"-6'1"</t>
  </si>
  <si>
    <t>6'0" 6'5"</t>
  </si>
  <si>
    <t>Stack</t>
  </si>
  <si>
    <t>Reach</t>
  </si>
  <si>
    <t>"Road" Headtube</t>
  </si>
  <si>
    <t>Headtube angle</t>
  </si>
  <si>
    <t>Fork axle-crown</t>
  </si>
  <si>
    <t>Front center</t>
  </si>
  <si>
    <t>Rear center</t>
  </si>
  <si>
    <t>BB drop</t>
  </si>
  <si>
    <t>Wheelbase</t>
  </si>
  <si>
    <t>Toptube length</t>
  </si>
  <si>
    <t>Seattube length</t>
  </si>
  <si>
    <t>Seattube angle</t>
  </si>
  <si>
    <t>3T</t>
  </si>
  <si>
    <t>front_center</t>
  </si>
  <si>
    <t>https://us.3t.bike/collections/racemax-italia</t>
  </si>
  <si>
    <t>yes</t>
  </si>
  <si>
    <t>Racemax Italia</t>
  </si>
  <si>
    <t>threaded</t>
  </si>
  <si>
    <t>frame_weight</t>
  </si>
  <si>
    <t>a8:f32</t>
  </si>
  <si>
    <t>class</t>
  </si>
  <si>
    <t>gravel</t>
  </si>
  <si>
    <t>handlebar</t>
  </si>
  <si>
    <t>drop bar</t>
  </si>
  <si>
    <t>fork</t>
  </si>
  <si>
    <t>rigid</t>
  </si>
  <si>
    <t>https://us.3t.bike/cdn/shop/files/Extrema---Project-X-1520-HDR-Modifica_460x.jpg?v=1759848488</t>
  </si>
  <si>
    <t>location</t>
  </si>
  <si>
    <t>Bergamo, Italy</t>
  </si>
  <si>
    <t>USD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</si>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</sst>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3" workbookViewId="0">
      <selection activeCell="B59" sqref="B59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90</v>
      </c>
    </row>
    <row r="2" spans="1:6">
      <c r="A2" t="s">
        <v>1</v>
      </c>
      <c r="B2" s="1" t="s">
        <v>94</v>
      </c>
    </row>
    <row r="3" spans="1:6">
      <c r="A3" t="s">
        <v>2</v>
      </c>
      <c r="B3">
        <v>2025</v>
      </c>
    </row>
    <row r="4" spans="1:6">
      <c r="A4" t="s">
        <v>3</v>
      </c>
      <c r="B4" s="4">
        <v>45863</v>
      </c>
    </row>
    <row r="5" spans="1:6">
      <c r="A5" t="s">
        <v>4</v>
      </c>
      <c r="B5" t="s">
        <v>92</v>
      </c>
    </row>
    <row r="6" spans="1:6">
      <c r="B6" t="s">
        <v>104</v>
      </c>
    </row>
    <row r="7" spans="1:6">
      <c r="A7" t="s">
        <v>5</v>
      </c>
      <c r="B7" s="1" t="s">
        <v>97</v>
      </c>
    </row>
    <row r="8" spans="1:6" ht="21">
      <c r="A8" t="s">
        <v>6</v>
      </c>
      <c r="B8" s="2" t="s">
        <v>67</v>
      </c>
      <c r="C8" s="2">
        <v>51</v>
      </c>
      <c r="D8" s="2">
        <v>54</v>
      </c>
      <c r="E8" s="2">
        <v>56</v>
      </c>
      <c r="F8" s="2">
        <v>58</v>
      </c>
    </row>
    <row r="9" spans="1:6" ht="21">
      <c r="A9" t="s">
        <v>17</v>
      </c>
      <c r="B9" s="3" t="s">
        <v>78</v>
      </c>
      <c r="C9" s="3">
        <v>544</v>
      </c>
      <c r="D9" s="3">
        <v>566</v>
      </c>
      <c r="E9" s="3">
        <v>586</v>
      </c>
      <c r="F9" s="3">
        <v>606</v>
      </c>
    </row>
    <row r="10" spans="1:6" ht="21">
      <c r="A10" t="s">
        <v>18</v>
      </c>
      <c r="B10" s="3" t="s">
        <v>79</v>
      </c>
      <c r="C10" s="3">
        <v>364</v>
      </c>
      <c r="D10" s="3">
        <v>374</v>
      </c>
      <c r="E10" s="3">
        <v>382</v>
      </c>
      <c r="F10" s="3">
        <v>390</v>
      </c>
    </row>
    <row r="11" spans="1:6" ht="21">
      <c r="A11" t="s">
        <v>10</v>
      </c>
      <c r="B11" s="3" t="s">
        <v>80</v>
      </c>
      <c r="C11" s="3">
        <v>147</v>
      </c>
      <c r="D11" s="3">
        <v>161</v>
      </c>
      <c r="E11" s="3">
        <v>180</v>
      </c>
      <c r="F11" s="3">
        <v>201</v>
      </c>
    </row>
    <row r="12" spans="1:6" ht="21">
      <c r="A12" t="s">
        <v>11</v>
      </c>
      <c r="B12" s="3" t="s">
        <v>81</v>
      </c>
      <c r="C12" s="3">
        <v>69.2</v>
      </c>
      <c r="D12" s="3">
        <v>70.7</v>
      </c>
      <c r="E12" s="3">
        <v>71.7</v>
      </c>
      <c r="F12" s="3">
        <v>72.2</v>
      </c>
    </row>
    <row r="13" spans="1:6" ht="21">
      <c r="A13" t="s">
        <v>24</v>
      </c>
      <c r="B13" s="3" t="s">
        <v>82</v>
      </c>
      <c r="C13" s="3">
        <v>375</v>
      </c>
      <c r="D13" s="3">
        <v>375</v>
      </c>
      <c r="E13" s="3">
        <v>375</v>
      </c>
      <c r="F13" s="3">
        <v>375</v>
      </c>
    </row>
    <row r="14" spans="1:6" ht="21">
      <c r="A14" s="1" t="s">
        <v>91</v>
      </c>
      <c r="B14" s="3" t="s">
        <v>83</v>
      </c>
      <c r="C14" s="3">
        <v>612</v>
      </c>
      <c r="D14" s="3">
        <v>607</v>
      </c>
      <c r="E14" s="3">
        <v>612</v>
      </c>
      <c r="F14" s="3">
        <v>622</v>
      </c>
    </row>
    <row r="15" spans="1:6" ht="21">
      <c r="A15" t="s">
        <v>15</v>
      </c>
      <c r="B15" s="3" t="s">
        <v>84</v>
      </c>
      <c r="C15" s="3">
        <v>418</v>
      </c>
      <c r="D15" s="3">
        <v>418</v>
      </c>
      <c r="E15" s="3">
        <v>418</v>
      </c>
      <c r="F15" s="3">
        <v>418</v>
      </c>
    </row>
    <row r="16" spans="1:6" ht="21">
      <c r="A16" t="s">
        <v>16</v>
      </c>
      <c r="B16" s="3" t="s">
        <v>85</v>
      </c>
      <c r="C16" s="3">
        <v>77</v>
      </c>
      <c r="D16" s="3">
        <v>77</v>
      </c>
      <c r="E16" s="3">
        <v>75</v>
      </c>
      <c r="F16" s="3">
        <v>73</v>
      </c>
    </row>
    <row r="17" spans="1:6" ht="21">
      <c r="A17" t="s">
        <v>14</v>
      </c>
      <c r="B17" s="3" t="s">
        <v>86</v>
      </c>
      <c r="C17" s="3">
        <v>1018</v>
      </c>
      <c r="D17" s="3">
        <v>1013</v>
      </c>
      <c r="E17" s="3">
        <v>1019</v>
      </c>
      <c r="F17" s="3">
        <v>1028</v>
      </c>
    </row>
    <row r="18" spans="1:6" ht="21">
      <c r="A18" t="s">
        <v>9</v>
      </c>
      <c r="B18" s="3" t="s">
        <v>87</v>
      </c>
      <c r="C18" s="3">
        <v>518</v>
      </c>
      <c r="D18" s="3">
        <v>536</v>
      </c>
      <c r="E18" s="3">
        <v>549</v>
      </c>
      <c r="F18" s="3">
        <v>563</v>
      </c>
    </row>
    <row r="19" spans="1:6" ht="21">
      <c r="A19" t="s">
        <v>7</v>
      </c>
      <c r="B19" s="3" t="s">
        <v>88</v>
      </c>
      <c r="C19" s="3">
        <v>463</v>
      </c>
      <c r="D19" s="3">
        <v>490</v>
      </c>
      <c r="E19" s="3">
        <v>518</v>
      </c>
      <c r="F19" s="3">
        <v>545</v>
      </c>
    </row>
    <row r="20" spans="1:6" ht="21">
      <c r="A20" t="s">
        <v>8</v>
      </c>
      <c r="B20" s="3" t="s">
        <v>89</v>
      </c>
      <c r="C20" s="3">
        <v>74</v>
      </c>
      <c r="D20" s="3">
        <v>74</v>
      </c>
      <c r="E20" s="3">
        <v>74</v>
      </c>
      <c r="F20" s="3">
        <v>74</v>
      </c>
    </row>
    <row r="21" spans="1:6">
      <c r="A21" t="s">
        <v>12</v>
      </c>
    </row>
    <row r="22" spans="1:6">
      <c r="A22" t="s">
        <v>13</v>
      </c>
    </row>
    <row r="23" spans="1:6">
      <c r="A23" t="s">
        <v>19</v>
      </c>
    </row>
    <row r="24" spans="1:6">
      <c r="A24" s="1" t="s">
        <v>96</v>
      </c>
    </row>
    <row r="25" spans="1:6">
      <c r="A25" t="s">
        <v>20</v>
      </c>
    </row>
    <row r="26" spans="1:6">
      <c r="A26" t="s">
        <v>21</v>
      </c>
      <c r="C26">
        <v>80</v>
      </c>
      <c r="D26">
        <v>90</v>
      </c>
      <c r="E26">
        <v>100</v>
      </c>
      <c r="F26">
        <v>110</v>
      </c>
    </row>
    <row r="27" spans="1:6">
      <c r="A27" t="s">
        <v>22</v>
      </c>
    </row>
    <row r="28" spans="1:6">
      <c r="A28" t="s">
        <v>23</v>
      </c>
      <c r="C28">
        <v>700</v>
      </c>
      <c r="D28">
        <v>700</v>
      </c>
      <c r="E28">
        <v>700</v>
      </c>
      <c r="F28">
        <v>700</v>
      </c>
    </row>
    <row r="29" spans="1:6">
      <c r="A29" t="s">
        <v>25</v>
      </c>
      <c r="C29">
        <v>40</v>
      </c>
      <c r="D29">
        <v>40</v>
      </c>
      <c r="E29">
        <v>40</v>
      </c>
      <c r="F29">
        <v>40</v>
      </c>
    </row>
    <row r="30" spans="1:6">
      <c r="A30" t="s">
        <v>26</v>
      </c>
      <c r="C30">
        <v>46</v>
      </c>
      <c r="D30">
        <v>46</v>
      </c>
      <c r="E30">
        <v>46</v>
      </c>
      <c r="F30">
        <v>46</v>
      </c>
    </row>
    <row r="31" spans="1:6">
      <c r="A31" t="s">
        <v>27</v>
      </c>
      <c r="C31">
        <f>C33</f>
        <v>157</v>
      </c>
      <c r="D31">
        <f>AVERAGE(D33,C34)</f>
        <v>169.5</v>
      </c>
      <c r="E31">
        <f t="shared" ref="E31:F31" si="0">AVERAGE(E33,D34)</f>
        <v>178</v>
      </c>
      <c r="F31">
        <f t="shared" si="0"/>
        <v>184.5</v>
      </c>
    </row>
    <row r="32" spans="1:6">
      <c r="A32" t="s">
        <v>28</v>
      </c>
      <c r="C32">
        <f>D31</f>
        <v>169.5</v>
      </c>
      <c r="D32">
        <f t="shared" ref="D32:E32" si="1">E31</f>
        <v>178</v>
      </c>
      <c r="E32">
        <f t="shared" si="1"/>
        <v>184.5</v>
      </c>
      <c r="F32">
        <f t="shared" ref="F32" si="2">F34</f>
        <v>195</v>
      </c>
    </row>
    <row r="33" spans="1:7">
      <c r="C33">
        <v>157</v>
      </c>
      <c r="D33">
        <v>168</v>
      </c>
      <c r="E33">
        <v>176</v>
      </c>
      <c r="F33">
        <v>183</v>
      </c>
    </row>
    <row r="34" spans="1:7">
      <c r="A34" t="s">
        <v>29</v>
      </c>
      <c r="B34" t="s">
        <v>30</v>
      </c>
      <c r="C34">
        <v>171</v>
      </c>
      <c r="D34">
        <v>180</v>
      </c>
      <c r="E34">
        <v>186</v>
      </c>
      <c r="F34">
        <v>195</v>
      </c>
    </row>
    <row r="35" spans="1:7" ht="21">
      <c r="A35" t="s">
        <v>98</v>
      </c>
      <c r="B35" t="s">
        <v>99</v>
      </c>
      <c r="C35" s="3" t="s">
        <v>68</v>
      </c>
      <c r="D35" s="3" t="s">
        <v>69</v>
      </c>
      <c r="E35" s="3" t="s">
        <v>70</v>
      </c>
      <c r="F35" s="3" t="s">
        <v>71</v>
      </c>
      <c r="G35" s="3" t="s">
        <v>72</v>
      </c>
    </row>
    <row r="36" spans="1:7" ht="21">
      <c r="A36" t="s">
        <v>100</v>
      </c>
      <c r="B36" t="s">
        <v>101</v>
      </c>
      <c r="C36" s="3" t="s">
        <v>73</v>
      </c>
      <c r="D36" s="3" t="s">
        <v>74</v>
      </c>
      <c r="E36" s="3" t="s">
        <v>75</v>
      </c>
      <c r="F36" s="3" t="s">
        <v>76</v>
      </c>
      <c r="G36" s="3" t="s">
        <v>77</v>
      </c>
    </row>
    <row r="37" spans="1:7">
      <c r="A37" t="s">
        <v>102</v>
      </c>
      <c r="B37" t="s">
        <v>103</v>
      </c>
    </row>
    <row r="38" spans="1:7">
      <c r="A38" t="s">
        <v>31</v>
      </c>
      <c r="B38" t="s">
        <v>32</v>
      </c>
    </row>
    <row r="39" spans="1:7">
      <c r="A39" t="s">
        <v>33</v>
      </c>
      <c r="B39" s="1" t="s">
        <v>93</v>
      </c>
    </row>
    <row r="40" spans="1:7">
      <c r="A40" t="s">
        <v>34</v>
      </c>
    </row>
    <row r="41" spans="1:7">
      <c r="A41" t="s">
        <v>35</v>
      </c>
      <c r="B41">
        <v>46</v>
      </c>
    </row>
    <row r="42" spans="1:7">
      <c r="A42" t="s">
        <v>36</v>
      </c>
      <c r="B42">
        <v>2.4</v>
      </c>
    </row>
    <row r="43" spans="1:7">
      <c r="A43" t="s">
        <v>37</v>
      </c>
    </row>
    <row r="44" spans="1:7">
      <c r="A44" t="s">
        <v>38</v>
      </c>
    </row>
    <row r="45" spans="1:7">
      <c r="A45" t="s">
        <v>39</v>
      </c>
    </row>
    <row r="46" spans="1:7">
      <c r="A46" t="s">
        <v>40</v>
      </c>
    </row>
    <row r="47" spans="1:7">
      <c r="A47" t="s">
        <v>41</v>
      </c>
    </row>
    <row r="48" spans="1:7">
      <c r="A48" t="s">
        <v>42</v>
      </c>
    </row>
    <row r="49" spans="1:2">
      <c r="A49" t="s">
        <v>43</v>
      </c>
      <c r="B49" s="1" t="s">
        <v>95</v>
      </c>
    </row>
    <row r="50" spans="1:2">
      <c r="A50" t="s">
        <v>44</v>
      </c>
    </row>
    <row r="51" spans="1:2">
      <c r="A51" t="s">
        <v>45</v>
      </c>
    </row>
    <row r="52" spans="1:2">
      <c r="A52" t="s">
        <v>46</v>
      </c>
      <c r="B52" s="1" t="s">
        <v>93</v>
      </c>
    </row>
    <row r="53" spans="1:2">
      <c r="A53" t="s">
        <v>47</v>
      </c>
    </row>
    <row r="54" spans="1:2">
      <c r="A54" t="s">
        <v>48</v>
      </c>
    </row>
    <row r="55" spans="1:2">
      <c r="A55" t="s">
        <v>49</v>
      </c>
    </row>
    <row r="56" spans="1:2">
      <c r="A56" t="s">
        <v>50</v>
      </c>
    </row>
    <row r="57" spans="1:2">
      <c r="A57" t="s">
        <v>51</v>
      </c>
    </row>
    <row r="58" spans="1:2">
      <c r="A58" t="s">
        <v>52</v>
      </c>
    </row>
    <row r="59" spans="1:2">
      <c r="A59" t="s">
        <v>53</v>
      </c>
      <c r="B59" s="1" t="s">
        <v>108</v>
      </c>
    </row>
    <row r="60" spans="1:2">
      <c r="A60" t="s">
        <v>54</v>
      </c>
    </row>
    <row r="61" spans="1:2">
      <c r="A61" t="s">
        <v>55</v>
      </c>
    </row>
    <row r="62" spans="1:2">
      <c r="A62" t="s">
        <v>56</v>
      </c>
      <c r="B62">
        <v>2</v>
      </c>
    </row>
    <row r="63" spans="1:2">
      <c r="A63" t="s">
        <v>57</v>
      </c>
      <c r="B63">
        <v>1</v>
      </c>
    </row>
    <row r="64" spans="1:2">
      <c r="A64" t="s">
        <v>58</v>
      </c>
      <c r="B64" s="1" t="s">
        <v>93</v>
      </c>
    </row>
    <row r="65" spans="1:2">
      <c r="A65" t="s">
        <v>59</v>
      </c>
    </row>
    <row r="66" spans="1:2">
      <c r="A66" t="s">
        <v>60</v>
      </c>
    </row>
    <row r="67" spans="1:2">
      <c r="A67" t="s">
        <v>61</v>
      </c>
    </row>
    <row r="68" spans="1:2">
      <c r="A68" t="s">
        <v>62</v>
      </c>
    </row>
    <row r="69" spans="1:2">
      <c r="A69" t="s">
        <v>63</v>
      </c>
      <c r="B69">
        <v>6399</v>
      </c>
    </row>
    <row r="70" spans="1:2">
      <c r="A70" t="s">
        <v>64</v>
      </c>
      <c r="B70">
        <v>8499</v>
      </c>
    </row>
    <row r="71" spans="1:2">
      <c r="A71" t="s">
        <v>65</v>
      </c>
    </row>
    <row r="72" spans="1:2">
      <c r="A72" t="s">
        <v>66</v>
      </c>
      <c r="B72" s="1" t="s">
        <v>107</v>
      </c>
    </row>
    <row r="73" spans="1:2">
      <c r="A73" t="s">
        <v>105</v>
      </c>
      <c r="B73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2025-10-30T00:13:55Z</dcterms:modified>
</cp:coreProperties>
</file>