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1719000-D573-7E46-9AC3-E9DB1D70E87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C14" i="1"/>
</calcChain>
</file>

<file path=xl/sharedStrings.xml><?xml version="1.0" encoding="utf-8"?>
<sst xmlns="http://schemas.openxmlformats.org/spreadsheetml/2006/main" count="133" uniqueCount="117">
  <si>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</si>
  <si>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</si>
  <si>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</si>
  <si>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</si>
  <si>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</si>
  <si>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</si>
  <si>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</si>
  <si>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</si>
  <si>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</si>
  <si>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</si>
  <si>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</si>
  <si>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</si>
  <si>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</si>
  <si>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</si>
  <si>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</si>
  <si>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</si>
  <si>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</si>
  <si>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</si>
  <si>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</si>
  <si>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</si>
  <si>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</si>
  <si>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</si>
  <si>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</si>
  <si>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</si>
  <si>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</si>
  <si>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</si>
  <si>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</si>
  <si>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</si>
  <si>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</si>
  <si>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</si>
  <si>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</si>
  <si>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</si>
  <si>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</si>
  <si>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</si>
  <si>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</si>
  <si>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</si>
  <si>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</si>
  <si>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</si>
  <si>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</si>
  <si>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</si>
  <si>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</si>
  <si>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</si>
  <si>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</si>
  <si>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</si>
  <si>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</si>
  <si>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</si>
  <si>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</si>
  <si>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</si>
  <si>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</si>
  <si>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</si>
  <si>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</si>
  <si>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</si>
  <si>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</si>
  <si>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</si>
  <si>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</si>
  <si>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</si>
  <si>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</si>
  <si>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</si>
  <si>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</si>
  <si>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</si>
  <si>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</si>
  <si>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</si>
  <si>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</si>
  <si>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</si>
  <si>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</si>
  <si>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</si>
  <si>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</si>
  <si>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</si>
  <si>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</si>
  <si>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</si>
  <si>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</si>
  <si>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</si>
  <si>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</si>
  <si>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S</t>
  </si>
  <si>
    <t>M</t>
  </si>
  <si>
    <t>L</t>
  </si>
  <si>
    <t>XL</t>
  </si>
  <si>
    <t>Officine Mattio</t>
  </si>
  <si>
    <t>Santiago AC</t>
  </si>
  <si>
    <t>https://www.officinemattio.com/en/santiago-acciaio/</t>
  </si>
  <si>
    <t>A</t>
  </si>
  <si>
    <t>B</t>
  </si>
  <si>
    <t>C</t>
  </si>
  <si>
    <t>D</t>
  </si>
  <si>
    <t>E</t>
  </si>
  <si>
    <t>F</t>
  </si>
  <si>
    <t>H</t>
  </si>
  <si>
    <t>J</t>
  </si>
  <si>
    <t>K</t>
  </si>
  <si>
    <t>N</t>
  </si>
  <si>
    <t>O</t>
  </si>
  <si>
    <t>HT</t>
  </si>
  <si>
    <t>XS</t>
  </si>
  <si>
    <t>47/52</t>
  </si>
  <si>
    <t>A Horizontal TT</t>
  </si>
  <si>
    <t>C Seat Tube Angle</t>
  </si>
  <si>
    <t>D Head Tube Angle</t>
  </si>
  <si>
    <t>E Chaninstay</t>
  </si>
  <si>
    <t>F Fork offset</t>
  </si>
  <si>
    <t>H Wheelbase</t>
  </si>
  <si>
    <t>J Standover</t>
  </si>
  <si>
    <t>K BB Drop</t>
  </si>
  <si>
    <t>L Front Center</t>
  </si>
  <si>
    <t>M Head tube length</t>
  </si>
  <si>
    <t>N Stack</t>
  </si>
  <si>
    <t>O Reach</t>
  </si>
  <si>
    <t>HT Axle to Crown</t>
  </si>
  <si>
    <t>front_center</t>
  </si>
  <si>
    <t>a8:g31</t>
  </si>
  <si>
    <t>steel</t>
  </si>
  <si>
    <t>threaded 68</t>
  </si>
  <si>
    <t>internal</t>
  </si>
  <si>
    <t>https://www.officinemattio.com/wp-content/uploads/2024/10/Santiago-AC-scontornata-OK.jpg</t>
  </si>
  <si>
    <t>frame size</t>
  </si>
  <si>
    <t>Madonna dell’Olmo, Italy</t>
  </si>
  <si>
    <t>B Seat Tube CT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</si>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</sst>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workbookViewId="0">
      <selection activeCell="E25" sqref="E25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4" t="s">
        <v>77</v>
      </c>
    </row>
    <row r="2" spans="1:24" x14ac:dyDescent="0.3">
      <c r="A2" t="s">
        <v>1</v>
      </c>
      <c r="B2" s="4" t="s">
        <v>78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45956</v>
      </c>
    </row>
    <row r="5" spans="1:24" x14ac:dyDescent="0.3">
      <c r="A5" t="s">
        <v>4</v>
      </c>
      <c r="B5" t="s">
        <v>79</v>
      </c>
    </row>
    <row r="6" spans="1:24" x14ac:dyDescent="0.3">
      <c r="B6" t="s">
        <v>112</v>
      </c>
    </row>
    <row r="7" spans="1:24" x14ac:dyDescent="0.3">
      <c r="A7" t="s">
        <v>5</v>
      </c>
      <c r="B7" s="4" t="s">
        <v>108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75</v>
      </c>
      <c r="T7" t="s">
        <v>74</v>
      </c>
      <c r="U7" t="s">
        <v>89</v>
      </c>
      <c r="V7" t="s">
        <v>90</v>
      </c>
      <c r="W7" t="s">
        <v>91</v>
      </c>
    </row>
    <row r="8" spans="1:24" x14ac:dyDescent="0.3">
      <c r="A8" t="s">
        <v>6</v>
      </c>
      <c r="B8" s="4" t="s">
        <v>113</v>
      </c>
      <c r="C8" t="s">
        <v>92</v>
      </c>
      <c r="D8" t="s">
        <v>73</v>
      </c>
      <c r="E8" t="s">
        <v>74</v>
      </c>
      <c r="F8" t="s">
        <v>75</v>
      </c>
      <c r="G8" t="s">
        <v>76</v>
      </c>
      <c r="J8" t="s">
        <v>92</v>
      </c>
      <c r="K8">
        <v>500</v>
      </c>
      <c r="L8">
        <v>465</v>
      </c>
      <c r="M8">
        <v>73</v>
      </c>
      <c r="N8">
        <v>70</v>
      </c>
      <c r="O8">
        <v>430</v>
      </c>
      <c r="P8" t="s">
        <v>93</v>
      </c>
      <c r="Q8">
        <v>970</v>
      </c>
      <c r="R8">
        <v>740</v>
      </c>
      <c r="S8">
        <v>70</v>
      </c>
      <c r="T8">
        <v>564</v>
      </c>
      <c r="U8">
        <v>90</v>
      </c>
      <c r="V8">
        <v>519</v>
      </c>
      <c r="W8">
        <v>344</v>
      </c>
      <c r="X8">
        <v>395</v>
      </c>
    </row>
    <row r="9" spans="1:24" x14ac:dyDescent="0.3">
      <c r="A9" t="s">
        <v>7</v>
      </c>
      <c r="B9" s="4" t="s">
        <v>94</v>
      </c>
      <c r="C9">
        <v>500</v>
      </c>
      <c r="D9">
        <v>530</v>
      </c>
      <c r="E9">
        <v>550</v>
      </c>
      <c r="F9">
        <v>570</v>
      </c>
      <c r="G9">
        <v>590</v>
      </c>
      <c r="J9" t="s">
        <v>73</v>
      </c>
      <c r="K9">
        <v>530</v>
      </c>
      <c r="L9">
        <v>480</v>
      </c>
      <c r="M9">
        <v>73</v>
      </c>
      <c r="N9">
        <v>70</v>
      </c>
      <c r="O9">
        <v>430</v>
      </c>
      <c r="P9" t="s">
        <v>93</v>
      </c>
      <c r="Q9">
        <v>1010</v>
      </c>
      <c r="R9">
        <v>755</v>
      </c>
      <c r="S9">
        <v>70</v>
      </c>
      <c r="T9">
        <v>588</v>
      </c>
      <c r="U9">
        <v>110</v>
      </c>
      <c r="V9">
        <v>529</v>
      </c>
      <c r="W9">
        <v>371</v>
      </c>
      <c r="X9">
        <v>395</v>
      </c>
    </row>
    <row r="10" spans="1:24" x14ac:dyDescent="0.3">
      <c r="A10" t="s">
        <v>11</v>
      </c>
      <c r="B10" s="4" t="s">
        <v>115</v>
      </c>
      <c r="C10">
        <v>465</v>
      </c>
      <c r="D10">
        <v>480</v>
      </c>
      <c r="E10">
        <v>510</v>
      </c>
      <c r="F10">
        <v>530</v>
      </c>
      <c r="G10">
        <v>550</v>
      </c>
      <c r="J10" t="s">
        <v>74</v>
      </c>
      <c r="K10">
        <v>550</v>
      </c>
      <c r="L10">
        <v>510</v>
      </c>
      <c r="M10">
        <v>73</v>
      </c>
      <c r="N10">
        <v>71.5</v>
      </c>
      <c r="O10">
        <v>430</v>
      </c>
      <c r="P10" t="s">
        <v>93</v>
      </c>
      <c r="Q10">
        <v>1018</v>
      </c>
      <c r="R10">
        <v>776</v>
      </c>
      <c r="S10">
        <v>70</v>
      </c>
      <c r="T10">
        <v>595</v>
      </c>
      <c r="U10">
        <v>130</v>
      </c>
      <c r="V10">
        <v>550</v>
      </c>
      <c r="W10">
        <v>380</v>
      </c>
      <c r="X10">
        <v>395</v>
      </c>
    </row>
    <row r="11" spans="1:24" x14ac:dyDescent="0.3">
      <c r="A11" t="s">
        <v>14</v>
      </c>
      <c r="B11" s="4" t="s">
        <v>95</v>
      </c>
      <c r="C11">
        <v>73</v>
      </c>
      <c r="D11">
        <v>73</v>
      </c>
      <c r="E11">
        <v>73</v>
      </c>
      <c r="F11">
        <v>72.5</v>
      </c>
      <c r="G11">
        <v>72.5</v>
      </c>
      <c r="J11" t="s">
        <v>75</v>
      </c>
      <c r="K11">
        <v>570</v>
      </c>
      <c r="L11">
        <v>530</v>
      </c>
      <c r="M11">
        <v>72.5</v>
      </c>
      <c r="N11">
        <v>72.5</v>
      </c>
      <c r="O11">
        <v>430</v>
      </c>
      <c r="P11" t="s">
        <v>93</v>
      </c>
      <c r="Q11">
        <v>1024</v>
      </c>
      <c r="R11">
        <v>800</v>
      </c>
      <c r="S11">
        <v>70</v>
      </c>
      <c r="T11">
        <v>602</v>
      </c>
      <c r="U11">
        <v>150</v>
      </c>
      <c r="V11">
        <v>576</v>
      </c>
      <c r="W11">
        <v>389</v>
      </c>
      <c r="X11">
        <v>395</v>
      </c>
    </row>
    <row r="12" spans="1:24" x14ac:dyDescent="0.3">
      <c r="A12" t="s">
        <v>13</v>
      </c>
      <c r="B12" s="4" t="s">
        <v>96</v>
      </c>
      <c r="C12">
        <v>70</v>
      </c>
      <c r="D12">
        <v>70</v>
      </c>
      <c r="E12">
        <v>71.5</v>
      </c>
      <c r="F12">
        <v>72.5</v>
      </c>
      <c r="G12">
        <v>72.5</v>
      </c>
      <c r="J12" t="s">
        <v>76</v>
      </c>
      <c r="K12">
        <v>590</v>
      </c>
      <c r="L12">
        <v>550</v>
      </c>
      <c r="M12">
        <v>72.5</v>
      </c>
      <c r="N12">
        <v>72.5</v>
      </c>
      <c r="O12">
        <v>430</v>
      </c>
      <c r="P12" t="s">
        <v>93</v>
      </c>
      <c r="Q12">
        <v>1044</v>
      </c>
      <c r="R12">
        <v>821</v>
      </c>
      <c r="S12">
        <v>70</v>
      </c>
      <c r="T12">
        <v>621</v>
      </c>
      <c r="U12">
        <v>175</v>
      </c>
      <c r="V12">
        <v>599</v>
      </c>
      <c r="W12">
        <v>400</v>
      </c>
      <c r="X12">
        <v>395</v>
      </c>
    </row>
    <row r="13" spans="1:24" x14ac:dyDescent="0.3">
      <c r="A13" t="s">
        <v>16</v>
      </c>
      <c r="B13" s="4" t="s">
        <v>97</v>
      </c>
      <c r="C13">
        <v>430</v>
      </c>
      <c r="D13">
        <v>430</v>
      </c>
      <c r="E13">
        <v>430</v>
      </c>
      <c r="F13">
        <v>430</v>
      </c>
      <c r="G13">
        <v>430</v>
      </c>
    </row>
    <row r="14" spans="1:24" x14ac:dyDescent="0.3">
      <c r="A14" t="s">
        <v>18</v>
      </c>
      <c r="B14" s="4" t="s">
        <v>98</v>
      </c>
      <c r="C14">
        <f>VALUE(LEFT(H14,2))</f>
        <v>47</v>
      </c>
      <c r="D14">
        <f t="shared" ref="D14:G14" si="0">VALUE(LEFT(I14,2))</f>
        <v>47</v>
      </c>
      <c r="E14">
        <f t="shared" si="0"/>
        <v>47</v>
      </c>
      <c r="F14">
        <f t="shared" si="0"/>
        <v>47</v>
      </c>
      <c r="G14">
        <f t="shared" si="0"/>
        <v>47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</row>
    <row r="15" spans="1:24" x14ac:dyDescent="0.3">
      <c r="A15" t="s">
        <v>19</v>
      </c>
      <c r="B15" s="4" t="s">
        <v>99</v>
      </c>
      <c r="C15">
        <v>970</v>
      </c>
      <c r="D15">
        <v>1010</v>
      </c>
      <c r="E15">
        <v>1018</v>
      </c>
      <c r="F15">
        <v>1024</v>
      </c>
      <c r="G15">
        <v>1044</v>
      </c>
    </row>
    <row r="16" spans="1:24" x14ac:dyDescent="0.3">
      <c r="A16" t="s">
        <v>8</v>
      </c>
      <c r="B16" s="4" t="s">
        <v>100</v>
      </c>
      <c r="C16">
        <v>740</v>
      </c>
      <c r="D16">
        <v>755</v>
      </c>
      <c r="E16">
        <v>776</v>
      </c>
      <c r="F16">
        <v>800</v>
      </c>
      <c r="G16">
        <v>821</v>
      </c>
    </row>
    <row r="17" spans="1:7" x14ac:dyDescent="0.3">
      <c r="A17" t="s">
        <v>15</v>
      </c>
      <c r="B17" s="4" t="s">
        <v>101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s="4" t="s">
        <v>107</v>
      </c>
      <c r="B18" s="4" t="s">
        <v>102</v>
      </c>
      <c r="C18">
        <v>564</v>
      </c>
      <c r="D18">
        <v>588</v>
      </c>
      <c r="E18">
        <v>595</v>
      </c>
      <c r="F18">
        <v>602</v>
      </c>
      <c r="G18">
        <v>621</v>
      </c>
    </row>
    <row r="19" spans="1:7" x14ac:dyDescent="0.3">
      <c r="A19" s="4" t="s">
        <v>12</v>
      </c>
      <c r="B19" s="4" t="s">
        <v>103</v>
      </c>
      <c r="C19">
        <v>90</v>
      </c>
      <c r="D19">
        <v>110</v>
      </c>
      <c r="E19">
        <v>130</v>
      </c>
      <c r="F19">
        <v>150</v>
      </c>
      <c r="G19">
        <v>175</v>
      </c>
    </row>
    <row r="20" spans="1:7" x14ac:dyDescent="0.3">
      <c r="A20" s="4" t="s">
        <v>10</v>
      </c>
      <c r="B20" s="4" t="s">
        <v>104</v>
      </c>
      <c r="C20">
        <v>519</v>
      </c>
      <c r="D20">
        <v>529</v>
      </c>
      <c r="E20">
        <v>550</v>
      </c>
      <c r="F20">
        <v>576</v>
      </c>
      <c r="G20">
        <v>599</v>
      </c>
    </row>
    <row r="21" spans="1:7" x14ac:dyDescent="0.3">
      <c r="A21" t="s">
        <v>9</v>
      </c>
      <c r="B21" s="4" t="s">
        <v>105</v>
      </c>
      <c r="C21">
        <v>344</v>
      </c>
      <c r="D21">
        <v>371</v>
      </c>
      <c r="E21">
        <v>380</v>
      </c>
      <c r="F21">
        <v>389</v>
      </c>
      <c r="G21">
        <v>400</v>
      </c>
    </row>
    <row r="22" spans="1:7" x14ac:dyDescent="0.3">
      <c r="A22" t="s">
        <v>17</v>
      </c>
      <c r="B22" s="4" t="s">
        <v>106</v>
      </c>
      <c r="C22">
        <v>395</v>
      </c>
      <c r="D22">
        <v>395</v>
      </c>
      <c r="E22">
        <v>395</v>
      </c>
      <c r="F22">
        <v>395</v>
      </c>
      <c r="G22">
        <v>395</v>
      </c>
    </row>
    <row r="23" spans="1:7" x14ac:dyDescent="0.3">
      <c r="A23" t="s">
        <v>22</v>
      </c>
      <c r="B23" s="6"/>
      <c r="C23" s="5"/>
      <c r="D23" s="5"/>
      <c r="E23" s="5"/>
      <c r="F23" s="5"/>
      <c r="G23" s="5"/>
    </row>
    <row r="24" spans="1:7" x14ac:dyDescent="0.3">
      <c r="A24" t="s">
        <v>20</v>
      </c>
    </row>
    <row r="25" spans="1:7" x14ac:dyDescent="0.3">
      <c r="A25" t="s">
        <v>21</v>
      </c>
      <c r="B25" s="6"/>
      <c r="C25" s="5"/>
      <c r="D25" s="5"/>
      <c r="E25" s="5">
        <v>1890</v>
      </c>
      <c r="G25" s="5"/>
    </row>
    <row r="26" spans="1:7" x14ac:dyDescent="0.3">
      <c r="A26" t="s">
        <v>23</v>
      </c>
    </row>
    <row r="27" spans="1:7" x14ac:dyDescent="0.3">
      <c r="A27" t="s">
        <v>24</v>
      </c>
      <c r="G27" s="3"/>
    </row>
    <row r="28" spans="1:7" x14ac:dyDescent="0.3">
      <c r="A28" t="s">
        <v>25</v>
      </c>
    </row>
    <row r="29" spans="1:7" x14ac:dyDescent="0.3">
      <c r="A29" t="s">
        <v>26</v>
      </c>
    </row>
    <row r="30" spans="1:7" x14ac:dyDescent="0.3">
      <c r="A30" t="s">
        <v>27</v>
      </c>
      <c r="C30">
        <v>155</v>
      </c>
      <c r="D30">
        <v>165</v>
      </c>
      <c r="E30">
        <v>170</v>
      </c>
      <c r="F30">
        <v>175</v>
      </c>
      <c r="G30">
        <v>180</v>
      </c>
    </row>
    <row r="31" spans="1:7" x14ac:dyDescent="0.3">
      <c r="A31" t="s">
        <v>28</v>
      </c>
      <c r="C31">
        <v>165</v>
      </c>
      <c r="D31">
        <v>175</v>
      </c>
      <c r="E31">
        <v>180</v>
      </c>
      <c r="F31">
        <v>185</v>
      </c>
      <c r="G31">
        <v>190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4" t="s">
        <v>109</v>
      </c>
    </row>
    <row r="38" spans="1:8" x14ac:dyDescent="0.3">
      <c r="A38" t="s">
        <v>32</v>
      </c>
      <c r="B38" s="4"/>
    </row>
    <row r="39" spans="1:8" x14ac:dyDescent="0.3">
      <c r="A39" t="s">
        <v>33</v>
      </c>
    </row>
    <row r="40" spans="1:8" x14ac:dyDescent="0.3">
      <c r="A40" t="s">
        <v>34</v>
      </c>
      <c r="B40">
        <v>47</v>
      </c>
    </row>
    <row r="41" spans="1:8" x14ac:dyDescent="0.3">
      <c r="A41" t="s">
        <v>35</v>
      </c>
      <c r="B41">
        <v>50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42</v>
      </c>
      <c r="B48" s="4" t="s">
        <v>110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4" t="s">
        <v>111</v>
      </c>
    </row>
    <row r="58" spans="1:2" x14ac:dyDescent="0.3">
      <c r="A58" t="s">
        <v>52</v>
      </c>
      <c r="B58" s="4"/>
    </row>
    <row r="59" spans="1:2" x14ac:dyDescent="0.3">
      <c r="A59" t="s">
        <v>53</v>
      </c>
    </row>
    <row r="60" spans="1:2" x14ac:dyDescent="0.3">
      <c r="A60" t="s">
        <v>54</v>
      </c>
      <c r="B60" s="4"/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4">
        <v>1</v>
      </c>
    </row>
    <row r="64" spans="1:2" x14ac:dyDescent="0.3">
      <c r="A64" t="s">
        <v>58</v>
      </c>
      <c r="B64" s="4">
        <v>3</v>
      </c>
    </row>
    <row r="65" spans="1:2" x14ac:dyDescent="0.3">
      <c r="A65" t="s">
        <v>59</v>
      </c>
      <c r="B65" s="4"/>
    </row>
    <row r="66" spans="1:2" x14ac:dyDescent="0.3">
      <c r="A66" t="s">
        <v>60</v>
      </c>
      <c r="B66" s="4"/>
    </row>
    <row r="67" spans="1:2" x14ac:dyDescent="0.3">
      <c r="A67" t="s">
        <v>61</v>
      </c>
      <c r="B67" s="4"/>
    </row>
    <row r="68" spans="1:2" x14ac:dyDescent="0.3">
      <c r="A68" t="s">
        <v>62</v>
      </c>
    </row>
    <row r="69" spans="1:2" x14ac:dyDescent="0.3">
      <c r="A69" t="s">
        <v>63</v>
      </c>
      <c r="B69">
        <v>5742.52</v>
      </c>
    </row>
    <row r="70" spans="1:2" x14ac:dyDescent="0.3">
      <c r="A70" t="s">
        <v>64</v>
      </c>
    </row>
    <row r="71" spans="1:2" x14ac:dyDescent="0.3">
      <c r="A71" t="s">
        <v>65</v>
      </c>
      <c r="B71" s="4" t="s">
        <v>116</v>
      </c>
    </row>
    <row r="72" spans="1:2" x14ac:dyDescent="0.3">
      <c r="A72" t="s">
        <v>72</v>
      </c>
      <c r="B72" s="6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2025-10-26T23:01:48Z</dcterms:modified>
</cp:coreProperties>
</file>