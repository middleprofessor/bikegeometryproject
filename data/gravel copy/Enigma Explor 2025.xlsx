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483F32A-7CA2-C246-9159-2713CC66AFA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6" i="1"/>
</calcChain>
</file>

<file path=xl/sharedStrings.xml><?xml version="1.0" encoding="utf-8"?>
<sst xmlns="http://schemas.openxmlformats.org/spreadsheetml/2006/main" count="113" uniqueCount="113">
  <si>
    <t>brand</t>
  </si>
  <si>
    <t>Enigma</t>
  </si>
  <si>
    <t>model</t>
  </si>
  <si>
    <t>Explor</t>
  </si>
  <si>
    <t>model year</t>
  </si>
  <si>
    <t>2025</t>
  </si>
  <si>
    <t>input date</t>
  </si>
  <si>
    <t>URL</t>
  </si>
  <si>
    <t>https://www.enigmabikes.com/products/explor-signature-2025</t>
  </si>
  <si>
    <t>06-Jul-2025</t>
  </si>
  <si>
    <t>data_range</t>
  </si>
  <si>
    <t>frame_size</t>
  </si>
  <si>
    <t>frame size</t>
  </si>
  <si>
    <t>SML</t>
  </si>
  <si>
    <t>MED</t>
  </si>
  <si>
    <t>LG</t>
  </si>
  <si>
    <t>XL</t>
  </si>
  <si>
    <t>top_tube_effective_length</t>
  </si>
  <si>
    <t>A - EFFECTIVE TOP TUBE (MM)</t>
  </si>
  <si>
    <t>*Geometry based on 25% fork sag*</t>
  </si>
  <si>
    <t>seat_tube_length</t>
  </si>
  <si>
    <t>B - SEAT TUBE (MM)</t>
  </si>
  <si>
    <t>head_tube_length</t>
  </si>
  <si>
    <t>C - HEAD TUBE (MM)</t>
  </si>
  <si>
    <t>chainstay_length</t>
  </si>
  <si>
    <t>D - CHAIN STAY (MM)</t>
  </si>
  <si>
    <t>bottom_bracket_drop</t>
  </si>
  <si>
    <t>E - BB DROP (MM)</t>
  </si>
  <si>
    <t>seat_tube_angle</t>
  </si>
  <si>
    <t>F - *SEAT ANGLE°</t>
  </si>
  <si>
    <t>head_tube_angle</t>
  </si>
  <si>
    <t>G - *HEAD ANGLE°</t>
  </si>
  <si>
    <t>fork_offset_rake</t>
  </si>
  <si>
    <t>H - FORK OFFSET</t>
  </si>
  <si>
    <t>stack</t>
  </si>
  <si>
    <t>I - STACK (MM)</t>
  </si>
  <si>
    <t>reach</t>
  </si>
  <si>
    <t>J - REACH (MM)</t>
  </si>
  <si>
    <t>wheelbase</t>
  </si>
  <si>
    <t>K - WHEEL BASE (MM)</t>
  </si>
  <si>
    <t>downtube_od</t>
  </si>
  <si>
    <t>DOWN TUBE OD</t>
  </si>
  <si>
    <t>top_tube_od</t>
  </si>
  <si>
    <t>TOP TUBE OD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</si>
  <si>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</si>
  <si>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</si>
  <si>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</si>
  <si>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</si>
  <si>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</si>
  <si>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</si>
  <si>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</si>
  <si>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</si>
  <si>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</si>
  <si>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*not specified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</si>
  <si>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</si>
  <si>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</si>
  <si>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</si>
  <si>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</si>
  <si>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</si>
  <si>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</si>
  <si>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</si>
  <si>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</si>
  <si>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</si>
  <si>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</si>
  <si>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</si>
  <si>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</si>
  <si>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</si>
  <si>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</si>
  <si>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</si>
  <si>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</si>
  <si>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</si>
  <si>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</si>
  <si>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</si>
  <si>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</si>
  <si>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</si>
  <si>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</si>
  <si>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</si>
  <si>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</si>
  <si>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</si>
  <si>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</si>
  <si>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</si>
  <si>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</si>
  <si>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</si>
  <si>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</si>
  <si>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</si>
  <si>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</si>
  <si>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</si>
  <si>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</si>
  <si>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</si>
  <si>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</si>
  <si>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</si>
  <si>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</si>
  <si>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</si>
  <si>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</si>
  <si>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</si>
  <si>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</si>
  <si>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</si>
  <si>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estimated axle crown 493.75</t>
  </si>
  <si>
    <t>class</t>
  </si>
  <si>
    <t>hardtail</t>
  </si>
  <si>
    <t>handlebar</t>
  </si>
  <si>
    <t>fork</t>
  </si>
  <si>
    <t>suspension</t>
  </si>
  <si>
    <t>flat bar</t>
  </si>
  <si>
    <t>frame_weight</t>
  </si>
  <si>
    <t>a8:f34</t>
  </si>
  <si>
    <t>threaded 68</t>
  </si>
  <si>
    <t>GBP</t>
  </si>
  <si>
    <t>100 mm w 20% sag</t>
  </si>
  <si>
    <t>120 mm w 20% sag</t>
  </si>
  <si>
    <t>https://www.enigmabikes.com/cdn/shop/files/Explor-2025-Hero_2500x.jpg?v=1741962764</t>
  </si>
  <si>
    <t>location</t>
  </si>
  <si>
    <t>Hailsham, East Sussex,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</si>
</sst>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47" workbookViewId="0">
      <selection activeCell="A74" sqref="A74:B75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9</v>
      </c>
    </row>
    <row r="5" spans="1:6" x14ac:dyDescent="0.3">
      <c r="A5" t="s">
        <v>7</v>
      </c>
      <c r="B5" t="s">
        <v>8</v>
      </c>
    </row>
    <row r="6" spans="1:6" x14ac:dyDescent="0.3">
      <c r="B6" t="s">
        <v>110</v>
      </c>
    </row>
    <row r="7" spans="1:6" x14ac:dyDescent="0.3">
      <c r="A7" t="s">
        <v>10</v>
      </c>
      <c r="B7" s="1" t="s">
        <v>105</v>
      </c>
      <c r="C7" t="s">
        <v>19</v>
      </c>
    </row>
    <row r="8" spans="1:6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 x14ac:dyDescent="0.3">
      <c r="A9" t="s">
        <v>17</v>
      </c>
      <c r="B9" t="s">
        <v>18</v>
      </c>
      <c r="C9">
        <v>596</v>
      </c>
      <c r="D9">
        <v>622</v>
      </c>
      <c r="E9">
        <v>646</v>
      </c>
      <c r="F9">
        <v>669</v>
      </c>
    </row>
    <row r="10" spans="1:6" x14ac:dyDescent="0.3">
      <c r="A10" t="s">
        <v>20</v>
      </c>
      <c r="B10" t="s">
        <v>21</v>
      </c>
      <c r="C10">
        <v>400</v>
      </c>
      <c r="D10">
        <v>420</v>
      </c>
      <c r="E10">
        <v>440</v>
      </c>
      <c r="F10">
        <v>460</v>
      </c>
    </row>
    <row r="11" spans="1:6" x14ac:dyDescent="0.3">
      <c r="A11" t="s">
        <v>22</v>
      </c>
      <c r="B11" t="s">
        <v>23</v>
      </c>
      <c r="C11">
        <v>105</v>
      </c>
      <c r="D11">
        <v>115</v>
      </c>
      <c r="E11">
        <v>125</v>
      </c>
      <c r="F11">
        <v>140</v>
      </c>
    </row>
    <row r="12" spans="1:6" x14ac:dyDescent="0.3">
      <c r="A12" t="s">
        <v>24</v>
      </c>
      <c r="B12" t="s">
        <v>25</v>
      </c>
      <c r="C12">
        <v>440</v>
      </c>
      <c r="D12">
        <v>440</v>
      </c>
      <c r="E12">
        <v>440</v>
      </c>
      <c r="F12">
        <v>440</v>
      </c>
    </row>
    <row r="13" spans="1:6" x14ac:dyDescent="0.3">
      <c r="A13" t="s">
        <v>26</v>
      </c>
      <c r="B13" t="s">
        <v>27</v>
      </c>
      <c r="C13">
        <v>70</v>
      </c>
      <c r="D13">
        <v>70</v>
      </c>
      <c r="E13">
        <v>70</v>
      </c>
      <c r="F13">
        <v>70</v>
      </c>
    </row>
    <row r="14" spans="1:6" x14ac:dyDescent="0.3">
      <c r="A14" t="s">
        <v>28</v>
      </c>
      <c r="B14" t="s">
        <v>29</v>
      </c>
      <c r="C14">
        <v>74</v>
      </c>
      <c r="D14">
        <v>74</v>
      </c>
      <c r="E14">
        <v>74</v>
      </c>
      <c r="F14">
        <v>74</v>
      </c>
    </row>
    <row r="15" spans="1:6" x14ac:dyDescent="0.3">
      <c r="A15" t="s">
        <v>30</v>
      </c>
      <c r="B15" t="s">
        <v>31</v>
      </c>
      <c r="C15">
        <v>66</v>
      </c>
      <c r="D15">
        <v>66</v>
      </c>
      <c r="E15">
        <v>66</v>
      </c>
      <c r="F15">
        <v>66</v>
      </c>
    </row>
    <row r="16" spans="1:6" x14ac:dyDescent="0.3">
      <c r="A16" t="s">
        <v>32</v>
      </c>
      <c r="B16" t="s">
        <v>33</v>
      </c>
      <c r="C16">
        <v>44</v>
      </c>
      <c r="D16">
        <v>44</v>
      </c>
      <c r="E16">
        <v>44</v>
      </c>
      <c r="F16">
        <v>44</v>
      </c>
    </row>
    <row r="17" spans="1:8" x14ac:dyDescent="0.3">
      <c r="A17" t="s">
        <v>34</v>
      </c>
      <c r="B17" t="s">
        <v>35</v>
      </c>
      <c r="C17">
        <v>599</v>
      </c>
      <c r="D17">
        <v>608</v>
      </c>
      <c r="E17">
        <v>617</v>
      </c>
      <c r="F17">
        <v>631</v>
      </c>
    </row>
    <row r="18" spans="1:8" x14ac:dyDescent="0.3">
      <c r="A18" t="s">
        <v>36</v>
      </c>
      <c r="B18" t="s">
        <v>37</v>
      </c>
      <c r="C18">
        <v>447</v>
      </c>
      <c r="D18">
        <v>470</v>
      </c>
      <c r="E18">
        <v>492</v>
      </c>
      <c r="F18">
        <v>510</v>
      </c>
    </row>
    <row r="19" spans="1:8" x14ac:dyDescent="0.3">
      <c r="A19" t="s">
        <v>38</v>
      </c>
      <c r="B19" t="s">
        <v>39</v>
      </c>
      <c r="C19">
        <v>1165</v>
      </c>
      <c r="D19">
        <v>1192</v>
      </c>
      <c r="E19">
        <v>1218</v>
      </c>
      <c r="F19">
        <v>1243</v>
      </c>
    </row>
    <row r="20" spans="1:8" x14ac:dyDescent="0.3">
      <c r="A20" t="s">
        <v>40</v>
      </c>
      <c r="B20" t="s">
        <v>41</v>
      </c>
      <c r="C20">
        <v>42</v>
      </c>
      <c r="D20">
        <v>42</v>
      </c>
      <c r="E20">
        <v>42</v>
      </c>
      <c r="F20">
        <v>42</v>
      </c>
    </row>
    <row r="21" spans="1:8" x14ac:dyDescent="0.3">
      <c r="A21" t="s">
        <v>42</v>
      </c>
      <c r="B21" t="s">
        <v>43</v>
      </c>
      <c r="C21">
        <v>32</v>
      </c>
      <c r="D21">
        <v>32</v>
      </c>
      <c r="E21">
        <v>32</v>
      </c>
      <c r="F21">
        <v>32</v>
      </c>
    </row>
    <row r="22" spans="1:8" x14ac:dyDescent="0.3">
      <c r="A22" s="1" t="s">
        <v>104</v>
      </c>
    </row>
    <row r="23" spans="1:8" x14ac:dyDescent="0.3">
      <c r="A23" t="s">
        <v>44</v>
      </c>
    </row>
    <row r="24" spans="1:8" x14ac:dyDescent="0.3">
      <c r="A24" t="s">
        <v>45</v>
      </c>
      <c r="G24" s="1" t="s">
        <v>97</v>
      </c>
    </row>
    <row r="25" spans="1:8" x14ac:dyDescent="0.3">
      <c r="A25" t="s">
        <v>46</v>
      </c>
      <c r="G25" s="1" t="s">
        <v>108</v>
      </c>
      <c r="H25">
        <f>501-0.2*100</f>
        <v>481</v>
      </c>
    </row>
    <row r="26" spans="1:8" x14ac:dyDescent="0.3">
      <c r="A26" t="s">
        <v>47</v>
      </c>
      <c r="G26" s="1" t="s">
        <v>109</v>
      </c>
      <c r="H26">
        <f>521-0.2*120</f>
        <v>497</v>
      </c>
    </row>
    <row r="27" spans="1:8" x14ac:dyDescent="0.3">
      <c r="A27" t="s">
        <v>48</v>
      </c>
    </row>
    <row r="28" spans="1:8" x14ac:dyDescent="0.3">
      <c r="A28" t="s">
        <v>49</v>
      </c>
    </row>
    <row r="29" spans="1:8" x14ac:dyDescent="0.3">
      <c r="A29" t="s">
        <v>50</v>
      </c>
    </row>
    <row r="30" spans="1:8" x14ac:dyDescent="0.3">
      <c r="A30" t="s">
        <v>51</v>
      </c>
      <c r="C30">
        <v>700</v>
      </c>
      <c r="D30">
        <v>700</v>
      </c>
      <c r="E30">
        <v>700</v>
      </c>
      <c r="F30">
        <v>700</v>
      </c>
    </row>
    <row r="31" spans="1:8" x14ac:dyDescent="0.3">
      <c r="A31" t="s">
        <v>52</v>
      </c>
      <c r="C31">
        <v>50</v>
      </c>
      <c r="D31">
        <v>50</v>
      </c>
      <c r="E31">
        <v>50</v>
      </c>
      <c r="F31">
        <v>50</v>
      </c>
      <c r="G31" t="s">
        <v>53</v>
      </c>
    </row>
    <row r="32" spans="1:8" x14ac:dyDescent="0.3">
      <c r="A32" t="s">
        <v>54</v>
      </c>
      <c r="C32">
        <v>55</v>
      </c>
      <c r="D32">
        <v>55</v>
      </c>
      <c r="E32">
        <v>55</v>
      </c>
      <c r="F32">
        <v>55</v>
      </c>
    </row>
    <row r="33" spans="1:2" x14ac:dyDescent="0.3">
      <c r="A33" t="s">
        <v>55</v>
      </c>
    </row>
    <row r="34" spans="1:2" x14ac:dyDescent="0.3">
      <c r="A34" t="s">
        <v>56</v>
      </c>
    </row>
    <row r="36" spans="1:2" x14ac:dyDescent="0.3">
      <c r="A36" t="s">
        <v>57</v>
      </c>
      <c r="B36" t="s">
        <v>58</v>
      </c>
    </row>
    <row r="37" spans="1:2" x14ac:dyDescent="0.3">
      <c r="A37" t="s">
        <v>98</v>
      </c>
      <c r="B37" t="s">
        <v>99</v>
      </c>
    </row>
    <row r="38" spans="1:2" x14ac:dyDescent="0.3">
      <c r="A38" t="s">
        <v>100</v>
      </c>
      <c r="B38" s="1" t="s">
        <v>103</v>
      </c>
    </row>
    <row r="39" spans="1:2" x14ac:dyDescent="0.3">
      <c r="A39" t="s">
        <v>101</v>
      </c>
      <c r="B39" t="s">
        <v>102</v>
      </c>
    </row>
    <row r="40" spans="1:2" x14ac:dyDescent="0.3">
      <c r="A40" t="s">
        <v>59</v>
      </c>
      <c r="B40" t="s">
        <v>60</v>
      </c>
    </row>
    <row r="41" spans="1:2" x14ac:dyDescent="0.3">
      <c r="A41" t="s">
        <v>61</v>
      </c>
      <c r="B41" t="s">
        <v>62</v>
      </c>
    </row>
    <row r="42" spans="1:2" x14ac:dyDescent="0.3">
      <c r="A42" t="s">
        <v>63</v>
      </c>
    </row>
    <row r="43" spans="1:2" x14ac:dyDescent="0.3">
      <c r="A43" t="s">
        <v>64</v>
      </c>
      <c r="B43">
        <v>55</v>
      </c>
    </row>
    <row r="44" spans="1:2" x14ac:dyDescent="0.3">
      <c r="A44" t="s">
        <v>65</v>
      </c>
    </row>
    <row r="45" spans="1:2" x14ac:dyDescent="0.3">
      <c r="A45" t="s">
        <v>66</v>
      </c>
      <c r="B45">
        <v>120</v>
      </c>
    </row>
    <row r="46" spans="1:2" x14ac:dyDescent="0.3">
      <c r="A46" t="s">
        <v>67</v>
      </c>
      <c r="B46">
        <v>120</v>
      </c>
    </row>
    <row r="47" spans="1:2" x14ac:dyDescent="0.3">
      <c r="A47" t="s">
        <v>68</v>
      </c>
    </row>
    <row r="48" spans="1:2" x14ac:dyDescent="0.3">
      <c r="A48" t="s">
        <v>69</v>
      </c>
    </row>
    <row r="49" spans="1:2" x14ac:dyDescent="0.3">
      <c r="A49" t="s">
        <v>70</v>
      </c>
      <c r="B49">
        <v>142</v>
      </c>
    </row>
    <row r="50" spans="1:2" x14ac:dyDescent="0.3">
      <c r="A50" t="s">
        <v>71</v>
      </c>
      <c r="B50">
        <v>100</v>
      </c>
    </row>
    <row r="51" spans="1:2" x14ac:dyDescent="0.3">
      <c r="A51" t="s">
        <v>72</v>
      </c>
      <c r="B51" s="1" t="s">
        <v>106</v>
      </c>
    </row>
    <row r="52" spans="1:2" x14ac:dyDescent="0.3">
      <c r="A52" t="s">
        <v>73</v>
      </c>
    </row>
    <row r="53" spans="1:2" x14ac:dyDescent="0.3">
      <c r="A53" t="s">
        <v>74</v>
      </c>
      <c r="B53">
        <v>31.6</v>
      </c>
    </row>
    <row r="54" spans="1:2" x14ac:dyDescent="0.3">
      <c r="A54" t="s">
        <v>75</v>
      </c>
      <c r="B54" s="1" t="s">
        <v>96</v>
      </c>
    </row>
    <row r="55" spans="1:2" x14ac:dyDescent="0.3">
      <c r="A55" t="s">
        <v>76</v>
      </c>
    </row>
    <row r="56" spans="1:2" x14ac:dyDescent="0.3">
      <c r="A56" t="s">
        <v>77</v>
      </c>
    </row>
    <row r="57" spans="1:2" x14ac:dyDescent="0.3">
      <c r="A57" t="s">
        <v>78</v>
      </c>
    </row>
    <row r="58" spans="1:2" x14ac:dyDescent="0.3">
      <c r="A58" t="s">
        <v>79</v>
      </c>
      <c r="B58">
        <v>160</v>
      </c>
    </row>
    <row r="59" spans="1:2" x14ac:dyDescent="0.3">
      <c r="A59" t="s">
        <v>80</v>
      </c>
    </row>
    <row r="60" spans="1:2" x14ac:dyDescent="0.3">
      <c r="A60" t="s">
        <v>81</v>
      </c>
    </row>
    <row r="61" spans="1:2" x14ac:dyDescent="0.3">
      <c r="A61" t="s">
        <v>82</v>
      </c>
    </row>
    <row r="62" spans="1:2" x14ac:dyDescent="0.3">
      <c r="A62" t="s">
        <v>83</v>
      </c>
    </row>
    <row r="63" spans="1:2" x14ac:dyDescent="0.3">
      <c r="A63" t="s">
        <v>84</v>
      </c>
    </row>
    <row r="64" spans="1:2" x14ac:dyDescent="0.3">
      <c r="A64" t="s">
        <v>85</v>
      </c>
      <c r="B64">
        <v>1</v>
      </c>
    </row>
    <row r="65" spans="1:2" x14ac:dyDescent="0.3">
      <c r="A65" t="s">
        <v>86</v>
      </c>
      <c r="B65">
        <v>1</v>
      </c>
    </row>
    <row r="66" spans="1:2" x14ac:dyDescent="0.3">
      <c r="A66" t="s">
        <v>87</v>
      </c>
      <c r="B66">
        <v>1</v>
      </c>
    </row>
    <row r="67" spans="1:2" x14ac:dyDescent="0.3">
      <c r="A67" t="s">
        <v>88</v>
      </c>
    </row>
    <row r="68" spans="1:2" x14ac:dyDescent="0.3">
      <c r="A68" t="s">
        <v>89</v>
      </c>
    </row>
    <row r="69" spans="1:2" x14ac:dyDescent="0.3">
      <c r="A69" t="s">
        <v>90</v>
      </c>
    </row>
    <row r="70" spans="1:2" x14ac:dyDescent="0.3">
      <c r="A70" t="s">
        <v>91</v>
      </c>
    </row>
    <row r="71" spans="1:2" x14ac:dyDescent="0.3">
      <c r="A71" t="s">
        <v>92</v>
      </c>
      <c r="B71">
        <v>3300</v>
      </c>
    </row>
    <row r="72" spans="1:2" x14ac:dyDescent="0.3">
      <c r="A72" t="s">
        <v>93</v>
      </c>
      <c r="B72">
        <v>5800</v>
      </c>
    </row>
    <row r="73" spans="1:2" x14ac:dyDescent="0.3">
      <c r="A73" t="s">
        <v>94</v>
      </c>
    </row>
    <row r="74" spans="1:2" x14ac:dyDescent="0.3">
      <c r="A74" t="s">
        <v>95</v>
      </c>
      <c r="B74" s="1" t="s">
        <v>107</v>
      </c>
    </row>
    <row r="75" spans="1:2" x14ac:dyDescent="0.3">
      <c r="A75" t="s">
        <v>111</v>
      </c>
      <c r="B75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2025-10-17T13:14:29Z</dcterms:modified>
</cp:coreProperties>
</file>