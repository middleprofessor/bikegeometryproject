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9526CE8-36C1-C44C-867A-7109378DCA50}" xr6:coauthVersionLast="47" xr6:coauthVersionMax="47" xr10:uidLastSave="{00000000-0000-0000-0000-000000000000}"/>
  <bookViews>
    <workbookView xWindow="33380" yWindow="-24120" windowWidth="2452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C12" i="1"/>
  <c r="C10" i="1"/>
  <c r="C11" i="1"/>
  <c r="C13" i="1"/>
  <c r="C14" i="1"/>
  <c r="C9" i="1"/>
</calcChain>
</file>

<file path=xl/sharedStrings.xml><?xml version="1.0" encoding="utf-8"?>
<sst xmlns="http://schemas.openxmlformats.org/spreadsheetml/2006/main" count="116" uniqueCount="107">
  <si>
    <t>brand</t>
  </si>
  <si>
    <t>Wilier</t>
  </si>
  <si>
    <t>model</t>
  </si>
  <si>
    <t>model year</t>
  </si>
  <si>
    <t>2025</t>
  </si>
  <si>
    <t>input 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</si>
  <si>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</si>
  <si>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</si>
  <si>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</si>
  <si>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</si>
  <si>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</si>
  <si>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</si>
  <si>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</si>
  <si>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</si>
  <si>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</si>
  <si>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</si>
  <si>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</si>
  <si>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</si>
  <si>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</si>
  <si>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</si>
  <si>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</si>
  <si>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</si>
  <si>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</si>
  <si>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</si>
  <si>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</si>
  <si>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</si>
  <si>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</si>
  <si>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</si>
  <si>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</si>
  <si>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</si>
  <si>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</si>
  <si>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</si>
  <si>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</si>
  <si>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</si>
  <si>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</si>
  <si>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</si>
  <si>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</si>
  <si>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</si>
  <si>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</si>
  <si>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</si>
  <si>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</si>
  <si>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</si>
  <si>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</si>
  <si>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</si>
  <si>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</si>
  <si>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</si>
  <si>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</si>
  <si>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</si>
  <si>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</si>
  <si>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</si>
  <si>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</si>
  <si>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</si>
  <si>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</si>
  <si>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</si>
  <si>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</si>
  <si>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</si>
  <si>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</si>
  <si>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</si>
  <si>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</si>
  <si>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</si>
  <si>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</si>
  <si>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</si>
  <si>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</si>
  <si>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</si>
  <si>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</si>
  <si>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</si>
  <si>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</si>
  <si>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</si>
  <si>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</si>
  <si>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</si>
  <si>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</si>
  <si>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</si>
  <si>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</si>
  <si>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</si>
  <si>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</si>
  <si>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</si>
  <si>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</si>
  <si>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</si>
  <si>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</si>
  <si>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</si>
  <si>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</si>
  <si>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</si>
  <si>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</si>
  <si>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</si>
  <si>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</si>
  <si>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</si>
  <si>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</si>
  <si>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</si>
  <si>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</si>
  <si>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</si>
  <si>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</si>
  <si>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</si>
  <si>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</si>
  <si>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</si>
  <si>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</si>
  <si>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Rossano Veneto, Italy</t>
  </si>
  <si>
    <t>EUR</t>
  </si>
  <si>
    <t>carbon</t>
  </si>
  <si>
    <t>press fit</t>
  </si>
  <si>
    <t>Jena</t>
  </si>
  <si>
    <t>https://www.wilier.com/en/bikes/gravel/jena?color=j28-black-grey</t>
  </si>
  <si>
    <t>https://wilier-cdn.thron.com/delivery/public/image/wilier/430133aa-0020-44a9-98c2-e647512a2370/k3prwy/std/5040x3078/_j28_1?scalemode=product&amp;format=webp</t>
  </si>
  <si>
    <t>geometry geeks</t>
  </si>
  <si>
    <t>a8:g33</t>
  </si>
  <si>
    <t>https://bikeinsights.com/bikes/5e134a7e61f091001796de41-wilier-triestina-jena</t>
  </si>
  <si>
    <t>fiji estimate</t>
  </si>
  <si>
    <t>43.7fiji estimate41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</si>
</sst>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000000"/>
      <name val="Futur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zoomScale="93" workbookViewId="0">
      <selection activeCell="G24" sqref="G24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1" t="s">
        <v>99</v>
      </c>
    </row>
    <row r="3" spans="1:13" x14ac:dyDescent="0.3">
      <c r="A3" t="s">
        <v>3</v>
      </c>
      <c r="B3" t="s">
        <v>4</v>
      </c>
    </row>
    <row r="4" spans="1:13" x14ac:dyDescent="0.3">
      <c r="A4" t="s">
        <v>5</v>
      </c>
      <c r="B4" s="2">
        <v>45950</v>
      </c>
    </row>
    <row r="5" spans="1:13" x14ac:dyDescent="0.3">
      <c r="A5" t="s">
        <v>6</v>
      </c>
      <c r="B5" t="s">
        <v>100</v>
      </c>
    </row>
    <row r="6" spans="1:13" x14ac:dyDescent="0.3">
      <c r="B6" t="s">
        <v>101</v>
      </c>
    </row>
    <row r="7" spans="1:13" x14ac:dyDescent="0.3">
      <c r="A7" t="s">
        <v>7</v>
      </c>
      <c r="B7" s="1" t="s">
        <v>103</v>
      </c>
    </row>
    <row r="8" spans="1:13" x14ac:dyDescent="0.3">
      <c r="A8" t="s">
        <v>8</v>
      </c>
      <c r="B8" s="1" t="s">
        <v>9</v>
      </c>
      <c r="C8" s="1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13" x14ac:dyDescent="0.3">
      <c r="A9" t="s">
        <v>15</v>
      </c>
      <c r="B9" t="s">
        <v>16</v>
      </c>
      <c r="C9">
        <f>I9*10</f>
        <v>380</v>
      </c>
      <c r="D9">
        <f t="shared" ref="D9:G11" si="0">J9*10</f>
        <v>410</v>
      </c>
      <c r="E9">
        <f t="shared" si="0"/>
        <v>440</v>
      </c>
      <c r="F9">
        <f t="shared" si="0"/>
        <v>470</v>
      </c>
      <c r="G9">
        <f t="shared" si="0"/>
        <v>510</v>
      </c>
      <c r="I9">
        <v>38</v>
      </c>
      <c r="J9">
        <v>41</v>
      </c>
      <c r="K9">
        <v>44</v>
      </c>
      <c r="L9">
        <v>47</v>
      </c>
      <c r="M9">
        <v>51</v>
      </c>
    </row>
    <row r="10" spans="1:13" x14ac:dyDescent="0.3">
      <c r="A10" t="s">
        <v>17</v>
      </c>
      <c r="B10" t="s">
        <v>18</v>
      </c>
      <c r="C10">
        <f t="shared" ref="C10:C14" si="1">I10*10</f>
        <v>508</v>
      </c>
      <c r="D10">
        <f t="shared" si="0"/>
        <v>531</v>
      </c>
      <c r="E10">
        <f t="shared" si="0"/>
        <v>554</v>
      </c>
      <c r="F10">
        <f t="shared" si="0"/>
        <v>577</v>
      </c>
      <c r="G10">
        <f t="shared" si="0"/>
        <v>600</v>
      </c>
      <c r="I10">
        <v>50.8</v>
      </c>
      <c r="J10">
        <v>53.1</v>
      </c>
      <c r="K10">
        <v>55.4</v>
      </c>
      <c r="L10">
        <v>57.7</v>
      </c>
      <c r="M10">
        <v>60</v>
      </c>
    </row>
    <row r="11" spans="1:13" x14ac:dyDescent="0.3">
      <c r="A11" t="s">
        <v>19</v>
      </c>
      <c r="B11" t="s">
        <v>20</v>
      </c>
      <c r="C11">
        <f t="shared" si="1"/>
        <v>440</v>
      </c>
      <c r="D11">
        <f t="shared" si="0"/>
        <v>470</v>
      </c>
      <c r="E11">
        <f t="shared" si="0"/>
        <v>500</v>
      </c>
      <c r="F11">
        <f t="shared" si="0"/>
        <v>530</v>
      </c>
      <c r="G11">
        <f t="shared" si="0"/>
        <v>570</v>
      </c>
      <c r="I11">
        <v>44</v>
      </c>
      <c r="J11">
        <v>47</v>
      </c>
      <c r="K11">
        <v>50</v>
      </c>
      <c r="L11">
        <v>53</v>
      </c>
      <c r="M11">
        <v>57</v>
      </c>
    </row>
    <row r="12" spans="1:13" x14ac:dyDescent="0.3">
      <c r="A12" t="s">
        <v>21</v>
      </c>
      <c r="B12" t="s">
        <v>22</v>
      </c>
      <c r="C12">
        <f>I12</f>
        <v>75</v>
      </c>
      <c r="D12">
        <f t="shared" ref="D12:G12" si="2">J12</f>
        <v>74.3</v>
      </c>
      <c r="E12">
        <f t="shared" si="2"/>
        <v>73.7</v>
      </c>
      <c r="F12">
        <f t="shared" si="2"/>
        <v>73.099999999999994</v>
      </c>
      <c r="G12">
        <f t="shared" si="2"/>
        <v>72.599999999999994</v>
      </c>
      <c r="I12">
        <v>75</v>
      </c>
      <c r="J12">
        <v>74.3</v>
      </c>
      <c r="K12">
        <v>73.7</v>
      </c>
      <c r="L12">
        <v>73.099999999999994</v>
      </c>
      <c r="M12">
        <v>72.599999999999994</v>
      </c>
    </row>
    <row r="13" spans="1:13" x14ac:dyDescent="0.3">
      <c r="A13" t="s">
        <v>23</v>
      </c>
      <c r="B13" t="s">
        <v>24</v>
      </c>
      <c r="C13">
        <f t="shared" si="1"/>
        <v>423</v>
      </c>
      <c r="D13">
        <f t="shared" ref="D13:D14" si="3">J13*10</f>
        <v>423</v>
      </c>
      <c r="E13">
        <f t="shared" ref="E13:E14" si="4">K13*10</f>
        <v>423</v>
      </c>
      <c r="F13">
        <f t="shared" ref="F13:F14" si="5">L13*10</f>
        <v>423</v>
      </c>
      <c r="G13">
        <f t="shared" ref="G13:G14" si="6">M13*10</f>
        <v>423</v>
      </c>
      <c r="I13">
        <v>42.3</v>
      </c>
      <c r="J13">
        <v>42.3</v>
      </c>
      <c r="K13">
        <v>42.3</v>
      </c>
      <c r="L13">
        <v>42.3</v>
      </c>
      <c r="M13">
        <v>42.3</v>
      </c>
    </row>
    <row r="14" spans="1:13" x14ac:dyDescent="0.3">
      <c r="A14" t="s">
        <v>25</v>
      </c>
      <c r="B14" t="s">
        <v>26</v>
      </c>
      <c r="C14">
        <f t="shared" si="1"/>
        <v>100</v>
      </c>
      <c r="D14">
        <f t="shared" si="3"/>
        <v>125</v>
      </c>
      <c r="E14">
        <f t="shared" si="4"/>
        <v>150</v>
      </c>
      <c r="F14">
        <f t="shared" si="5"/>
        <v>175</v>
      </c>
      <c r="G14">
        <f t="shared" si="6"/>
        <v>200</v>
      </c>
      <c r="I14">
        <v>10</v>
      </c>
      <c r="J14">
        <v>12.5</v>
      </c>
      <c r="K14">
        <v>15</v>
      </c>
      <c r="L14">
        <v>17.5</v>
      </c>
      <c r="M14">
        <v>20</v>
      </c>
    </row>
    <row r="15" spans="1:13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  <c r="G15">
        <v>70</v>
      </c>
      <c r="I15">
        <v>70</v>
      </c>
      <c r="J15">
        <v>70.5</v>
      </c>
      <c r="K15">
        <v>71</v>
      </c>
      <c r="L15">
        <v>71.5</v>
      </c>
      <c r="M15">
        <v>72</v>
      </c>
    </row>
    <row r="16" spans="1:13" x14ac:dyDescent="0.3">
      <c r="A16" t="s">
        <v>29</v>
      </c>
      <c r="B16" t="s">
        <v>30</v>
      </c>
      <c r="C16">
        <v>395</v>
      </c>
      <c r="D16">
        <v>404</v>
      </c>
      <c r="E16">
        <v>413</v>
      </c>
      <c r="F16">
        <v>422</v>
      </c>
      <c r="G16">
        <v>431</v>
      </c>
      <c r="I16">
        <v>363</v>
      </c>
      <c r="J16">
        <v>372</v>
      </c>
      <c r="K16">
        <v>382</v>
      </c>
      <c r="L16">
        <v>391</v>
      </c>
      <c r="M16">
        <v>401</v>
      </c>
    </row>
    <row r="17" spans="1:13" x14ac:dyDescent="0.3">
      <c r="A17" t="s">
        <v>31</v>
      </c>
      <c r="B17" t="s">
        <v>32</v>
      </c>
      <c r="C17">
        <v>538</v>
      </c>
      <c r="D17">
        <v>562</v>
      </c>
      <c r="E17">
        <v>586</v>
      </c>
      <c r="F17">
        <v>610</v>
      </c>
      <c r="G17">
        <v>634</v>
      </c>
      <c r="I17">
        <v>531</v>
      </c>
      <c r="J17">
        <v>556</v>
      </c>
      <c r="K17">
        <v>582</v>
      </c>
      <c r="L17">
        <v>608</v>
      </c>
      <c r="M17">
        <v>633</v>
      </c>
    </row>
    <row r="18" spans="1:13" x14ac:dyDescent="0.3">
      <c r="A18" t="s">
        <v>33</v>
      </c>
      <c r="B18" t="s">
        <v>34</v>
      </c>
      <c r="C18" s="3">
        <v>995</v>
      </c>
      <c r="D18" s="3">
        <v>1009</v>
      </c>
      <c r="E18" s="3">
        <v>1023</v>
      </c>
      <c r="F18" s="3">
        <v>1036</v>
      </c>
      <c r="G18" s="3">
        <v>1048</v>
      </c>
      <c r="H18" s="1" t="s">
        <v>102</v>
      </c>
      <c r="I18" s="1"/>
    </row>
    <row r="19" spans="1:13" x14ac:dyDescent="0.3">
      <c r="A19" t="s">
        <v>35</v>
      </c>
      <c r="C19">
        <v>70</v>
      </c>
      <c r="D19">
        <v>70</v>
      </c>
      <c r="E19">
        <v>70</v>
      </c>
      <c r="F19">
        <v>70</v>
      </c>
      <c r="G19">
        <v>70</v>
      </c>
      <c r="H19" t="s">
        <v>104</v>
      </c>
      <c r="I19" s="1"/>
    </row>
    <row r="20" spans="1:13" x14ac:dyDescent="0.3">
      <c r="A20" t="s">
        <v>37</v>
      </c>
    </row>
    <row r="21" spans="1:13" x14ac:dyDescent="0.3">
      <c r="A21" t="s">
        <v>36</v>
      </c>
      <c r="C21" s="1">
        <v>44</v>
      </c>
      <c r="D21" s="1">
        <v>44</v>
      </c>
      <c r="E21" s="1">
        <v>44</v>
      </c>
      <c r="F21" s="1">
        <v>44</v>
      </c>
      <c r="G21" s="1">
        <v>44</v>
      </c>
      <c r="H21" s="1" t="s">
        <v>105</v>
      </c>
      <c r="I21">
        <v>41.738999999999997</v>
      </c>
      <c r="J21">
        <v>36.651000000000003</v>
      </c>
      <c r="K21">
        <v>51.341000000000001</v>
      </c>
      <c r="L21">
        <v>47.198</v>
      </c>
      <c r="M21" s="4" t="s">
        <v>106</v>
      </c>
    </row>
    <row r="22" spans="1:13" x14ac:dyDescent="0.3">
      <c r="A22" t="s">
        <v>38</v>
      </c>
      <c r="C22" s="1">
        <v>400</v>
      </c>
      <c r="D22" s="1">
        <v>400</v>
      </c>
      <c r="E22" s="1">
        <v>400</v>
      </c>
      <c r="F22" s="1">
        <v>400</v>
      </c>
      <c r="G22" s="1">
        <v>400</v>
      </c>
      <c r="H22" s="1" t="s">
        <v>105</v>
      </c>
      <c r="I22" s="1">
        <v>401.65899999999999</v>
      </c>
      <c r="J22" s="1">
        <v>402.875</v>
      </c>
      <c r="K22">
        <v>399.596</v>
      </c>
    </row>
    <row r="23" spans="1:13" x14ac:dyDescent="0.3">
      <c r="A23" t="s">
        <v>39</v>
      </c>
    </row>
    <row r="24" spans="1:13" x14ac:dyDescent="0.3">
      <c r="A24" t="s">
        <v>40</v>
      </c>
    </row>
    <row r="25" spans="1:13" x14ac:dyDescent="0.3">
      <c r="A25" t="s">
        <v>41</v>
      </c>
    </row>
    <row r="26" spans="1:13" x14ac:dyDescent="0.3">
      <c r="A26" t="s">
        <v>42</v>
      </c>
    </row>
    <row r="27" spans="1:13" x14ac:dyDescent="0.3">
      <c r="A27" t="s">
        <v>43</v>
      </c>
    </row>
    <row r="28" spans="1:13" x14ac:dyDescent="0.3">
      <c r="A28" t="s">
        <v>44</v>
      </c>
      <c r="E28">
        <v>995</v>
      </c>
    </row>
    <row r="29" spans="1:13" x14ac:dyDescent="0.3">
      <c r="A29" t="s">
        <v>45</v>
      </c>
      <c r="B29" t="s">
        <v>45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3" x14ac:dyDescent="0.3">
      <c r="A30" t="s">
        <v>46</v>
      </c>
      <c r="B30" t="s">
        <v>46</v>
      </c>
      <c r="C30">
        <v>40</v>
      </c>
      <c r="D30">
        <v>40</v>
      </c>
      <c r="E30">
        <v>40</v>
      </c>
      <c r="F30">
        <v>40</v>
      </c>
      <c r="G30">
        <v>40</v>
      </c>
      <c r="H30" s="1"/>
    </row>
    <row r="31" spans="1:13" x14ac:dyDescent="0.3">
      <c r="A31" t="s">
        <v>47</v>
      </c>
      <c r="B31" t="s">
        <v>47</v>
      </c>
      <c r="C31">
        <v>44</v>
      </c>
      <c r="D31">
        <v>44</v>
      </c>
      <c r="E31">
        <v>44</v>
      </c>
      <c r="F31">
        <v>44</v>
      </c>
      <c r="G31">
        <v>44</v>
      </c>
      <c r="H31" s="1"/>
    </row>
    <row r="32" spans="1:13" x14ac:dyDescent="0.3">
      <c r="A32" t="s">
        <v>48</v>
      </c>
      <c r="B32" t="s">
        <v>48</v>
      </c>
    </row>
    <row r="33" spans="1:2" x14ac:dyDescent="0.3">
      <c r="A33" t="s">
        <v>49</v>
      </c>
      <c r="B33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88</v>
      </c>
      <c r="B36" t="s">
        <v>89</v>
      </c>
    </row>
    <row r="37" spans="1:2" x14ac:dyDescent="0.3">
      <c r="A37" t="s">
        <v>90</v>
      </c>
      <c r="B37" t="s">
        <v>91</v>
      </c>
    </row>
    <row r="38" spans="1:2" x14ac:dyDescent="0.3">
      <c r="A38" t="s">
        <v>92</v>
      </c>
      <c r="B38" t="s">
        <v>93</v>
      </c>
    </row>
    <row r="39" spans="1:2" x14ac:dyDescent="0.3">
      <c r="A39" t="s">
        <v>52</v>
      </c>
      <c r="B39" s="1" t="s">
        <v>97</v>
      </c>
    </row>
    <row r="40" spans="1:2" x14ac:dyDescent="0.3">
      <c r="A40" t="s">
        <v>53</v>
      </c>
      <c r="B40" s="1"/>
    </row>
    <row r="41" spans="1:2" x14ac:dyDescent="0.3">
      <c r="A41" t="s">
        <v>55</v>
      </c>
    </row>
    <row r="42" spans="1:2" x14ac:dyDescent="0.3">
      <c r="A42" t="s">
        <v>56</v>
      </c>
      <c r="B42">
        <v>44</v>
      </c>
    </row>
    <row r="43" spans="1:2" x14ac:dyDescent="0.3">
      <c r="A43" t="s">
        <v>57</v>
      </c>
      <c r="B43">
        <v>48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  <c r="B48">
        <v>142</v>
      </c>
    </row>
    <row r="49" spans="1:2" x14ac:dyDescent="0.3">
      <c r="A49" t="s">
        <v>63</v>
      </c>
      <c r="B49">
        <v>100</v>
      </c>
    </row>
    <row r="50" spans="1:2" x14ac:dyDescent="0.3">
      <c r="A50" t="s">
        <v>64</v>
      </c>
      <c r="B50" s="1" t="s">
        <v>98</v>
      </c>
    </row>
    <row r="51" spans="1:2" x14ac:dyDescent="0.3">
      <c r="A51" t="s">
        <v>65</v>
      </c>
    </row>
    <row r="52" spans="1:2" x14ac:dyDescent="0.3">
      <c r="A52" t="s">
        <v>66</v>
      </c>
      <c r="B52">
        <v>27.2</v>
      </c>
    </row>
    <row r="53" spans="1:2" x14ac:dyDescent="0.3">
      <c r="A53" t="s">
        <v>67</v>
      </c>
      <c r="B53" s="1" t="s">
        <v>54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  <c r="B57">
        <v>160</v>
      </c>
    </row>
    <row r="58" spans="1:2" x14ac:dyDescent="0.3">
      <c r="A58" t="s">
        <v>72</v>
      </c>
    </row>
    <row r="59" spans="1:2" x14ac:dyDescent="0.3">
      <c r="A59" t="s">
        <v>73</v>
      </c>
      <c r="B59" s="1"/>
    </row>
    <row r="60" spans="1:2" x14ac:dyDescent="0.3">
      <c r="A60" t="s">
        <v>74</v>
      </c>
      <c r="B60" s="1"/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  <c r="B63">
        <v>2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  <c r="B66">
        <v>3</v>
      </c>
    </row>
    <row r="67" spans="1:2" x14ac:dyDescent="0.3">
      <c r="A67" t="s">
        <v>81</v>
      </c>
      <c r="B67" s="1" t="s">
        <v>54</v>
      </c>
    </row>
    <row r="68" spans="1:2" x14ac:dyDescent="0.3">
      <c r="A68" t="s">
        <v>82</v>
      </c>
      <c r="B68" s="1" t="s">
        <v>54</v>
      </c>
    </row>
    <row r="69" spans="1:2" x14ac:dyDescent="0.3">
      <c r="A69" t="s">
        <v>83</v>
      </c>
      <c r="B69" s="1" t="s">
        <v>54</v>
      </c>
    </row>
    <row r="70" spans="1:2" x14ac:dyDescent="0.3">
      <c r="A70" t="s">
        <v>84</v>
      </c>
    </row>
    <row r="71" spans="1:2" x14ac:dyDescent="0.3">
      <c r="A71" t="s">
        <v>85</v>
      </c>
      <c r="B71">
        <v>2700</v>
      </c>
    </row>
    <row r="72" spans="1:2" x14ac:dyDescent="0.3">
      <c r="A72" t="s">
        <v>86</v>
      </c>
    </row>
    <row r="73" spans="1:2" x14ac:dyDescent="0.3">
      <c r="A73" t="s">
        <v>87</v>
      </c>
      <c r="B73" s="1" t="s">
        <v>96</v>
      </c>
    </row>
    <row r="74" spans="1:2" x14ac:dyDescent="0.3">
      <c r="A74" t="s">
        <v>94</v>
      </c>
      <c r="B74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2025-10-28T12:28:25Z</dcterms:modified>
</cp:coreProperties>
</file>