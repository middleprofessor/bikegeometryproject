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3F91E9D-DE3D-254E-A246-825FFA25BCE3}" xr6:coauthVersionLast="47" xr6:coauthVersionMax="47" xr10:uidLastSave="{00000000-0000-0000-0000-000000000000}"/>
  <bookViews>
    <workbookView xWindow="0" yWindow="860" windowWidth="288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1" i="1"/>
  <c r="B42" i="1"/>
  <c r="F29" i="1"/>
  <c r="G29" i="1"/>
  <c r="H29" i="1"/>
  <c r="I29" i="1"/>
  <c r="E29" i="1"/>
  <c r="D29" i="1"/>
  <c r="C29" i="1"/>
  <c r="F30" i="1"/>
  <c r="G30" i="1"/>
  <c r="H30" i="1"/>
  <c r="I30" i="1"/>
  <c r="E30" i="1"/>
  <c r="D30" i="1"/>
  <c r="C30" i="1"/>
  <c r="D28" i="1"/>
  <c r="E28" i="1"/>
  <c r="F28" i="1"/>
  <c r="G28" i="1"/>
  <c r="H28" i="1"/>
  <c r="I28" i="1"/>
  <c r="C28" i="1"/>
</calcChain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<sst xmlns="http://schemas.openxmlformats.org/spreadsheetml/2006/main" count="105" uniqueCount="99">
  <si>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</si>
  <si>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</si>
  <si>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</si>
  <si>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</si>
  <si>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</si>
  <si>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</si>
  <si>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</si>
  <si>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</si>
  <si>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</si>
  <si>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</si>
  <si>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</si>
  <si>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</si>
  <si>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</si>
  <si>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</si>
  <si>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</si>
  <si>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</si>
  <si>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</si>
  <si>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</si>
  <si>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</si>
  <si>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</si>
  <si>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</si>
  <si>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</si>
  <si>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</si>
  <si>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</si>
  <si>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</si>
  <si>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</si>
  <si>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</si>
  <si>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</si>
  <si>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</si>
  <si>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</si>
  <si>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</si>
  <si>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</si>
  <si>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</si>
  <si>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</si>
  <si>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</si>
  <si>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</si>
  <si>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</si>
  <si>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</si>
  <si>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</si>
  <si>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</si>
  <si>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</si>
  <si>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</si>
  <si>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</si>
  <si>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</si>
  <si>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</si>
  <si>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</si>
  <si>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</si>
  <si>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</si>
  <si>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</si>
  <si>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</si>
  <si>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</si>
  <si>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</si>
  <si>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</si>
  <si>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</si>
  <si>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</si>
  <si>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</si>
  <si>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</si>
  <si>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</si>
  <si>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</si>
  <si>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</si>
  <si>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</si>
  <si>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</si>
  <si>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</si>
  <si>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</si>
  <si>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</si>
  <si>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</si>
  <si>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</si>
  <si>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</si>
  <si>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</si>
  <si>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</si>
  <si>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</si>
  <si>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</si>
  <si>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Size (Virtual)</t>
  </si>
  <si>
    <t>Seat Tube (C-T)</t>
  </si>
  <si>
    <t>Top Tube, Effective (C-C)</t>
  </si>
  <si>
    <t>Head Tube Angle</t>
  </si>
  <si>
    <t>Seat Tube Angle</t>
  </si>
  <si>
    <t>Chainstay Length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</si>
  <si>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</si>
  <si>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</si>
  <si>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</si>
  <si>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</si>
  <si>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</si>
  <si>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</si>
  <si>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</si>
  <si>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</si>
  <si>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MTB Tire Fit</t>
  </si>
  <si>
    <t>https://www.somafab.com/archives/product/jawbone-frame-a-type</t>
  </si>
  <si>
    <t>front_center</t>
  </si>
  <si>
    <t>mtb_tire_fit</t>
  </si>
  <si>
    <t>steel</t>
  </si>
  <si>
    <t>USD</t>
  </si>
  <si>
    <t>yes</t>
  </si>
  <si>
    <t>a8:i32</t>
  </si>
  <si>
    <t>Jawbone Type A</t>
  </si>
  <si>
    <t>axle_crown</t>
  </si>
  <si>
    <t>https://www.somafab.com/wp-content/uploads/2022/10/jawbone_a_profile_web-370x300.jpg</t>
  </si>
  <si>
    <t>location</t>
  </si>
  <si>
    <t>South San Francisco,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</si>
</sst>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55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71</v>
      </c>
    </row>
    <row r="2" spans="1:17" x14ac:dyDescent="0.3">
      <c r="A2" t="s">
        <v>1</v>
      </c>
      <c r="B2" s="1" t="s">
        <v>94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87</v>
      </c>
    </row>
    <row r="6" spans="1:17" x14ac:dyDescent="0.3">
      <c r="B6" t="s">
        <v>96</v>
      </c>
    </row>
    <row r="7" spans="1:17" x14ac:dyDescent="0.3">
      <c r="A7" t="s">
        <v>5</v>
      </c>
      <c r="B7" s="1" t="s">
        <v>93</v>
      </c>
    </row>
    <row r="8" spans="1:17" x14ac:dyDescent="0.3">
      <c r="A8" t="s">
        <v>6</v>
      </c>
      <c r="B8" t="s">
        <v>72</v>
      </c>
      <c r="C8">
        <v>50</v>
      </c>
      <c r="D8">
        <v>52</v>
      </c>
      <c r="E8">
        <v>54</v>
      </c>
      <c r="F8">
        <v>56</v>
      </c>
      <c r="G8">
        <v>58</v>
      </c>
      <c r="H8">
        <v>61</v>
      </c>
      <c r="I8">
        <v>64</v>
      </c>
    </row>
    <row r="9" spans="1:17" x14ac:dyDescent="0.3">
      <c r="A9" t="s">
        <v>15</v>
      </c>
      <c r="B9" t="s">
        <v>73</v>
      </c>
      <c r="C9">
        <v>420</v>
      </c>
      <c r="D9">
        <v>450</v>
      </c>
      <c r="E9">
        <v>490</v>
      </c>
      <c r="F9">
        <v>525</v>
      </c>
      <c r="G9">
        <v>545</v>
      </c>
      <c r="H9" s="1">
        <v>580</v>
      </c>
      <c r="I9">
        <v>625</v>
      </c>
      <c r="N9" s="1"/>
      <c r="Q9" s="1"/>
    </row>
    <row r="10" spans="1:17" x14ac:dyDescent="0.3">
      <c r="A10" t="s">
        <v>16</v>
      </c>
      <c r="B10" t="s">
        <v>74</v>
      </c>
      <c r="C10">
        <v>523</v>
      </c>
      <c r="D10">
        <v>539</v>
      </c>
      <c r="E10">
        <v>553</v>
      </c>
      <c r="F10">
        <v>569</v>
      </c>
      <c r="G10">
        <v>583</v>
      </c>
      <c r="H10" s="1">
        <v>600</v>
      </c>
      <c r="I10">
        <v>628</v>
      </c>
      <c r="N10" s="1"/>
    </row>
    <row r="11" spans="1:17" x14ac:dyDescent="0.3">
      <c r="A11" t="s">
        <v>9</v>
      </c>
      <c r="B11" t="s">
        <v>75</v>
      </c>
      <c r="C11">
        <v>70</v>
      </c>
      <c r="D11">
        <v>70.5</v>
      </c>
      <c r="E11">
        <v>70.5</v>
      </c>
      <c r="F11">
        <v>70.5</v>
      </c>
      <c r="G11">
        <v>71</v>
      </c>
      <c r="H11" s="1">
        <v>71.5</v>
      </c>
      <c r="I11">
        <v>71.5</v>
      </c>
      <c r="N11" s="1"/>
      <c r="Q11" s="1"/>
    </row>
    <row r="12" spans="1:17" x14ac:dyDescent="0.3">
      <c r="A12" t="s">
        <v>13</v>
      </c>
      <c r="B12" t="s">
        <v>76</v>
      </c>
      <c r="C12">
        <v>74</v>
      </c>
      <c r="D12">
        <v>73.8</v>
      </c>
      <c r="E12">
        <v>73.5</v>
      </c>
      <c r="F12">
        <v>73</v>
      </c>
      <c r="G12">
        <v>73</v>
      </c>
      <c r="H12" s="1">
        <v>73</v>
      </c>
      <c r="I12">
        <v>72.5</v>
      </c>
      <c r="N12" s="1"/>
    </row>
    <row r="13" spans="1:17" x14ac:dyDescent="0.3">
      <c r="A13" t="s">
        <v>12</v>
      </c>
      <c r="B13" t="s">
        <v>77</v>
      </c>
      <c r="C13">
        <v>445</v>
      </c>
      <c r="D13">
        <v>445</v>
      </c>
      <c r="E13">
        <v>445</v>
      </c>
      <c r="F13">
        <v>445</v>
      </c>
      <c r="G13">
        <v>445</v>
      </c>
      <c r="H13" s="1">
        <v>445</v>
      </c>
      <c r="I13">
        <v>445</v>
      </c>
      <c r="N13" s="1"/>
      <c r="Q13" s="1"/>
    </row>
    <row r="14" spans="1:17" x14ac:dyDescent="0.3">
      <c r="A14" t="s">
        <v>14</v>
      </c>
      <c r="B14" t="s">
        <v>78</v>
      </c>
      <c r="C14">
        <v>130</v>
      </c>
      <c r="D14">
        <v>142</v>
      </c>
      <c r="E14">
        <v>155</v>
      </c>
      <c r="F14">
        <v>185</v>
      </c>
      <c r="G14">
        <v>200</v>
      </c>
      <c r="H14" s="1">
        <v>210</v>
      </c>
      <c r="I14" s="1">
        <v>240</v>
      </c>
      <c r="J14" s="1"/>
      <c r="K14" s="1"/>
      <c r="L14" s="1"/>
      <c r="N14" s="1"/>
    </row>
    <row r="15" spans="1:17" x14ac:dyDescent="0.3">
      <c r="A15" t="s">
        <v>10</v>
      </c>
      <c r="B15" t="s">
        <v>79</v>
      </c>
      <c r="C15">
        <v>66</v>
      </c>
      <c r="D15">
        <v>66</v>
      </c>
      <c r="E15">
        <v>72</v>
      </c>
      <c r="F15">
        <v>72</v>
      </c>
      <c r="G15">
        <v>72</v>
      </c>
      <c r="H15">
        <v>72</v>
      </c>
      <c r="I15">
        <v>72</v>
      </c>
      <c r="N15" s="1"/>
      <c r="Q15" s="1"/>
    </row>
    <row r="16" spans="1:17" x14ac:dyDescent="0.3">
      <c r="A16" t="s">
        <v>18</v>
      </c>
      <c r="B16" t="s">
        <v>80</v>
      </c>
      <c r="C16" s="3">
        <v>738</v>
      </c>
      <c r="D16" s="3">
        <v>758</v>
      </c>
      <c r="E16" s="3">
        <v>804</v>
      </c>
      <c r="F16" s="3">
        <v>827</v>
      </c>
      <c r="G16" s="1">
        <v>844</v>
      </c>
      <c r="H16" s="1">
        <v>864</v>
      </c>
      <c r="I16">
        <v>890</v>
      </c>
      <c r="N16" s="1"/>
    </row>
    <row r="17" spans="1:17" x14ac:dyDescent="0.3">
      <c r="A17" s="1" t="s">
        <v>88</v>
      </c>
      <c r="B17" t="s">
        <v>81</v>
      </c>
      <c r="C17" s="3">
        <v>600</v>
      </c>
      <c r="D17" s="3">
        <v>608</v>
      </c>
      <c r="E17" s="3">
        <v>619</v>
      </c>
      <c r="F17" s="3">
        <v>633</v>
      </c>
      <c r="G17">
        <v>640</v>
      </c>
      <c r="H17" s="1">
        <v>660</v>
      </c>
      <c r="I17">
        <v>675</v>
      </c>
      <c r="N17" s="1"/>
      <c r="O17" s="1"/>
      <c r="Q17" s="1"/>
    </row>
    <row r="18" spans="1:17" x14ac:dyDescent="0.3">
      <c r="A18" t="s">
        <v>11</v>
      </c>
      <c r="B18" t="s">
        <v>82</v>
      </c>
      <c r="C18">
        <v>1036</v>
      </c>
      <c r="D18">
        <v>1042</v>
      </c>
      <c r="E18">
        <v>1056</v>
      </c>
      <c r="F18">
        <v>1066</v>
      </c>
      <c r="G18" s="1">
        <v>1074</v>
      </c>
      <c r="H18" s="1">
        <v>1088</v>
      </c>
      <c r="I18">
        <v>1112</v>
      </c>
      <c r="N18" s="1"/>
      <c r="O18" s="1"/>
      <c r="Q18" s="1"/>
    </row>
    <row r="19" spans="1:17" x14ac:dyDescent="0.3">
      <c r="A19" t="s">
        <v>8</v>
      </c>
      <c r="B19" t="s">
        <v>83</v>
      </c>
      <c r="C19">
        <v>563</v>
      </c>
      <c r="D19">
        <v>582</v>
      </c>
      <c r="E19">
        <v>594</v>
      </c>
      <c r="F19">
        <v>623</v>
      </c>
      <c r="G19">
        <v>637</v>
      </c>
      <c r="H19" s="1">
        <v>652</v>
      </c>
      <c r="I19">
        <v>673</v>
      </c>
      <c r="N19" s="1"/>
    </row>
    <row r="20" spans="1:17" x14ac:dyDescent="0.3">
      <c r="A20" t="s">
        <v>7</v>
      </c>
      <c r="B20" t="s">
        <v>84</v>
      </c>
      <c r="C20">
        <v>361</v>
      </c>
      <c r="D20">
        <v>369</v>
      </c>
      <c r="E20">
        <v>377</v>
      </c>
      <c r="F20">
        <v>379</v>
      </c>
      <c r="G20" s="1">
        <v>388</v>
      </c>
      <c r="H20" s="1">
        <v>401</v>
      </c>
      <c r="I20">
        <v>416</v>
      </c>
      <c r="N20" s="1"/>
      <c r="Q20" s="1"/>
    </row>
    <row r="21" spans="1:17" x14ac:dyDescent="0.3">
      <c r="A21" t="s">
        <v>17</v>
      </c>
      <c r="B21" t="s">
        <v>85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N21" s="1"/>
      <c r="O21" s="4"/>
      <c r="Q21" s="1"/>
    </row>
    <row r="22" spans="1:17" x14ac:dyDescent="0.3">
      <c r="A22" s="1" t="s">
        <v>89</v>
      </c>
      <c r="B22" t="s">
        <v>86</v>
      </c>
      <c r="C22">
        <v>650</v>
      </c>
      <c r="D22">
        <v>650</v>
      </c>
      <c r="E22">
        <v>700</v>
      </c>
      <c r="F22">
        <v>700</v>
      </c>
      <c r="G22">
        <v>700</v>
      </c>
      <c r="H22">
        <v>700</v>
      </c>
      <c r="I22">
        <v>700</v>
      </c>
      <c r="M22" s="1"/>
      <c r="N22" s="1"/>
    </row>
    <row r="23" spans="1:17" x14ac:dyDescent="0.3">
      <c r="A23" s="1" t="s">
        <v>95</v>
      </c>
      <c r="C23">
        <v>420</v>
      </c>
      <c r="D23">
        <v>420</v>
      </c>
      <c r="E23">
        <v>420</v>
      </c>
      <c r="F23">
        <v>420</v>
      </c>
      <c r="G23">
        <v>420</v>
      </c>
      <c r="H23">
        <v>420</v>
      </c>
      <c r="I23">
        <v>420</v>
      </c>
      <c r="M23" s="1"/>
      <c r="N23" s="1"/>
    </row>
    <row r="24" spans="1:17" x14ac:dyDescent="0.3">
      <c r="A24" t="s">
        <v>19</v>
      </c>
      <c r="M24" s="1"/>
      <c r="N24" s="1"/>
      <c r="Q24" s="1"/>
    </row>
    <row r="25" spans="1:17" x14ac:dyDescent="0.3">
      <c r="A25" t="s">
        <v>20</v>
      </c>
      <c r="H25" s="1"/>
      <c r="N25" s="1"/>
    </row>
    <row r="26" spans="1:17" x14ac:dyDescent="0.3">
      <c r="A26" t="s">
        <v>21</v>
      </c>
      <c r="H26" s="1"/>
      <c r="N26" s="1"/>
      <c r="Q26" s="1"/>
    </row>
    <row r="27" spans="1:17" x14ac:dyDescent="0.3">
      <c r="A27" t="s">
        <v>22</v>
      </c>
      <c r="H27" s="1"/>
    </row>
    <row r="28" spans="1:17" x14ac:dyDescent="0.3">
      <c r="A28" t="s">
        <v>23</v>
      </c>
      <c r="B28" t="s">
        <v>23</v>
      </c>
      <c r="C28">
        <f>C22</f>
        <v>650</v>
      </c>
      <c r="D28">
        <f t="shared" ref="D28:I28" si="0">D22</f>
        <v>650</v>
      </c>
      <c r="E28">
        <f t="shared" si="0"/>
        <v>700</v>
      </c>
      <c r="F28">
        <f t="shared" si="0"/>
        <v>700</v>
      </c>
      <c r="G28">
        <f t="shared" si="0"/>
        <v>700</v>
      </c>
      <c r="H28">
        <f t="shared" si="0"/>
        <v>700</v>
      </c>
      <c r="I28">
        <f t="shared" si="0"/>
        <v>700</v>
      </c>
      <c r="N28" s="5"/>
      <c r="O28" s="5"/>
      <c r="Q28" s="1"/>
    </row>
    <row r="29" spans="1:17" x14ac:dyDescent="0.3">
      <c r="A29" t="s">
        <v>24</v>
      </c>
      <c r="B29" t="s">
        <v>24</v>
      </c>
      <c r="C29">
        <f>2.5*25.4</f>
        <v>63.5</v>
      </c>
      <c r="D29">
        <f>2.5*25.4</f>
        <v>63.5</v>
      </c>
      <c r="E29">
        <f>2.25*25.4</f>
        <v>57.15</v>
      </c>
      <c r="F29">
        <f t="shared" ref="F29:I29" si="1">2.25*25.4</f>
        <v>57.15</v>
      </c>
      <c r="G29">
        <f t="shared" si="1"/>
        <v>57.15</v>
      </c>
      <c r="H29">
        <f t="shared" si="1"/>
        <v>57.15</v>
      </c>
      <c r="I29">
        <f t="shared" si="1"/>
        <v>57.15</v>
      </c>
      <c r="N29" s="5"/>
      <c r="O29" s="5"/>
      <c r="Q29" s="1"/>
    </row>
    <row r="30" spans="1:17" x14ac:dyDescent="0.3">
      <c r="A30" t="s">
        <v>25</v>
      </c>
      <c r="B30" t="s">
        <v>25</v>
      </c>
      <c r="C30">
        <f>2.5*25.4</f>
        <v>63.5</v>
      </c>
      <c r="D30">
        <f>2.5*25.4</f>
        <v>63.5</v>
      </c>
      <c r="E30">
        <f>2.25*25.4</f>
        <v>57.15</v>
      </c>
      <c r="F30">
        <f t="shared" ref="F30:I30" si="2">2.25*25.4</f>
        <v>57.15</v>
      </c>
      <c r="G30">
        <f t="shared" si="2"/>
        <v>57.15</v>
      </c>
      <c r="H30">
        <f t="shared" si="2"/>
        <v>57.15</v>
      </c>
      <c r="I30">
        <f t="shared" si="2"/>
        <v>57.15</v>
      </c>
      <c r="N30" s="1"/>
    </row>
    <row r="31" spans="1:17" x14ac:dyDescent="0.3">
      <c r="A31" t="s">
        <v>26</v>
      </c>
      <c r="H31" s="1"/>
      <c r="N31" s="1"/>
      <c r="Q31" s="6"/>
    </row>
    <row r="32" spans="1:17" x14ac:dyDescent="0.3">
      <c r="A32" t="s">
        <v>27</v>
      </c>
      <c r="N32" s="1"/>
      <c r="Q32" s="6"/>
    </row>
    <row r="33" spans="1:14" x14ac:dyDescent="0.3">
      <c r="H33" s="1"/>
      <c r="I33" s="1"/>
      <c r="J33" s="1"/>
      <c r="K33" s="1"/>
      <c r="L33" s="1"/>
      <c r="N33" s="1"/>
    </row>
    <row r="34" spans="1:14" x14ac:dyDescent="0.3">
      <c r="A34" t="s">
        <v>28</v>
      </c>
      <c r="B34" t="s">
        <v>29</v>
      </c>
      <c r="H34" s="1"/>
      <c r="N34" s="1"/>
    </row>
    <row r="35" spans="1:14" x14ac:dyDescent="0.3">
      <c r="A35" t="s">
        <v>65</v>
      </c>
      <c r="B35" t="s">
        <v>66</v>
      </c>
      <c r="H35" s="1"/>
    </row>
    <row r="36" spans="1:14" x14ac:dyDescent="0.3">
      <c r="A36" t="s">
        <v>67</v>
      </c>
      <c r="B36" t="s">
        <v>68</v>
      </c>
      <c r="H36" s="1"/>
      <c r="I36" s="1"/>
      <c r="J36" s="1"/>
      <c r="K36" s="1"/>
      <c r="L36" s="1"/>
      <c r="N36" s="1"/>
    </row>
    <row r="37" spans="1:14" x14ac:dyDescent="0.3">
      <c r="A37" t="s">
        <v>69</v>
      </c>
      <c r="B37" t="s">
        <v>70</v>
      </c>
      <c r="H37" s="1"/>
      <c r="N37" s="1"/>
    </row>
    <row r="38" spans="1:14" x14ac:dyDescent="0.3">
      <c r="A38" t="s">
        <v>30</v>
      </c>
      <c r="B38" s="1" t="s">
        <v>90</v>
      </c>
      <c r="H38" s="1"/>
      <c r="N38" s="1"/>
    </row>
    <row r="39" spans="1:14" x14ac:dyDescent="0.3">
      <c r="A39" t="s">
        <v>31</v>
      </c>
      <c r="H39" s="1"/>
      <c r="N39" s="1"/>
    </row>
    <row r="40" spans="1:14" x14ac:dyDescent="0.3">
      <c r="A40" t="s">
        <v>32</v>
      </c>
      <c r="H40" s="1"/>
      <c r="N40" s="1"/>
    </row>
    <row r="41" spans="1:14" x14ac:dyDescent="0.3">
      <c r="A41" t="s">
        <v>33</v>
      </c>
      <c r="B41">
        <f>2.25*25.4</f>
        <v>57.15</v>
      </c>
      <c r="H41" s="1"/>
      <c r="N41" s="1"/>
    </row>
    <row r="42" spans="1:14" x14ac:dyDescent="0.3">
      <c r="A42" t="s">
        <v>34</v>
      </c>
      <c r="B42">
        <f>2.5*25.4</f>
        <v>63.5</v>
      </c>
      <c r="H42" s="1"/>
      <c r="N42" s="1"/>
    </row>
    <row r="43" spans="1:14" x14ac:dyDescent="0.3">
      <c r="A43" t="s">
        <v>35</v>
      </c>
      <c r="H43" s="1"/>
      <c r="I43" s="3"/>
      <c r="J43" s="3"/>
      <c r="K43" s="3"/>
      <c r="L43" s="3"/>
    </row>
    <row r="44" spans="1:14" x14ac:dyDescent="0.3">
      <c r="A44" t="s">
        <v>36</v>
      </c>
    </row>
    <row r="45" spans="1:14" x14ac:dyDescent="0.3">
      <c r="A45" t="s">
        <v>37</v>
      </c>
      <c r="H45" s="1"/>
    </row>
    <row r="46" spans="1:14" x14ac:dyDescent="0.3">
      <c r="A46" t="s">
        <v>38</v>
      </c>
    </row>
    <row r="47" spans="1:14" x14ac:dyDescent="0.3">
      <c r="A47" t="s">
        <v>39</v>
      </c>
      <c r="B47">
        <v>142</v>
      </c>
    </row>
    <row r="48" spans="1:14" x14ac:dyDescent="0.3">
      <c r="A48" t="s">
        <v>40</v>
      </c>
      <c r="B48">
        <v>100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27.2</v>
      </c>
    </row>
    <row r="52" spans="1:2" x14ac:dyDescent="0.3">
      <c r="A52" t="s">
        <v>44</v>
      </c>
      <c r="B52" s="1" t="s">
        <v>92</v>
      </c>
    </row>
    <row r="53" spans="1:2" x14ac:dyDescent="0.3">
      <c r="A53" t="s">
        <v>45</v>
      </c>
    </row>
    <row r="54" spans="1:2" x14ac:dyDescent="0.3">
      <c r="A54" t="s">
        <v>46</v>
      </c>
      <c r="B54">
        <v>48</v>
      </c>
    </row>
    <row r="55" spans="1:2" x14ac:dyDescent="0.3">
      <c r="A55" t="s">
        <v>47</v>
      </c>
      <c r="B55">
        <v>180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/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  <c r="B66" s="1" t="s">
        <v>92</v>
      </c>
    </row>
    <row r="67" spans="1:2" x14ac:dyDescent="0.3">
      <c r="A67" t="s">
        <v>59</v>
      </c>
      <c r="B67" s="1" t="s">
        <v>92</v>
      </c>
    </row>
    <row r="68" spans="1:2" x14ac:dyDescent="0.3">
      <c r="A68" t="s">
        <v>60</v>
      </c>
      <c r="B68" s="1" t="s">
        <v>92</v>
      </c>
    </row>
    <row r="69" spans="1:2" x14ac:dyDescent="0.3">
      <c r="A69" t="s">
        <v>61</v>
      </c>
      <c r="B69">
        <f>795.95+379.95</f>
        <v>1175.9000000000001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91</v>
      </c>
    </row>
    <row r="73" spans="1:2" x14ac:dyDescent="0.3">
      <c r="A73" t="s">
        <v>97</v>
      </c>
      <c r="B73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2025-10-18T00:28:38Z</dcterms:modified>
</cp:coreProperties>
</file>