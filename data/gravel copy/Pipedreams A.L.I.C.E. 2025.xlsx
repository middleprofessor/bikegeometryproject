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48A5C15-4E62-8A47-827F-FF34FEF5AD7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29" i="1"/>
  <c r="E29" i="1"/>
  <c r="F29" i="1"/>
  <c r="C29" i="1"/>
  <c r="D19" i="1"/>
  <c r="E19" i="1"/>
  <c r="F19" i="1"/>
  <c r="D15" i="1"/>
  <c r="E15" i="1"/>
  <c r="F15" i="1"/>
  <c r="E16" i="1"/>
  <c r="F16" i="1"/>
  <c r="C19" i="1"/>
  <c r="C16" i="1"/>
  <c r="C15" i="1"/>
</calcChain>
</file>

<file path=xl/sharedStrings.xml><?xml version="1.0" encoding="utf-8"?>
<sst xmlns="http://schemas.openxmlformats.org/spreadsheetml/2006/main" count="132" uniqueCount="121">
  <si>
    <t>brand</t>
  </si>
  <si>
    <t>model</t>
  </si>
  <si>
    <t>model_year</t>
  </si>
  <si>
    <t>input_date</t>
  </si>
  <si>
    <t>url</t>
  </si>
  <si>
    <t>data_range</t>
  </si>
  <si>
    <t>frame_size</t>
  </si>
  <si>
    <t>Small</t>
  </si>
  <si>
    <t>Medium</t>
  </si>
  <si>
    <t>Large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</si>
  <si>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</si>
  <si>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</si>
  <si>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</si>
  <si>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</si>
  <si>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</si>
  <si>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</si>
  <si>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</si>
  <si>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</si>
  <si>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</si>
  <si>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</si>
  <si>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</si>
  <si>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</si>
  <si>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</si>
  <si>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</si>
  <si>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</si>
  <si>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</si>
  <si>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</si>
  <si>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</si>
  <si>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</si>
  <si>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</si>
  <si>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</si>
  <si>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</si>
  <si>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</si>
  <si>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</si>
  <si>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</si>
  <si>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</si>
  <si>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</si>
  <si>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</si>
  <si>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</si>
  <si>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</si>
  <si>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</si>
  <si>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</si>
  <si>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</si>
  <si>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</si>
  <si>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</si>
  <si>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</si>
  <si>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</si>
  <si>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</si>
  <si>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</si>
  <si>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</si>
  <si>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</si>
  <si>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</si>
  <si>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</si>
  <si>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</si>
  <si>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</si>
  <si>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</si>
  <si>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</si>
  <si>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</si>
  <si>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</si>
  <si>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</si>
  <si>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</si>
  <si>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</si>
  <si>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</si>
  <si>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</si>
  <si>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</si>
  <si>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</si>
  <si>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</si>
  <si>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</si>
  <si>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</si>
  <si>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</si>
  <si>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</si>
  <si>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</si>
  <si>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</si>
  <si>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</si>
  <si>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</si>
  <si>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</si>
  <si>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</si>
  <si>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</si>
  <si>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</si>
  <si>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GBP</t>
  </si>
  <si>
    <t>Pipedreams</t>
  </si>
  <si>
    <t>XL</t>
  </si>
  <si>
    <t>Suggested Rider Height</t>
  </si>
  <si>
    <t>5’2” – 5’6”</t>
  </si>
  <si>
    <t>5’6” – 5’10”</t>
  </si>
  <si>
    <t>5’10 – 6’2”</t>
  </si>
  <si>
    <t>6’2” – 6’6”</t>
  </si>
  <si>
    <t>158cm – 168cm</t>
  </si>
  <si>
    <t>168cm – 178cm</t>
  </si>
  <si>
    <t>178cm – 188cm</t>
  </si>
  <si>
    <t>188cm – 198cm</t>
  </si>
  <si>
    <t>A: Head Angle</t>
  </si>
  <si>
    <t>B: Seat Angle</t>
  </si>
  <si>
    <t>C: ST C-T</t>
  </si>
  <si>
    <t>D: TT Length (effective)</t>
  </si>
  <si>
    <t>E: HT Length</t>
  </si>
  <si>
    <t>F: BB Drop</t>
  </si>
  <si>
    <t>G: Chainstays</t>
  </si>
  <si>
    <t>450+</t>
  </si>
  <si>
    <t>H: Wheelbase</t>
  </si>
  <si>
    <t>1065+</t>
  </si>
  <si>
    <t>1087+</t>
  </si>
  <si>
    <t>1108+</t>
  </si>
  <si>
    <t>1130+</t>
  </si>
  <si>
    <t>R: Reach</t>
  </si>
  <si>
    <t>S: Stack</t>
  </si>
  <si>
    <t>Y: Standover (29er x 2.2″)</t>
  </si>
  <si>
    <t>785 (30.9″)</t>
  </si>
  <si>
    <t>800 (31.5″)</t>
  </si>
  <si>
    <t>820 (32.5″)</t>
  </si>
  <si>
    <t>850 (33.5″)</t>
  </si>
  <si>
    <t>threaded</t>
  </si>
  <si>
    <t>carbon fork</t>
  </si>
  <si>
    <t>trail</t>
  </si>
  <si>
    <t>a8:f31</t>
  </si>
  <si>
    <t>https://www.pipedreamcycles.com/shop/a-l-i-c-e-frame-fork/</t>
  </si>
  <si>
    <t>A.L.I.C.E 3.0</t>
  </si>
  <si>
    <t>frame size</t>
  </si>
  <si>
    <t>https://www.pipedreamcycles.com/wp-content/uploads/2017/01/Pipedream_ALICE_2022-2-600x338.jpg</t>
  </si>
  <si>
    <t>location</t>
  </si>
  <si>
    <t>Carluke, South Lanarkshire,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</si>
</sst>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51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80</v>
      </c>
    </row>
    <row r="2" spans="1:10" x14ac:dyDescent="0.3">
      <c r="A2" t="s">
        <v>1</v>
      </c>
      <c r="B2" s="1" t="s">
        <v>116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45925</v>
      </c>
    </row>
    <row r="5" spans="1:10" x14ac:dyDescent="0.3">
      <c r="A5" t="s">
        <v>4</v>
      </c>
      <c r="B5" t="s">
        <v>115</v>
      </c>
    </row>
    <row r="6" spans="1:10" x14ac:dyDescent="0.3">
      <c r="B6" t="s">
        <v>118</v>
      </c>
    </row>
    <row r="7" spans="1:10" x14ac:dyDescent="0.3">
      <c r="A7" t="s">
        <v>5</v>
      </c>
      <c r="B7" s="1" t="s">
        <v>114</v>
      </c>
    </row>
    <row r="8" spans="1:10" x14ac:dyDescent="0.3">
      <c r="A8" t="s">
        <v>6</v>
      </c>
      <c r="B8" s="1" t="s">
        <v>117</v>
      </c>
      <c r="C8" t="s">
        <v>7</v>
      </c>
      <c r="D8" t="s">
        <v>8</v>
      </c>
      <c r="E8" t="s">
        <v>9</v>
      </c>
      <c r="F8" t="s">
        <v>81</v>
      </c>
    </row>
    <row r="9" spans="1:10" x14ac:dyDescent="0.3">
      <c r="A9" t="s">
        <v>14</v>
      </c>
      <c r="B9" t="s">
        <v>91</v>
      </c>
      <c r="C9">
        <v>69</v>
      </c>
      <c r="D9">
        <v>69</v>
      </c>
      <c r="E9">
        <v>69</v>
      </c>
      <c r="F9">
        <v>69</v>
      </c>
    </row>
    <row r="10" spans="1:10" x14ac:dyDescent="0.3">
      <c r="A10" t="s">
        <v>11</v>
      </c>
      <c r="B10" t="s">
        <v>92</v>
      </c>
      <c r="C10">
        <v>75</v>
      </c>
      <c r="D10">
        <v>74.5</v>
      </c>
      <c r="E10">
        <v>74</v>
      </c>
      <c r="F10">
        <v>73.5</v>
      </c>
    </row>
    <row r="11" spans="1:10" x14ac:dyDescent="0.3">
      <c r="A11" t="s">
        <v>12</v>
      </c>
      <c r="B11" t="s">
        <v>93</v>
      </c>
      <c r="C11">
        <v>470</v>
      </c>
      <c r="D11">
        <v>495</v>
      </c>
      <c r="E11">
        <v>520</v>
      </c>
      <c r="F11">
        <v>545</v>
      </c>
    </row>
    <row r="12" spans="1:10" x14ac:dyDescent="0.3">
      <c r="A12" t="s">
        <v>10</v>
      </c>
      <c r="B12" t="s">
        <v>94</v>
      </c>
      <c r="C12">
        <v>535</v>
      </c>
      <c r="D12">
        <v>560</v>
      </c>
      <c r="E12">
        <v>585</v>
      </c>
      <c r="F12">
        <v>610</v>
      </c>
    </row>
    <row r="13" spans="1:10" x14ac:dyDescent="0.3">
      <c r="A13" t="s">
        <v>13</v>
      </c>
      <c r="B13" t="s">
        <v>95</v>
      </c>
      <c r="C13">
        <v>130</v>
      </c>
      <c r="D13">
        <v>160</v>
      </c>
      <c r="E13">
        <v>180</v>
      </c>
      <c r="F13">
        <v>205</v>
      </c>
    </row>
    <row r="14" spans="1:10" x14ac:dyDescent="0.3">
      <c r="A14" t="s">
        <v>18</v>
      </c>
      <c r="B14" t="s">
        <v>96</v>
      </c>
      <c r="C14">
        <v>70</v>
      </c>
      <c r="D14">
        <v>70</v>
      </c>
      <c r="E14">
        <v>70</v>
      </c>
      <c r="F14">
        <v>70</v>
      </c>
    </row>
    <row r="15" spans="1:10" x14ac:dyDescent="0.3">
      <c r="A15" t="s">
        <v>17</v>
      </c>
      <c r="B15" t="s">
        <v>97</v>
      </c>
      <c r="C15">
        <f>VALUE(LEFT(G15,3))</f>
        <v>450</v>
      </c>
      <c r="D15">
        <f t="shared" ref="D15:F15" si="0">VALUE(LEFT(H15,3))</f>
        <v>450</v>
      </c>
      <c r="E15">
        <f t="shared" si="0"/>
        <v>450</v>
      </c>
      <c r="F15">
        <f t="shared" si="0"/>
        <v>450</v>
      </c>
      <c r="G15" t="s">
        <v>98</v>
      </c>
      <c r="H15" t="s">
        <v>98</v>
      </c>
      <c r="I15" t="s">
        <v>98</v>
      </c>
      <c r="J15" t="s">
        <v>98</v>
      </c>
    </row>
    <row r="16" spans="1:10" x14ac:dyDescent="0.3">
      <c r="A16" t="s">
        <v>22</v>
      </c>
      <c r="B16" t="s">
        <v>99</v>
      </c>
      <c r="C16">
        <f>VALUE(LEFT(G16,4))</f>
        <v>1065</v>
      </c>
      <c r="D16">
        <f t="shared" ref="D16:F16" si="1">VALUE(LEFT(H16,4))</f>
        <v>1087</v>
      </c>
      <c r="E16">
        <f t="shared" si="1"/>
        <v>1108</v>
      </c>
      <c r="F16">
        <f t="shared" si="1"/>
        <v>1130</v>
      </c>
      <c r="G16" t="s">
        <v>100</v>
      </c>
      <c r="H16" t="s">
        <v>101</v>
      </c>
      <c r="I16" t="s">
        <v>102</v>
      </c>
      <c r="J16" t="s">
        <v>103</v>
      </c>
    </row>
    <row r="17" spans="1:10" x14ac:dyDescent="0.3">
      <c r="A17" t="s">
        <v>20</v>
      </c>
      <c r="B17" t="s">
        <v>104</v>
      </c>
      <c r="C17">
        <v>377</v>
      </c>
      <c r="D17">
        <v>390</v>
      </c>
      <c r="E17">
        <v>403</v>
      </c>
      <c r="F17">
        <v>416</v>
      </c>
    </row>
    <row r="18" spans="1:10" x14ac:dyDescent="0.3">
      <c r="A18" t="s">
        <v>19</v>
      </c>
      <c r="B18" t="s">
        <v>105</v>
      </c>
      <c r="C18">
        <v>580</v>
      </c>
      <c r="D18">
        <v>603</v>
      </c>
      <c r="E18">
        <v>626</v>
      </c>
      <c r="F18">
        <v>650</v>
      </c>
    </row>
    <row r="19" spans="1:10" x14ac:dyDescent="0.3">
      <c r="A19" t="s">
        <v>21</v>
      </c>
      <c r="B19" t="s">
        <v>106</v>
      </c>
      <c r="C19">
        <f>VALUE(LEFT(G19,3))</f>
        <v>785</v>
      </c>
      <c r="D19">
        <f t="shared" ref="D19:F19" si="2">VALUE(LEFT(H19,3))</f>
        <v>800</v>
      </c>
      <c r="E19">
        <f t="shared" si="2"/>
        <v>820</v>
      </c>
      <c r="F19">
        <f t="shared" si="2"/>
        <v>850</v>
      </c>
      <c r="G19" t="s">
        <v>107</v>
      </c>
      <c r="H19" t="s">
        <v>108</v>
      </c>
      <c r="I19" t="s">
        <v>109</v>
      </c>
      <c r="J19" t="s">
        <v>110</v>
      </c>
    </row>
    <row r="20" spans="1:10" x14ac:dyDescent="0.3">
      <c r="A20" t="s">
        <v>15</v>
      </c>
      <c r="C20">
        <v>420</v>
      </c>
      <c r="D20">
        <v>420</v>
      </c>
      <c r="E20">
        <v>420</v>
      </c>
      <c r="F20">
        <v>420</v>
      </c>
      <c r="G20" s="1" t="s">
        <v>112</v>
      </c>
    </row>
    <row r="21" spans="1:10" x14ac:dyDescent="0.3">
      <c r="A21" t="s">
        <v>16</v>
      </c>
      <c r="C21">
        <v>42</v>
      </c>
      <c r="D21">
        <v>42</v>
      </c>
      <c r="E21">
        <v>42</v>
      </c>
      <c r="F21">
        <v>42</v>
      </c>
      <c r="G21" s="1" t="s">
        <v>112</v>
      </c>
    </row>
    <row r="22" spans="1:10" x14ac:dyDescent="0.3">
      <c r="A22" s="1" t="s">
        <v>113</v>
      </c>
      <c r="C22">
        <v>96</v>
      </c>
      <c r="D22">
        <v>96</v>
      </c>
      <c r="E22">
        <v>96</v>
      </c>
      <c r="F22">
        <v>96</v>
      </c>
      <c r="G22" s="1"/>
    </row>
    <row r="23" spans="1:10" x14ac:dyDescent="0.3">
      <c r="A23" t="s">
        <v>23</v>
      </c>
    </row>
    <row r="24" spans="1:10" x14ac:dyDescent="0.3">
      <c r="A24" t="s">
        <v>24</v>
      </c>
    </row>
    <row r="25" spans="1:10" x14ac:dyDescent="0.3">
      <c r="A25" t="s">
        <v>25</v>
      </c>
    </row>
    <row r="26" spans="1:10" x14ac:dyDescent="0.3">
      <c r="A26" t="s">
        <v>26</v>
      </c>
    </row>
    <row r="27" spans="1:10" x14ac:dyDescent="0.3">
      <c r="A27" t="s">
        <v>27</v>
      </c>
      <c r="B27" t="s">
        <v>27</v>
      </c>
      <c r="C27">
        <v>700</v>
      </c>
      <c r="D27">
        <v>700</v>
      </c>
      <c r="E27" s="1">
        <v>700</v>
      </c>
      <c r="F27">
        <v>700</v>
      </c>
    </row>
    <row r="28" spans="1:10" x14ac:dyDescent="0.3">
      <c r="A28" t="s">
        <v>28</v>
      </c>
      <c r="B28" t="s">
        <v>28</v>
      </c>
      <c r="C28" s="1">
        <v>51</v>
      </c>
      <c r="D28" s="1">
        <v>51</v>
      </c>
      <c r="E28" s="1">
        <v>51</v>
      </c>
      <c r="F28" s="1">
        <v>51</v>
      </c>
      <c r="G28" s="1"/>
      <c r="H28" s="1"/>
    </row>
    <row r="29" spans="1:10" x14ac:dyDescent="0.3">
      <c r="A29" t="s">
        <v>29</v>
      </c>
      <c r="B29" t="s">
        <v>29</v>
      </c>
      <c r="C29" s="1">
        <f>2.4*25.4</f>
        <v>60.959999999999994</v>
      </c>
      <c r="D29" s="1">
        <f t="shared" ref="D29:F29" si="3">2.4*25.4</f>
        <v>60.959999999999994</v>
      </c>
      <c r="E29" s="1">
        <f t="shared" si="3"/>
        <v>60.959999999999994</v>
      </c>
      <c r="F29" s="1">
        <f t="shared" si="3"/>
        <v>60.959999999999994</v>
      </c>
      <c r="G29" s="1"/>
      <c r="H29" s="1"/>
    </row>
    <row r="30" spans="1:10" x14ac:dyDescent="0.3">
      <c r="A30" t="s">
        <v>30</v>
      </c>
      <c r="B30" t="s">
        <v>31</v>
      </c>
      <c r="C30">
        <v>158</v>
      </c>
      <c r="D30">
        <v>168</v>
      </c>
      <c r="E30">
        <v>178</v>
      </c>
      <c r="F30">
        <v>188</v>
      </c>
    </row>
    <row r="31" spans="1:10" x14ac:dyDescent="0.3">
      <c r="A31" t="s">
        <v>32</v>
      </c>
      <c r="B31" t="s">
        <v>33</v>
      </c>
      <c r="C31">
        <v>168</v>
      </c>
      <c r="D31">
        <v>178</v>
      </c>
      <c r="E31">
        <v>188</v>
      </c>
      <c r="F31">
        <v>198</v>
      </c>
    </row>
    <row r="32" spans="1:10" x14ac:dyDescent="0.3">
      <c r="C32" t="s">
        <v>83</v>
      </c>
      <c r="D32" t="s">
        <v>84</v>
      </c>
      <c r="E32" t="s">
        <v>85</v>
      </c>
      <c r="F32" t="s">
        <v>86</v>
      </c>
      <c r="G32" t="s">
        <v>82</v>
      </c>
    </row>
    <row r="33" spans="1:7" x14ac:dyDescent="0.3">
      <c r="A33" t="s">
        <v>34</v>
      </c>
      <c r="B33" t="s">
        <v>35</v>
      </c>
      <c r="C33" t="s">
        <v>87</v>
      </c>
      <c r="D33" t="s">
        <v>88</v>
      </c>
      <c r="E33" t="s">
        <v>89</v>
      </c>
      <c r="F33" t="s">
        <v>90</v>
      </c>
      <c r="G33" t="s">
        <v>82</v>
      </c>
    </row>
    <row r="34" spans="1:7" x14ac:dyDescent="0.3">
      <c r="A34" t="s">
        <v>72</v>
      </c>
      <c r="B34" t="s">
        <v>73</v>
      </c>
    </row>
    <row r="35" spans="1:7" x14ac:dyDescent="0.3">
      <c r="A35" t="s">
        <v>74</v>
      </c>
      <c r="B35" t="s">
        <v>75</v>
      </c>
    </row>
    <row r="36" spans="1:7" x14ac:dyDescent="0.3">
      <c r="A36" t="s">
        <v>76</v>
      </c>
      <c r="B36" t="s">
        <v>77</v>
      </c>
    </row>
    <row r="37" spans="1:7" x14ac:dyDescent="0.3">
      <c r="A37" t="s">
        <v>36</v>
      </c>
      <c r="B37" t="s">
        <v>37</v>
      </c>
    </row>
    <row r="38" spans="1:7" x14ac:dyDescent="0.3">
      <c r="A38" t="s">
        <v>38</v>
      </c>
      <c r="B38" s="1"/>
    </row>
    <row r="39" spans="1:7" x14ac:dyDescent="0.3">
      <c r="A39" t="s">
        <v>39</v>
      </c>
    </row>
    <row r="40" spans="1:7" x14ac:dyDescent="0.3">
      <c r="A40" t="s">
        <v>40</v>
      </c>
      <c r="B40">
        <v>2.4</v>
      </c>
    </row>
    <row r="41" spans="1:7" x14ac:dyDescent="0.3">
      <c r="A41" t="s">
        <v>41</v>
      </c>
    </row>
    <row r="42" spans="1:7" x14ac:dyDescent="0.3">
      <c r="A42" t="s">
        <v>42</v>
      </c>
    </row>
    <row r="43" spans="1:7" x14ac:dyDescent="0.3">
      <c r="A43" t="s">
        <v>43</v>
      </c>
    </row>
    <row r="44" spans="1:7" x14ac:dyDescent="0.3">
      <c r="A44" t="s">
        <v>44</v>
      </c>
    </row>
    <row r="45" spans="1:7" x14ac:dyDescent="0.3">
      <c r="A45" t="s">
        <v>45</v>
      </c>
    </row>
    <row r="46" spans="1:7" x14ac:dyDescent="0.3">
      <c r="A46" t="s">
        <v>46</v>
      </c>
      <c r="B46">
        <v>142</v>
      </c>
    </row>
    <row r="47" spans="1:7" x14ac:dyDescent="0.3">
      <c r="A47" t="s">
        <v>47</v>
      </c>
      <c r="B47">
        <v>100</v>
      </c>
    </row>
    <row r="48" spans="1:7" x14ac:dyDescent="0.3">
      <c r="A48" t="s">
        <v>48</v>
      </c>
      <c r="B48" s="1" t="s">
        <v>111</v>
      </c>
    </row>
    <row r="49" spans="1:2" x14ac:dyDescent="0.3">
      <c r="A49" t="s">
        <v>49</v>
      </c>
    </row>
    <row r="50" spans="1:2" x14ac:dyDescent="0.3">
      <c r="A50" t="s">
        <v>50</v>
      </c>
      <c r="B50">
        <v>30.9</v>
      </c>
    </row>
    <row r="51" spans="1:2" x14ac:dyDescent="0.3">
      <c r="A51" t="s">
        <v>51</v>
      </c>
      <c r="B51" s="1"/>
    </row>
    <row r="52" spans="1:2" x14ac:dyDescent="0.3">
      <c r="A52" t="s">
        <v>52</v>
      </c>
      <c r="B52">
        <v>42</v>
      </c>
    </row>
    <row r="53" spans="1:2" x14ac:dyDescent="0.3">
      <c r="A53" t="s">
        <v>53</v>
      </c>
    </row>
    <row r="54" spans="1:2" x14ac:dyDescent="0.3">
      <c r="A54" t="s">
        <v>54</v>
      </c>
    </row>
    <row r="55" spans="1:2" x14ac:dyDescent="0.3">
      <c r="A55" t="s">
        <v>55</v>
      </c>
    </row>
    <row r="56" spans="1:2" x14ac:dyDescent="0.3">
      <c r="A56" t="s">
        <v>56</v>
      </c>
    </row>
    <row r="57" spans="1:2" x14ac:dyDescent="0.3">
      <c r="A57" t="s">
        <v>57</v>
      </c>
      <c r="B57" s="1"/>
    </row>
    <row r="58" spans="1:2" x14ac:dyDescent="0.3">
      <c r="A58" t="s">
        <v>58</v>
      </c>
      <c r="B58" s="1" t="s">
        <v>78</v>
      </c>
    </row>
    <row r="59" spans="1:2" x14ac:dyDescent="0.3">
      <c r="A59" t="s">
        <v>59</v>
      </c>
      <c r="B59" s="1"/>
    </row>
    <row r="60" spans="1:2" x14ac:dyDescent="0.3">
      <c r="A60" t="s">
        <v>60</v>
      </c>
    </row>
    <row r="61" spans="1:2" x14ac:dyDescent="0.3">
      <c r="A61" t="s">
        <v>61</v>
      </c>
      <c r="B61">
        <v>2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</row>
    <row r="64" spans="1:2" x14ac:dyDescent="0.3">
      <c r="A64" t="s">
        <v>64</v>
      </c>
      <c r="B64">
        <v>3</v>
      </c>
    </row>
    <row r="65" spans="1:2" x14ac:dyDescent="0.3">
      <c r="A65" t="s">
        <v>65</v>
      </c>
      <c r="B65" s="1" t="s">
        <v>78</v>
      </c>
    </row>
    <row r="66" spans="1:2" x14ac:dyDescent="0.3">
      <c r="A66" t="s">
        <v>66</v>
      </c>
      <c r="B66" s="1" t="s">
        <v>78</v>
      </c>
    </row>
    <row r="67" spans="1:2" x14ac:dyDescent="0.3">
      <c r="A67" t="s">
        <v>67</v>
      </c>
      <c r="B67" s="1" t="s">
        <v>78</v>
      </c>
    </row>
    <row r="68" spans="1:2" x14ac:dyDescent="0.3">
      <c r="A68" t="s">
        <v>68</v>
      </c>
      <c r="B68">
        <v>1070</v>
      </c>
    </row>
    <row r="69" spans="1:2" x14ac:dyDescent="0.3">
      <c r="A69" t="s">
        <v>69</v>
      </c>
    </row>
    <row r="70" spans="1:2" x14ac:dyDescent="0.3">
      <c r="A70" t="s">
        <v>70</v>
      </c>
    </row>
    <row r="71" spans="1:2" x14ac:dyDescent="0.3">
      <c r="A71" t="s">
        <v>71</v>
      </c>
      <c r="B71" s="1" t="s">
        <v>79</v>
      </c>
    </row>
    <row r="72" spans="1:2" x14ac:dyDescent="0.3">
      <c r="A72" t="s">
        <v>119</v>
      </c>
      <c r="B72" t="s">
        <v>120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2025-10-18T18:45:07Z</dcterms:modified>
</cp:coreProperties>
</file>