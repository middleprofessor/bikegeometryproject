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6EE610E-2904-534A-82CE-AF1059FDAFEE}" xr6:coauthVersionLast="47" xr6:coauthVersionMax="47" xr10:uidLastSave="{00000000-0000-0000-0000-000000000000}"/>
  <bookViews>
    <workbookView xWindow="33480" yWindow="-23360" windowWidth="27760" windowHeight="16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H14" i="1"/>
  <c r="I14" i="1"/>
  <c r="D15" i="1"/>
  <c r="E15" i="1"/>
  <c r="F15" i="1"/>
  <c r="G15" i="1"/>
  <c r="H15" i="1"/>
  <c r="I15" i="1"/>
  <c r="D16" i="1"/>
  <c r="E16" i="1"/>
  <c r="F16" i="1"/>
  <c r="G16" i="1"/>
  <c r="H16" i="1"/>
  <c r="I16" i="1"/>
  <c r="D17" i="1"/>
  <c r="E17" i="1"/>
  <c r="F17" i="1"/>
  <c r="G17" i="1"/>
  <c r="H17" i="1"/>
  <c r="I17" i="1"/>
  <c r="D18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D21" i="1"/>
  <c r="E21" i="1"/>
  <c r="F21" i="1"/>
  <c r="G21" i="1"/>
  <c r="H21" i="1"/>
  <c r="I21" i="1"/>
  <c r="C21" i="1"/>
  <c r="C20" i="1"/>
  <c r="C18" i="1"/>
  <c r="C17" i="1"/>
  <c r="C16" i="1"/>
  <c r="C15" i="1"/>
  <c r="C14" i="1"/>
  <c r="C12" i="1"/>
  <c r="C11" i="1"/>
  <c r="C13" i="1"/>
  <c r="C10" i="1"/>
  <c r="C19" i="1"/>
  <c r="C9" i="1"/>
</calcChain>
</file>

<file path=xl/sharedStrings.xml><?xml version="1.0" encoding="utf-8"?>
<sst xmlns="http://schemas.openxmlformats.org/spreadsheetml/2006/main" count="112" uniqueCount="104">
  <si>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</si>
  <si>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</si>
  <si>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</si>
  <si>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</si>
  <si>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</si>
  <si>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</si>
  <si>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</si>
  <si>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</si>
  <si>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</si>
  <si>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</si>
  <si>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</si>
  <si>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</si>
  <si>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</si>
  <si>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</si>
  <si>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</si>
  <si>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</si>
  <si>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</si>
  <si>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</si>
  <si>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</si>
  <si>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</si>
  <si>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</si>
  <si>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</si>
  <si>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</si>
  <si>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</si>
  <si>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</si>
  <si>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</si>
  <si>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</si>
  <si>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</si>
  <si>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</si>
  <si>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</si>
  <si>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</si>
  <si>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</si>
  <si>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</si>
  <si>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</si>
  <si>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</si>
  <si>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</si>
  <si>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</si>
  <si>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</si>
  <si>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</si>
  <si>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</si>
  <si>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</si>
  <si>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</si>
  <si>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</si>
  <si>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</si>
  <si>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</si>
  <si>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</si>
  <si>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</si>
  <si>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</si>
  <si>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</si>
  <si>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</si>
  <si>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</si>
  <si>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</si>
  <si>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</si>
  <si>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</si>
  <si>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</si>
  <si>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</si>
  <si>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</si>
  <si>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</si>
  <si>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</si>
  <si>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</si>
  <si>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</si>
  <si>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</si>
  <si>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</si>
  <si>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</si>
  <si>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</si>
  <si>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</si>
  <si>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</si>
  <si>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</si>
  <si>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</si>
  <si>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</si>
  <si>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</si>
  <si>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</si>
  <si>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</si>
  <si>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Co-Motion</t>
  </si>
  <si>
    <t>Frame Size</t>
  </si>
  <si>
    <t>A - Top Tube (cm)</t>
  </si>
  <si>
    <t>B - Seat Tube (cm)</t>
  </si>
  <si>
    <t>C - Head Tube (mm)</t>
  </si>
  <si>
    <t>D - Chainstay (mm)</t>
  </si>
  <si>
    <t>E - Seat Tube Angle</t>
  </si>
  <si>
    <t>F - Fork Span (mm)</t>
  </si>
  <si>
    <t>G - Head Tube Angle</t>
  </si>
  <si>
    <t>H - Fork Rake (mm)</t>
  </si>
  <si>
    <t>I - BB Drop (mm)</t>
  </si>
  <si>
    <t>J - Standover (cm)</t>
  </si>
  <si>
    <t>K - Wheelbase (cm)</t>
  </si>
  <si>
    <t>L - Stack (mm)</t>
  </si>
  <si>
    <t>M - Reach (mm)</t>
  </si>
  <si>
    <t>steel</t>
  </si>
  <si>
    <t>https://co-motion.com/collections/single-bikes/products/klatch</t>
  </si>
  <si>
    <t>44 cm</t>
  </si>
  <si>
    <t>47 cm</t>
  </si>
  <si>
    <t>50 cm</t>
  </si>
  <si>
    <t>54cm</t>
  </si>
  <si>
    <t>56 cm</t>
  </si>
  <si>
    <t>58 cm</t>
  </si>
  <si>
    <t>60 cm</t>
  </si>
  <si>
    <t>Klatch</t>
  </si>
  <si>
    <t>a8:i30</t>
  </si>
  <si>
    <t>external</t>
  </si>
  <si>
    <t>https://co-motion.com/cdn/shop/files/Klatch1600.jpg?v=1757454782</t>
  </si>
  <si>
    <t>USD</t>
  </si>
  <si>
    <t>location</t>
  </si>
  <si>
    <t>Eugene, Oregon,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</si>
</sst>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name val="Futura Medium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topLeftCell="A51" zoomScale="95" workbookViewId="0">
      <selection activeCell="A71" sqref="A71:B71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7" x14ac:dyDescent="0.3">
      <c r="A1" s="1" t="s">
        <v>0</v>
      </c>
      <c r="B1" s="1" t="s">
        <v>73</v>
      </c>
    </row>
    <row r="2" spans="1:17" x14ac:dyDescent="0.3">
      <c r="A2" s="1" t="s">
        <v>1</v>
      </c>
      <c r="B2" s="1" t="s">
        <v>97</v>
      </c>
    </row>
    <row r="3" spans="1:17" x14ac:dyDescent="0.3">
      <c r="A3" s="1" t="s">
        <v>2</v>
      </c>
      <c r="B3" s="1">
        <v>2025</v>
      </c>
    </row>
    <row r="4" spans="1:17" x14ac:dyDescent="0.3">
      <c r="A4" s="1" t="s">
        <v>3</v>
      </c>
      <c r="B4" s="2">
        <v>45909</v>
      </c>
    </row>
    <row r="5" spans="1:17" x14ac:dyDescent="0.3">
      <c r="A5" s="1" t="s">
        <v>4</v>
      </c>
      <c r="B5" s="1" t="s">
        <v>89</v>
      </c>
    </row>
    <row r="6" spans="1:17" x14ac:dyDescent="0.3">
      <c r="B6" s="1" t="s">
        <v>100</v>
      </c>
    </row>
    <row r="7" spans="1:17" x14ac:dyDescent="0.3">
      <c r="A7" s="1" t="s">
        <v>5</v>
      </c>
      <c r="B7" s="1" t="s">
        <v>98</v>
      </c>
    </row>
    <row r="8" spans="1:17" x14ac:dyDescent="0.3">
      <c r="A8" s="1" t="s">
        <v>6</v>
      </c>
      <c r="B8" s="3" t="s">
        <v>74</v>
      </c>
      <c r="C8" s="1" t="s">
        <v>90</v>
      </c>
      <c r="D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96</v>
      </c>
    </row>
    <row r="9" spans="1:17" x14ac:dyDescent="0.3">
      <c r="A9" s="1" t="s">
        <v>7</v>
      </c>
      <c r="B9" s="4" t="s">
        <v>75</v>
      </c>
      <c r="C9" s="1">
        <f>K9*10</f>
        <v>510</v>
      </c>
      <c r="D9" s="1">
        <f t="shared" ref="D9:I10" si="0">L9*10</f>
        <v>515</v>
      </c>
      <c r="E9" s="1">
        <f t="shared" si="0"/>
        <v>520</v>
      </c>
      <c r="F9" s="1">
        <f t="shared" si="0"/>
        <v>540</v>
      </c>
      <c r="G9" s="1">
        <f t="shared" si="0"/>
        <v>560</v>
      </c>
      <c r="H9" s="1">
        <f t="shared" si="0"/>
        <v>570</v>
      </c>
      <c r="I9" s="1">
        <f t="shared" si="0"/>
        <v>580</v>
      </c>
      <c r="K9" s="1">
        <v>51</v>
      </c>
      <c r="L9" s="1">
        <v>51.5</v>
      </c>
      <c r="M9" s="1">
        <v>52</v>
      </c>
      <c r="N9" s="1">
        <v>54</v>
      </c>
      <c r="O9" s="1">
        <v>56</v>
      </c>
      <c r="P9" s="1">
        <v>57</v>
      </c>
      <c r="Q9" s="1">
        <v>58</v>
      </c>
    </row>
    <row r="10" spans="1:17" x14ac:dyDescent="0.3">
      <c r="A10" s="1" t="s">
        <v>11</v>
      </c>
      <c r="B10" s="4" t="s">
        <v>76</v>
      </c>
      <c r="C10" s="1">
        <f t="shared" ref="C10:C19" si="1">K10*10</f>
        <v>410</v>
      </c>
      <c r="D10" s="1">
        <f t="shared" si="0"/>
        <v>440</v>
      </c>
      <c r="E10" s="1">
        <f t="shared" si="0"/>
        <v>470</v>
      </c>
      <c r="F10" s="1">
        <f t="shared" si="0"/>
        <v>510</v>
      </c>
      <c r="G10" s="1">
        <f t="shared" si="0"/>
        <v>530</v>
      </c>
      <c r="H10" s="1">
        <f t="shared" si="0"/>
        <v>550</v>
      </c>
      <c r="I10" s="1">
        <f t="shared" si="0"/>
        <v>570</v>
      </c>
      <c r="K10" s="1">
        <v>41</v>
      </c>
      <c r="L10" s="1">
        <v>44</v>
      </c>
      <c r="M10" s="1">
        <v>47</v>
      </c>
      <c r="N10" s="1">
        <v>51</v>
      </c>
      <c r="O10" s="1">
        <v>53</v>
      </c>
      <c r="P10" s="1">
        <v>55</v>
      </c>
      <c r="Q10" s="1">
        <v>57</v>
      </c>
    </row>
    <row r="11" spans="1:17" x14ac:dyDescent="0.3">
      <c r="A11" s="1" t="s">
        <v>9</v>
      </c>
      <c r="B11" s="4" t="s">
        <v>77</v>
      </c>
      <c r="C11" s="1">
        <f t="shared" ref="C11:C17" si="2">K11</f>
        <v>115</v>
      </c>
      <c r="D11" s="1">
        <f t="shared" ref="D11:I17" si="3">L11</f>
        <v>115</v>
      </c>
      <c r="E11" s="1">
        <f t="shared" si="3"/>
        <v>125</v>
      </c>
      <c r="F11" s="1">
        <f t="shared" si="3"/>
        <v>145</v>
      </c>
      <c r="G11" s="1">
        <f t="shared" si="3"/>
        <v>165</v>
      </c>
      <c r="H11" s="1">
        <f t="shared" si="3"/>
        <v>185</v>
      </c>
      <c r="I11" s="1">
        <f t="shared" si="3"/>
        <v>205</v>
      </c>
      <c r="K11" s="1">
        <v>115</v>
      </c>
      <c r="L11" s="1">
        <v>115</v>
      </c>
      <c r="M11" s="1">
        <v>125</v>
      </c>
      <c r="N11" s="1">
        <v>145</v>
      </c>
      <c r="O11" s="1">
        <v>165</v>
      </c>
      <c r="P11" s="1">
        <v>185</v>
      </c>
      <c r="Q11" s="1">
        <v>205</v>
      </c>
    </row>
    <row r="12" spans="1:17" x14ac:dyDescent="0.3">
      <c r="A12" s="1" t="s">
        <v>12</v>
      </c>
      <c r="B12" s="4" t="s">
        <v>78</v>
      </c>
      <c r="C12" s="1">
        <f t="shared" si="2"/>
        <v>432</v>
      </c>
      <c r="D12" s="1">
        <f t="shared" si="3"/>
        <v>432</v>
      </c>
      <c r="E12" s="1">
        <f t="shared" si="3"/>
        <v>432</v>
      </c>
      <c r="F12" s="1">
        <f t="shared" si="3"/>
        <v>432</v>
      </c>
      <c r="G12" s="1">
        <f t="shared" si="3"/>
        <v>432</v>
      </c>
      <c r="H12" s="1">
        <f t="shared" si="3"/>
        <v>432</v>
      </c>
      <c r="I12" s="1">
        <f t="shared" si="3"/>
        <v>432</v>
      </c>
      <c r="K12" s="1">
        <v>432</v>
      </c>
      <c r="L12" s="1">
        <v>432</v>
      </c>
      <c r="M12" s="1">
        <v>432</v>
      </c>
      <c r="N12" s="1">
        <v>432</v>
      </c>
      <c r="O12" s="1">
        <v>432</v>
      </c>
      <c r="P12" s="1">
        <v>432</v>
      </c>
      <c r="Q12" s="1">
        <v>432</v>
      </c>
    </row>
    <row r="13" spans="1:17" x14ac:dyDescent="0.3">
      <c r="A13" s="1" t="s">
        <v>10</v>
      </c>
      <c r="B13" s="4" t="s">
        <v>79</v>
      </c>
      <c r="C13" s="1">
        <f t="shared" si="2"/>
        <v>75.5</v>
      </c>
      <c r="D13" s="1">
        <f t="shared" si="3"/>
        <v>75</v>
      </c>
      <c r="E13" s="1">
        <f t="shared" si="3"/>
        <v>74.5</v>
      </c>
      <c r="F13" s="1">
        <f t="shared" si="3"/>
        <v>74.5</v>
      </c>
      <c r="G13" s="1">
        <f t="shared" si="3"/>
        <v>74</v>
      </c>
      <c r="H13" s="1">
        <f t="shared" si="3"/>
        <v>74</v>
      </c>
      <c r="I13" s="1">
        <f t="shared" si="3"/>
        <v>73</v>
      </c>
      <c r="K13" s="1">
        <v>75.5</v>
      </c>
      <c r="L13" s="1">
        <v>75</v>
      </c>
      <c r="M13" s="1">
        <v>74.5</v>
      </c>
      <c r="N13" s="1">
        <v>74.5</v>
      </c>
      <c r="O13" s="1">
        <v>74</v>
      </c>
      <c r="P13" s="1">
        <v>74</v>
      </c>
      <c r="Q13" s="1">
        <v>73</v>
      </c>
    </row>
    <row r="14" spans="1:17" x14ac:dyDescent="0.3">
      <c r="A14" s="1" t="s">
        <v>19</v>
      </c>
      <c r="B14" s="4" t="s">
        <v>80</v>
      </c>
      <c r="C14" s="1">
        <f t="shared" si="2"/>
        <v>395</v>
      </c>
      <c r="D14" s="1">
        <f t="shared" si="3"/>
        <v>395</v>
      </c>
      <c r="E14" s="1">
        <f t="shared" si="3"/>
        <v>395</v>
      </c>
      <c r="F14" s="1">
        <f t="shared" si="3"/>
        <v>395</v>
      </c>
      <c r="G14" s="1">
        <f t="shared" si="3"/>
        <v>395</v>
      </c>
      <c r="H14" s="1">
        <f t="shared" si="3"/>
        <v>395</v>
      </c>
      <c r="I14" s="1">
        <f t="shared" si="3"/>
        <v>395</v>
      </c>
      <c r="K14" s="1">
        <v>395</v>
      </c>
      <c r="L14" s="1">
        <v>395</v>
      </c>
      <c r="M14" s="1">
        <v>395</v>
      </c>
      <c r="N14" s="1">
        <v>395</v>
      </c>
      <c r="O14" s="1">
        <v>395</v>
      </c>
      <c r="P14" s="1">
        <v>395</v>
      </c>
      <c r="Q14" s="1">
        <v>395</v>
      </c>
    </row>
    <row r="15" spans="1:17" x14ac:dyDescent="0.3">
      <c r="A15" s="1" t="s">
        <v>8</v>
      </c>
      <c r="B15" s="4" t="s">
        <v>81</v>
      </c>
      <c r="C15" s="1">
        <f t="shared" si="2"/>
        <v>71</v>
      </c>
      <c r="D15" s="1">
        <f t="shared" si="3"/>
        <v>71</v>
      </c>
      <c r="E15" s="1">
        <f t="shared" si="3"/>
        <v>71</v>
      </c>
      <c r="F15" s="1">
        <f t="shared" si="3"/>
        <v>71</v>
      </c>
      <c r="G15" s="1">
        <f t="shared" si="3"/>
        <v>71.5</v>
      </c>
      <c r="H15" s="1">
        <f t="shared" si="3"/>
        <v>71.5</v>
      </c>
      <c r="I15" s="1">
        <f t="shared" si="3"/>
        <v>71.5</v>
      </c>
      <c r="K15" s="1">
        <v>71</v>
      </c>
      <c r="L15" s="1">
        <v>71</v>
      </c>
      <c r="M15" s="1">
        <v>71</v>
      </c>
      <c r="N15" s="1">
        <v>71</v>
      </c>
      <c r="O15" s="1">
        <v>71.5</v>
      </c>
      <c r="P15" s="1">
        <v>71.5</v>
      </c>
      <c r="Q15" s="1">
        <v>71.5</v>
      </c>
    </row>
    <row r="16" spans="1:17" x14ac:dyDescent="0.3">
      <c r="A16" s="1" t="s">
        <v>18</v>
      </c>
      <c r="B16" s="4" t="s">
        <v>82</v>
      </c>
      <c r="C16" s="1">
        <f t="shared" si="2"/>
        <v>47</v>
      </c>
      <c r="D16" s="1">
        <f t="shared" si="3"/>
        <v>47</v>
      </c>
      <c r="E16" s="1">
        <f t="shared" si="3"/>
        <v>47</v>
      </c>
      <c r="F16" s="1">
        <f t="shared" si="3"/>
        <v>47</v>
      </c>
      <c r="G16" s="1">
        <f t="shared" si="3"/>
        <v>47</v>
      </c>
      <c r="H16" s="1">
        <f t="shared" si="3"/>
        <v>47</v>
      </c>
      <c r="I16" s="1">
        <f t="shared" si="3"/>
        <v>47</v>
      </c>
      <c r="K16" s="1">
        <v>47</v>
      </c>
      <c r="L16" s="1">
        <v>47</v>
      </c>
      <c r="M16" s="1">
        <v>47</v>
      </c>
      <c r="N16" s="1">
        <v>47</v>
      </c>
      <c r="O16" s="1">
        <v>47</v>
      </c>
      <c r="P16" s="1">
        <v>47</v>
      </c>
      <c r="Q16" s="1">
        <v>47</v>
      </c>
    </row>
    <row r="17" spans="1:17" x14ac:dyDescent="0.3">
      <c r="A17" s="1" t="s">
        <v>13</v>
      </c>
      <c r="B17" s="4" t="s">
        <v>83</v>
      </c>
      <c r="C17" s="1">
        <f t="shared" si="2"/>
        <v>72</v>
      </c>
      <c r="D17" s="1">
        <f t="shared" si="3"/>
        <v>72</v>
      </c>
      <c r="E17" s="1">
        <f t="shared" si="3"/>
        <v>72</v>
      </c>
      <c r="F17" s="1">
        <f t="shared" si="3"/>
        <v>72</v>
      </c>
      <c r="G17" s="1">
        <f t="shared" si="3"/>
        <v>72</v>
      </c>
      <c r="H17" s="1">
        <f t="shared" si="3"/>
        <v>72</v>
      </c>
      <c r="I17" s="1">
        <f t="shared" si="3"/>
        <v>72</v>
      </c>
      <c r="K17" s="1">
        <v>72</v>
      </c>
      <c r="L17" s="1">
        <v>72</v>
      </c>
      <c r="M17" s="1">
        <v>72</v>
      </c>
      <c r="N17" s="1">
        <v>72</v>
      </c>
      <c r="O17" s="1">
        <v>72</v>
      </c>
      <c r="P17" s="1">
        <v>72</v>
      </c>
      <c r="Q17" s="1">
        <v>72</v>
      </c>
    </row>
    <row r="18" spans="1:17" x14ac:dyDescent="0.3">
      <c r="A18" s="1" t="s">
        <v>15</v>
      </c>
      <c r="B18" s="4" t="s">
        <v>84</v>
      </c>
      <c r="C18" s="1">
        <f>K18*10</f>
        <v>691</v>
      </c>
      <c r="D18" s="1">
        <f t="shared" ref="D18:I19" si="4">L18*10</f>
        <v>714</v>
      </c>
      <c r="E18" s="1">
        <f t="shared" si="4"/>
        <v>742</v>
      </c>
      <c r="F18" s="1">
        <f t="shared" si="4"/>
        <v>774</v>
      </c>
      <c r="G18" s="1">
        <f t="shared" si="4"/>
        <v>791</v>
      </c>
      <c r="H18" s="1">
        <f t="shared" si="4"/>
        <v>807</v>
      </c>
      <c r="I18" s="1">
        <f t="shared" si="4"/>
        <v>826</v>
      </c>
      <c r="K18" s="1">
        <v>69.099999999999994</v>
      </c>
      <c r="L18" s="1">
        <v>71.400000000000006</v>
      </c>
      <c r="M18" s="1">
        <v>74.2</v>
      </c>
      <c r="N18" s="1">
        <v>77.400000000000006</v>
      </c>
      <c r="O18" s="1">
        <v>79.099999999999994</v>
      </c>
      <c r="P18" s="1">
        <v>80.7</v>
      </c>
      <c r="Q18" s="1">
        <v>82.6</v>
      </c>
    </row>
    <row r="19" spans="1:17" x14ac:dyDescent="0.3">
      <c r="A19" s="1" t="s">
        <v>14</v>
      </c>
      <c r="B19" s="4" t="s">
        <v>85</v>
      </c>
      <c r="C19" s="1">
        <f t="shared" si="1"/>
        <v>1010</v>
      </c>
      <c r="D19" s="1">
        <f t="shared" si="4"/>
        <v>1010</v>
      </c>
      <c r="E19" s="1">
        <f t="shared" si="4"/>
        <v>1010</v>
      </c>
      <c r="F19" s="1">
        <f t="shared" si="4"/>
        <v>1030</v>
      </c>
      <c r="G19" s="1">
        <f t="shared" si="4"/>
        <v>1040</v>
      </c>
      <c r="H19" s="1">
        <f t="shared" si="4"/>
        <v>1050</v>
      </c>
      <c r="I19" s="1">
        <f t="shared" si="4"/>
        <v>1050</v>
      </c>
      <c r="K19" s="1">
        <v>101</v>
      </c>
      <c r="L19" s="1">
        <v>101</v>
      </c>
      <c r="M19" s="1">
        <v>101</v>
      </c>
      <c r="N19" s="1">
        <v>103</v>
      </c>
      <c r="O19" s="1">
        <v>104</v>
      </c>
      <c r="P19" s="1">
        <v>105</v>
      </c>
      <c r="Q19" s="1">
        <v>105</v>
      </c>
    </row>
    <row r="20" spans="1:17" x14ac:dyDescent="0.3">
      <c r="A20" s="1" t="s">
        <v>17</v>
      </c>
      <c r="B20" s="4" t="s">
        <v>86</v>
      </c>
      <c r="C20" s="1">
        <f>K20</f>
        <v>543</v>
      </c>
      <c r="D20" s="1">
        <f t="shared" ref="D20:I21" si="5">L20</f>
        <v>543</v>
      </c>
      <c r="E20" s="1">
        <f t="shared" si="5"/>
        <v>555</v>
      </c>
      <c r="F20" s="1">
        <f t="shared" si="5"/>
        <v>575</v>
      </c>
      <c r="G20" s="1">
        <f t="shared" si="5"/>
        <v>594</v>
      </c>
      <c r="H20" s="1">
        <f t="shared" si="5"/>
        <v>611</v>
      </c>
      <c r="I20" s="1">
        <f t="shared" si="5"/>
        <v>630</v>
      </c>
      <c r="K20" s="1">
        <v>543</v>
      </c>
      <c r="L20" s="1">
        <v>543</v>
      </c>
      <c r="M20" s="1">
        <v>555</v>
      </c>
      <c r="N20" s="1">
        <v>575</v>
      </c>
      <c r="O20" s="1">
        <v>594</v>
      </c>
      <c r="P20" s="1">
        <v>611</v>
      </c>
      <c r="Q20" s="1">
        <v>630</v>
      </c>
    </row>
    <row r="21" spans="1:17" x14ac:dyDescent="0.3">
      <c r="A21" s="1" t="s">
        <v>16</v>
      </c>
      <c r="B21" s="4" t="s">
        <v>87</v>
      </c>
      <c r="C21" s="1">
        <f>K21</f>
        <v>370</v>
      </c>
      <c r="D21" s="1">
        <f t="shared" si="5"/>
        <v>370</v>
      </c>
      <c r="E21" s="1">
        <f t="shared" si="5"/>
        <v>367</v>
      </c>
      <c r="F21" s="1">
        <f t="shared" si="5"/>
        <v>381</v>
      </c>
      <c r="G21" s="1">
        <f t="shared" si="5"/>
        <v>387</v>
      </c>
      <c r="H21" s="1">
        <f t="shared" si="5"/>
        <v>393</v>
      </c>
      <c r="I21" s="1">
        <f t="shared" si="5"/>
        <v>386</v>
      </c>
      <c r="K21" s="1">
        <v>370</v>
      </c>
      <c r="L21" s="1">
        <v>370</v>
      </c>
      <c r="M21" s="1">
        <v>367</v>
      </c>
      <c r="N21" s="1">
        <v>381</v>
      </c>
      <c r="O21" s="1">
        <v>387</v>
      </c>
      <c r="P21" s="1">
        <v>393</v>
      </c>
      <c r="Q21" s="1">
        <v>386</v>
      </c>
    </row>
    <row r="22" spans="1:17" x14ac:dyDescent="0.3">
      <c r="A22" s="1" t="s">
        <v>20</v>
      </c>
      <c r="B22" s="1" t="s">
        <v>20</v>
      </c>
    </row>
    <row r="23" spans="1:17" x14ac:dyDescent="0.3">
      <c r="A23" s="1" t="s">
        <v>21</v>
      </c>
      <c r="B23" s="1" t="s">
        <v>21</v>
      </c>
    </row>
    <row r="24" spans="1:17" x14ac:dyDescent="0.3">
      <c r="A24" s="1" t="s">
        <v>22</v>
      </c>
      <c r="B24" s="1" t="s">
        <v>22</v>
      </c>
    </row>
    <row r="25" spans="1:17" x14ac:dyDescent="0.3">
      <c r="A25" s="1" t="s">
        <v>23</v>
      </c>
    </row>
    <row r="26" spans="1:17" x14ac:dyDescent="0.3">
      <c r="A26" s="1" t="s">
        <v>24</v>
      </c>
      <c r="B26" s="1" t="s">
        <v>24</v>
      </c>
      <c r="C26" s="1">
        <v>700</v>
      </c>
      <c r="D26" s="1">
        <v>700</v>
      </c>
      <c r="E26" s="1">
        <v>700</v>
      </c>
      <c r="F26" s="1">
        <v>700</v>
      </c>
      <c r="G26" s="1">
        <v>700</v>
      </c>
      <c r="H26" s="1">
        <v>700</v>
      </c>
      <c r="I26" s="1">
        <v>700</v>
      </c>
    </row>
    <row r="27" spans="1:17" x14ac:dyDescent="0.3">
      <c r="A27" s="1" t="s">
        <v>25</v>
      </c>
      <c r="B27" s="1" t="s">
        <v>25</v>
      </c>
      <c r="C27" s="1">
        <v>45</v>
      </c>
      <c r="D27" s="1">
        <v>45</v>
      </c>
      <c r="E27" s="1">
        <v>45</v>
      </c>
      <c r="F27" s="1">
        <v>45</v>
      </c>
      <c r="G27" s="1">
        <v>45</v>
      </c>
      <c r="H27" s="1">
        <v>45</v>
      </c>
      <c r="I27" s="1">
        <v>45</v>
      </c>
    </row>
    <row r="28" spans="1:17" x14ac:dyDescent="0.3">
      <c r="A28" s="1" t="s">
        <v>26</v>
      </c>
      <c r="B28" s="1" t="s">
        <v>26</v>
      </c>
      <c r="C28" s="1">
        <v>50</v>
      </c>
      <c r="D28" s="1">
        <v>50</v>
      </c>
      <c r="E28" s="1">
        <v>50</v>
      </c>
      <c r="F28" s="1">
        <v>50</v>
      </c>
      <c r="G28" s="1">
        <v>50</v>
      </c>
      <c r="H28" s="1">
        <v>50</v>
      </c>
      <c r="I28" s="1">
        <v>50</v>
      </c>
    </row>
    <row r="29" spans="1:17" x14ac:dyDescent="0.3">
      <c r="A29" s="1" t="s">
        <v>27</v>
      </c>
    </row>
    <row r="30" spans="1:17" x14ac:dyDescent="0.3">
      <c r="A30" s="1" t="s">
        <v>28</v>
      </c>
    </row>
    <row r="32" spans="1:17" x14ac:dyDescent="0.3">
      <c r="A32" s="1" t="s">
        <v>29</v>
      </c>
      <c r="B32" s="1" t="s">
        <v>30</v>
      </c>
    </row>
    <row r="33" spans="1:2" x14ac:dyDescent="0.3">
      <c r="A33" s="1" t="s">
        <v>66</v>
      </c>
      <c r="B33" s="1" t="s">
        <v>67</v>
      </c>
    </row>
    <row r="34" spans="1:2" x14ac:dyDescent="0.3">
      <c r="A34" s="1" t="s">
        <v>68</v>
      </c>
      <c r="B34" s="1" t="s">
        <v>69</v>
      </c>
    </row>
    <row r="35" spans="1:2" x14ac:dyDescent="0.3">
      <c r="A35" s="1" t="s">
        <v>70</v>
      </c>
      <c r="B35" s="1" t="s">
        <v>71</v>
      </c>
    </row>
    <row r="36" spans="1:2" x14ac:dyDescent="0.3">
      <c r="A36" s="1" t="s">
        <v>31</v>
      </c>
      <c r="B36" s="1" t="s">
        <v>88</v>
      </c>
    </row>
    <row r="37" spans="1:2" x14ac:dyDescent="0.3">
      <c r="A37" s="1" t="s">
        <v>32</v>
      </c>
    </row>
    <row r="38" spans="1:2" x14ac:dyDescent="0.3">
      <c r="A38" s="1" t="s">
        <v>33</v>
      </c>
    </row>
    <row r="39" spans="1:2" x14ac:dyDescent="0.3">
      <c r="A39" s="1" t="s">
        <v>34</v>
      </c>
      <c r="B39" s="1">
        <v>50</v>
      </c>
    </row>
    <row r="40" spans="1:2" x14ac:dyDescent="0.3">
      <c r="A40" s="1" t="s">
        <v>35</v>
      </c>
    </row>
    <row r="41" spans="1:2" x14ac:dyDescent="0.3">
      <c r="A41" s="1" t="s">
        <v>36</v>
      </c>
    </row>
    <row r="42" spans="1:2" x14ac:dyDescent="0.3">
      <c r="A42" s="1" t="s">
        <v>37</v>
      </c>
    </row>
    <row r="43" spans="1:2" x14ac:dyDescent="0.3">
      <c r="A43" s="1" t="s">
        <v>38</v>
      </c>
    </row>
    <row r="44" spans="1:2" x14ac:dyDescent="0.3">
      <c r="A44" s="1" t="s">
        <v>39</v>
      </c>
    </row>
    <row r="45" spans="1:2" x14ac:dyDescent="0.3">
      <c r="A45" s="1" t="s">
        <v>40</v>
      </c>
      <c r="B45" s="1">
        <v>142</v>
      </c>
    </row>
    <row r="46" spans="1:2" x14ac:dyDescent="0.3">
      <c r="A46" s="1" t="s">
        <v>41</v>
      </c>
      <c r="B46" s="1">
        <v>100</v>
      </c>
    </row>
    <row r="47" spans="1:2" x14ac:dyDescent="0.3">
      <c r="A47" s="1" t="s">
        <v>42</v>
      </c>
    </row>
    <row r="48" spans="1:2" x14ac:dyDescent="0.3">
      <c r="A48" s="1" t="s">
        <v>43</v>
      </c>
    </row>
    <row r="49" spans="1:2" x14ac:dyDescent="0.3">
      <c r="A49" s="1" t="s">
        <v>44</v>
      </c>
      <c r="B49" s="1">
        <v>27.2</v>
      </c>
    </row>
    <row r="50" spans="1:2" x14ac:dyDescent="0.3">
      <c r="A50" s="1" t="s">
        <v>45</v>
      </c>
      <c r="B50" s="1" t="s">
        <v>72</v>
      </c>
    </row>
    <row r="51" spans="1:2" x14ac:dyDescent="0.3">
      <c r="A51" s="1" t="s">
        <v>46</v>
      </c>
    </row>
    <row r="52" spans="1:2" x14ac:dyDescent="0.3">
      <c r="A52" s="1" t="s">
        <v>47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  <c r="B56" s="1" t="s">
        <v>99</v>
      </c>
    </row>
    <row r="57" spans="1:2" x14ac:dyDescent="0.3">
      <c r="A57" s="1" t="s">
        <v>52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>
        <v>1</v>
      </c>
    </row>
    <row r="63" spans="1:2" x14ac:dyDescent="0.3">
      <c r="A63" s="1" t="s">
        <v>58</v>
      </c>
    </row>
    <row r="64" spans="1:2" x14ac:dyDescent="0.3">
      <c r="A64" s="1" t="s">
        <v>59</v>
      </c>
      <c r="B64" s="1" t="s">
        <v>72</v>
      </c>
    </row>
    <row r="65" spans="1:2" x14ac:dyDescent="0.3">
      <c r="A65" s="1" t="s">
        <v>60</v>
      </c>
    </row>
    <row r="66" spans="1:2" x14ac:dyDescent="0.3">
      <c r="A66" s="1" t="s">
        <v>61</v>
      </c>
      <c r="B66" s="1" t="s">
        <v>72</v>
      </c>
    </row>
    <row r="67" spans="1:2" x14ac:dyDescent="0.3">
      <c r="A67" s="1" t="s">
        <v>62</v>
      </c>
      <c r="B67" s="1">
        <v>3095</v>
      </c>
    </row>
    <row r="68" spans="1:2" x14ac:dyDescent="0.3">
      <c r="A68" s="1" t="s">
        <v>63</v>
      </c>
      <c r="B68" s="1">
        <v>5395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101</v>
      </c>
    </row>
    <row r="71" spans="1:2" x14ac:dyDescent="0.3">
      <c r="A71" s="1" t="s">
        <v>102</v>
      </c>
      <c r="B71" s="1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2025-10-17T12:01:33Z</dcterms:modified>
</cp:coreProperties>
</file>