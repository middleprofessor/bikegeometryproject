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BC4FEC0-FD58-8A4D-9863-8649FB21023F}" xr6:coauthVersionLast="47" xr6:coauthVersionMax="47" xr10:uidLastSave="{00000000-0000-0000-0000-000000000000}"/>
  <bookViews>
    <workbookView xWindow="2860" yWindow="500" windowWidth="259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G36" i="1"/>
  <c r="D36" i="1"/>
  <c r="E36" i="1"/>
  <c r="F36" i="1"/>
  <c r="C36" i="1"/>
  <c r="E35" i="1"/>
  <c r="F35" i="1"/>
  <c r="G35" i="1"/>
  <c r="D35" i="1"/>
  <c r="C38" i="1"/>
  <c r="D38" i="1"/>
  <c r="E38" i="1"/>
  <c r="F38" i="1"/>
  <c r="G38" i="1"/>
  <c r="D37" i="1"/>
  <c r="E37" i="1"/>
  <c r="F37" i="1"/>
  <c r="G37" i="1"/>
  <c r="C37" i="1"/>
</calcChain>
</file>

<file path=xl/sharedStrings.xml><?xml version="1.0" encoding="utf-8"?>
<sst xmlns="http://schemas.openxmlformats.org/spreadsheetml/2006/main" count="127" uniqueCount="125">
  <si>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</si>
  <si>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</si>
  <si>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</si>
  <si>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</si>
  <si>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</si>
  <si>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</si>
  <si>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</si>
  <si>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</si>
  <si>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</si>
  <si>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</si>
  <si>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</si>
  <si>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</si>
  <si>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</si>
  <si>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</si>
  <si>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</si>
  <si>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</si>
  <si>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</si>
  <si>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</si>
  <si>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</si>
  <si>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</si>
  <si>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</si>
  <si>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</si>
  <si>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</si>
  <si>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</si>
  <si>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</si>
  <si>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</si>
  <si>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</si>
  <si>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</si>
  <si>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</si>
  <si>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</si>
  <si>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</si>
  <si>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</si>
  <si>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</si>
  <si>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</si>
  <si>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</si>
  <si>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</si>
  <si>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</si>
  <si>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</si>
  <si>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</si>
  <si>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</si>
  <si>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</si>
  <si>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</si>
  <si>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</si>
  <si>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</si>
  <si>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</si>
  <si>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</si>
  <si>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</si>
  <si>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</si>
  <si>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</si>
  <si>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</si>
  <si>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</si>
  <si>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</si>
  <si>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</si>
  <si>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</si>
  <si>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</si>
  <si>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</si>
  <si>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</si>
  <si>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</si>
  <si>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</si>
  <si>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</si>
  <si>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</si>
  <si>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</si>
  <si>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</si>
  <si>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</si>
  <si>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</si>
  <si>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</si>
  <si>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</si>
  <si>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</si>
  <si>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</si>
  <si>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</si>
  <si>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</si>
  <si>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</si>
  <si>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</si>
  <si>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</si>
  <si>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Bridge Bike Works</t>
  </si>
  <si>
    <t>Surveyor Gravel</t>
  </si>
  <si>
    <t>https://www.bridgebikeworks.com/collections/surveyor-gravel</t>
  </si>
  <si>
    <t>Size 51</t>
  </si>
  <si>
    <t>Size 53</t>
  </si>
  <si>
    <t>Size 55</t>
  </si>
  <si>
    <t>Size 57</t>
  </si>
  <si>
    <t>Size 59</t>
  </si>
  <si>
    <t>Average Rider Height</t>
  </si>
  <si>
    <t>5'1" to 5’6”</t>
  </si>
  <si>
    <t>5'4” to 5'9”</t>
  </si>
  <si>
    <t>5'7” to 6'0"</t>
  </si>
  <si>
    <t>5'10 to 6'3"</t>
  </si>
  <si>
    <t>6’1” to 6'6"</t>
  </si>
  <si>
    <t>S-Stack</t>
  </si>
  <si>
    <t>R-Reach</t>
  </si>
  <si>
    <t>VTT-Virtual Top Tube</t>
  </si>
  <si>
    <t>HT-Headtube</t>
  </si>
  <si>
    <t>HA-Head Angle</t>
  </si>
  <si>
    <t>SA-Seat Angle</t>
  </si>
  <si>
    <t>BBD-BB Drop</t>
  </si>
  <si>
    <t>WB-Wheelbase</t>
  </si>
  <si>
    <t>FC-Front-Center</t>
  </si>
  <si>
    <t>F-Fork A-C</t>
  </si>
  <si>
    <t>FR-Fork Rake</t>
  </si>
  <si>
    <t>T-Trail 40c Tire</t>
  </si>
  <si>
    <t>T-Trail 28c Tire</t>
  </si>
  <si>
    <t>CS-Chain Stay Length</t>
  </si>
  <si>
    <t>SL-TT Slope</t>
  </si>
  <si>
    <t>ST-Seat Tube C-T</t>
  </si>
  <si>
    <t>Handlebar Width</t>
  </si>
  <si>
    <t>Stem Length</t>
  </si>
  <si>
    <t>Seatpost Offset</t>
  </si>
  <si>
    <t>Crankset</t>
  </si>
  <si>
    <t>Saddle Width</t>
  </si>
  <si>
    <t>frame size</t>
  </si>
  <si>
    <t>front_center</t>
  </si>
  <si>
    <t>trail</t>
  </si>
  <si>
    <t>trail_28</t>
  </si>
  <si>
    <t>TT_slope</t>
  </si>
  <si>
    <t>seatpost-offset</t>
  </si>
  <si>
    <t>saddle_width</t>
  </si>
  <si>
    <t>rider_min_spec</t>
  </si>
  <si>
    <t>rider_max_spec</t>
  </si>
  <si>
    <t>threaded</t>
  </si>
  <si>
    <t>integrated</t>
  </si>
  <si>
    <t>a8:g38</t>
  </si>
  <si>
    <t>https://www.bridgebikeworks.com/cdn/shop/files/Bridge_Bike_Works_Surveyor_RedXPLR_2026-Ocean-Sky_B_01_1800x1800.jpg?v=1754594877</t>
  </si>
  <si>
    <t>location</t>
  </si>
  <si>
    <t>Toronto, Ontario, Canada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</si>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</sst>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1A182D"/>
      <name val="Arial"/>
      <family val="2"/>
    </font>
    <font>
      <sz val="14"/>
      <color rgb="FF1A182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60" workbookViewId="0">
      <selection activeCell="B78" sqref="B78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74</v>
      </c>
    </row>
    <row r="2" spans="1:9" x14ac:dyDescent="0.3">
      <c r="A2" t="s">
        <v>1</v>
      </c>
      <c r="B2" s="1" t="s">
        <v>75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45900</v>
      </c>
    </row>
    <row r="5" spans="1:9" x14ac:dyDescent="0.3">
      <c r="A5" t="s">
        <v>4</v>
      </c>
      <c r="B5" t="s">
        <v>76</v>
      </c>
    </row>
    <row r="6" spans="1:9" x14ac:dyDescent="0.3">
      <c r="B6" t="s">
        <v>121</v>
      </c>
    </row>
    <row r="7" spans="1:9" x14ac:dyDescent="0.3">
      <c r="A7" t="s">
        <v>5</v>
      </c>
      <c r="B7" s="1" t="s">
        <v>120</v>
      </c>
    </row>
    <row r="8" spans="1:9" x14ac:dyDescent="0.3">
      <c r="A8" t="s">
        <v>6</v>
      </c>
      <c r="B8" s="1" t="s">
        <v>109</v>
      </c>
      <c r="C8" s="3" t="s">
        <v>77</v>
      </c>
      <c r="D8" s="3" t="s">
        <v>78</v>
      </c>
      <c r="E8" s="3" t="s">
        <v>79</v>
      </c>
      <c r="F8" s="3" t="s">
        <v>80</v>
      </c>
      <c r="G8" s="3" t="s">
        <v>81</v>
      </c>
      <c r="I8" s="1"/>
    </row>
    <row r="9" spans="1:9" x14ac:dyDescent="0.3">
      <c r="A9" t="s">
        <v>16</v>
      </c>
      <c r="B9" s="4" t="s">
        <v>88</v>
      </c>
      <c r="C9" s="4">
        <v>510</v>
      </c>
      <c r="D9" s="4">
        <v>539</v>
      </c>
      <c r="E9" s="4">
        <v>568</v>
      </c>
      <c r="F9" s="4">
        <v>596</v>
      </c>
      <c r="G9" s="4">
        <v>625</v>
      </c>
    </row>
    <row r="10" spans="1:9" x14ac:dyDescent="0.3">
      <c r="A10" t="s">
        <v>17</v>
      </c>
      <c r="B10" s="4" t="s">
        <v>89</v>
      </c>
      <c r="C10" s="4">
        <v>376</v>
      </c>
      <c r="D10" s="4">
        <v>383</v>
      </c>
      <c r="E10" s="4">
        <v>391</v>
      </c>
      <c r="F10" s="4">
        <v>398</v>
      </c>
      <c r="G10" s="4">
        <v>405</v>
      </c>
    </row>
    <row r="11" spans="1:9" x14ac:dyDescent="0.3">
      <c r="A11" t="s">
        <v>8</v>
      </c>
      <c r="B11" s="4" t="s">
        <v>90</v>
      </c>
      <c r="C11" s="4">
        <v>512.70000000000005</v>
      </c>
      <c r="D11" s="4">
        <v>527.4</v>
      </c>
      <c r="E11" s="4">
        <v>548.5</v>
      </c>
      <c r="F11" s="4">
        <v>568.9</v>
      </c>
      <c r="G11" s="4">
        <v>584.20000000000005</v>
      </c>
    </row>
    <row r="12" spans="1:9" x14ac:dyDescent="0.3">
      <c r="A12" t="s">
        <v>9</v>
      </c>
      <c r="B12" s="4" t="s">
        <v>91</v>
      </c>
      <c r="C12" s="4">
        <v>90.1</v>
      </c>
      <c r="D12" s="4">
        <v>119.7</v>
      </c>
      <c r="E12" s="4">
        <v>145.30000000000001</v>
      </c>
      <c r="F12" s="4">
        <v>173.6</v>
      </c>
      <c r="G12" s="4">
        <v>203</v>
      </c>
    </row>
    <row r="13" spans="1:9" x14ac:dyDescent="0.3">
      <c r="A13" t="s">
        <v>11</v>
      </c>
      <c r="B13" s="4" t="s">
        <v>92</v>
      </c>
      <c r="C13" s="4">
        <v>71</v>
      </c>
      <c r="D13" s="4">
        <v>71.3</v>
      </c>
      <c r="E13" s="4">
        <v>72.5</v>
      </c>
      <c r="F13" s="4">
        <v>72.8</v>
      </c>
      <c r="G13" s="4">
        <v>73</v>
      </c>
    </row>
    <row r="14" spans="1:9" x14ac:dyDescent="0.3">
      <c r="A14" t="s">
        <v>10</v>
      </c>
      <c r="B14" s="4" t="s">
        <v>93</v>
      </c>
      <c r="C14" s="4">
        <v>74</v>
      </c>
      <c r="D14" s="4">
        <v>74</v>
      </c>
      <c r="E14" s="4">
        <v>73.5</v>
      </c>
      <c r="F14" s="4">
        <v>73</v>
      </c>
      <c r="G14" s="4">
        <v>73</v>
      </c>
    </row>
    <row r="15" spans="1:9" x14ac:dyDescent="0.3">
      <c r="A15" t="s">
        <v>13</v>
      </c>
      <c r="B15" s="4" t="s">
        <v>94</v>
      </c>
      <c r="C15" s="4">
        <v>80</v>
      </c>
      <c r="D15" s="4">
        <v>80</v>
      </c>
      <c r="E15" s="4">
        <v>78</v>
      </c>
      <c r="F15" s="4">
        <v>78</v>
      </c>
      <c r="G15" s="4">
        <v>78</v>
      </c>
    </row>
    <row r="16" spans="1:9" x14ac:dyDescent="0.3">
      <c r="A16" t="s">
        <v>14</v>
      </c>
      <c r="B16" s="4" t="s">
        <v>95</v>
      </c>
      <c r="C16" s="4">
        <v>989.5</v>
      </c>
      <c r="D16" s="4">
        <v>1004.2</v>
      </c>
      <c r="E16" s="4">
        <v>1003.3</v>
      </c>
      <c r="F16" s="4">
        <v>1016.6</v>
      </c>
      <c r="G16" s="4">
        <v>1029.9000000000001</v>
      </c>
    </row>
    <row r="17" spans="1:7" x14ac:dyDescent="0.3">
      <c r="A17" s="1" t="s">
        <v>110</v>
      </c>
      <c r="B17" s="4" t="s">
        <v>96</v>
      </c>
      <c r="C17" s="4">
        <v>585.70000000000005</v>
      </c>
      <c r="D17" s="4">
        <v>600.20000000000005</v>
      </c>
      <c r="E17" s="4">
        <v>598.70000000000005</v>
      </c>
      <c r="F17" s="4">
        <v>611.9</v>
      </c>
      <c r="G17" s="4">
        <v>625.1</v>
      </c>
    </row>
    <row r="18" spans="1:7" x14ac:dyDescent="0.3">
      <c r="A18" t="s">
        <v>22</v>
      </c>
      <c r="B18" s="4" t="s">
        <v>97</v>
      </c>
      <c r="C18" s="4">
        <v>382.5</v>
      </c>
      <c r="D18" s="4">
        <v>382.5</v>
      </c>
      <c r="E18" s="4">
        <v>382.5</v>
      </c>
      <c r="F18" s="4">
        <v>382.5</v>
      </c>
      <c r="G18" s="4">
        <v>382.5</v>
      </c>
    </row>
    <row r="19" spans="1:7" x14ac:dyDescent="0.3">
      <c r="A19" t="s">
        <v>18</v>
      </c>
      <c r="B19" s="4" t="s">
        <v>98</v>
      </c>
      <c r="C19" s="4">
        <v>53</v>
      </c>
      <c r="D19" s="4">
        <v>53</v>
      </c>
      <c r="E19" s="4">
        <v>46</v>
      </c>
      <c r="F19" s="4">
        <v>46</v>
      </c>
      <c r="G19" s="4">
        <v>46</v>
      </c>
    </row>
    <row r="20" spans="1:7" x14ac:dyDescent="0.3">
      <c r="A20" s="1" t="s">
        <v>111</v>
      </c>
      <c r="B20" s="4" t="s">
        <v>99</v>
      </c>
      <c r="C20" s="4">
        <v>65.5</v>
      </c>
      <c r="D20" s="4">
        <v>63.9</v>
      </c>
      <c r="E20" s="4">
        <v>63.3</v>
      </c>
      <c r="F20" s="4">
        <v>61.7</v>
      </c>
      <c r="G20" s="4">
        <v>60</v>
      </c>
    </row>
    <row r="21" spans="1:7" x14ac:dyDescent="0.3">
      <c r="A21" s="1" t="s">
        <v>112</v>
      </c>
      <c r="B21" s="4" t="s">
        <v>100</v>
      </c>
      <c r="C21" s="4">
        <v>60.5</v>
      </c>
      <c r="D21" s="4">
        <v>59</v>
      </c>
      <c r="E21" s="4">
        <v>58.9</v>
      </c>
      <c r="F21" s="4">
        <v>57.4</v>
      </c>
      <c r="G21" s="4">
        <v>55.8</v>
      </c>
    </row>
    <row r="22" spans="1:7" x14ac:dyDescent="0.3">
      <c r="A22" t="s">
        <v>12</v>
      </c>
      <c r="B22" s="4" t="s">
        <v>101</v>
      </c>
      <c r="C22" s="4">
        <v>417</v>
      </c>
      <c r="D22" s="4">
        <v>417</v>
      </c>
      <c r="E22" s="4">
        <v>417</v>
      </c>
      <c r="F22" s="4">
        <v>417</v>
      </c>
      <c r="G22" s="4">
        <v>417</v>
      </c>
    </row>
    <row r="23" spans="1:7" x14ac:dyDescent="0.3">
      <c r="A23" s="1" t="s">
        <v>113</v>
      </c>
      <c r="B23" s="4" t="s">
        <v>102</v>
      </c>
      <c r="C23" s="4">
        <v>10</v>
      </c>
      <c r="D23" s="4">
        <v>10</v>
      </c>
      <c r="E23" s="4">
        <v>8</v>
      </c>
      <c r="F23" s="4">
        <v>8</v>
      </c>
      <c r="G23" s="4">
        <v>8</v>
      </c>
    </row>
    <row r="24" spans="1:7" x14ac:dyDescent="0.3">
      <c r="A24" t="s">
        <v>7</v>
      </c>
      <c r="B24" s="4" t="s">
        <v>103</v>
      </c>
      <c r="C24" s="4">
        <v>459.4</v>
      </c>
      <c r="D24" s="4">
        <v>487</v>
      </c>
      <c r="E24" s="4">
        <v>532.20000000000005</v>
      </c>
      <c r="F24" s="4">
        <v>559.79999999999995</v>
      </c>
      <c r="G24" s="4">
        <v>587.9</v>
      </c>
    </row>
    <row r="25" spans="1:7" x14ac:dyDescent="0.3">
      <c r="A25" t="s">
        <v>20</v>
      </c>
      <c r="B25" s="4" t="s">
        <v>104</v>
      </c>
      <c r="C25" s="4">
        <v>380</v>
      </c>
      <c r="D25" s="4">
        <v>380</v>
      </c>
      <c r="E25" s="4">
        <v>400</v>
      </c>
      <c r="F25" s="4">
        <v>400</v>
      </c>
      <c r="G25" s="4">
        <v>420</v>
      </c>
    </row>
    <row r="26" spans="1:7" x14ac:dyDescent="0.3">
      <c r="A26" t="s">
        <v>21</v>
      </c>
      <c r="B26" s="4" t="s">
        <v>105</v>
      </c>
      <c r="C26" s="4">
        <v>90</v>
      </c>
      <c r="D26" s="4">
        <v>90</v>
      </c>
      <c r="E26" s="4">
        <v>100</v>
      </c>
      <c r="F26" s="4">
        <v>100</v>
      </c>
      <c r="G26" s="4">
        <v>110</v>
      </c>
    </row>
    <row r="27" spans="1:7" x14ac:dyDescent="0.3">
      <c r="A27" s="1" t="s">
        <v>114</v>
      </c>
      <c r="B27" s="4" t="s">
        <v>106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</row>
    <row r="28" spans="1:7" x14ac:dyDescent="0.3">
      <c r="A28" t="s">
        <v>19</v>
      </c>
      <c r="B28" s="4" t="s">
        <v>107</v>
      </c>
      <c r="C28" s="4">
        <v>170</v>
      </c>
      <c r="D28" s="4">
        <v>170</v>
      </c>
      <c r="E28" s="4">
        <v>172.5</v>
      </c>
      <c r="F28" s="4">
        <v>172.5</v>
      </c>
      <c r="G28" s="4">
        <v>175</v>
      </c>
    </row>
    <row r="29" spans="1:7" x14ac:dyDescent="0.3">
      <c r="A29" s="1" t="s">
        <v>115</v>
      </c>
      <c r="B29" s="4" t="s">
        <v>108</v>
      </c>
      <c r="C29" s="4">
        <v>140</v>
      </c>
      <c r="D29" s="4">
        <v>140</v>
      </c>
      <c r="E29" s="4">
        <v>140</v>
      </c>
      <c r="F29" s="4">
        <v>150</v>
      </c>
      <c r="G29" s="4">
        <v>150</v>
      </c>
    </row>
    <row r="30" spans="1:7" x14ac:dyDescent="0.3">
      <c r="A30" t="s">
        <v>15</v>
      </c>
    </row>
    <row r="31" spans="1:7" x14ac:dyDescent="0.3">
      <c r="A31" t="s">
        <v>23</v>
      </c>
    </row>
    <row r="32" spans="1:7" x14ac:dyDescent="0.3">
      <c r="A32" t="s">
        <v>24</v>
      </c>
      <c r="C32" s="4">
        <v>700</v>
      </c>
      <c r="D32" s="4">
        <v>700</v>
      </c>
      <c r="E32" s="4">
        <v>700</v>
      </c>
      <c r="F32" s="4">
        <v>700</v>
      </c>
      <c r="G32" s="4">
        <v>700</v>
      </c>
    </row>
    <row r="33" spans="1:8" x14ac:dyDescent="0.3">
      <c r="A33" t="s">
        <v>25</v>
      </c>
      <c r="C33" s="4">
        <v>40</v>
      </c>
      <c r="D33" s="4">
        <v>40</v>
      </c>
      <c r="E33" s="4">
        <v>40</v>
      </c>
      <c r="F33" s="4">
        <v>40</v>
      </c>
      <c r="G33" s="4">
        <v>40</v>
      </c>
    </row>
    <row r="34" spans="1:8" x14ac:dyDescent="0.3">
      <c r="A34" t="s">
        <v>26</v>
      </c>
      <c r="C34">
        <v>40</v>
      </c>
      <c r="D34">
        <v>40</v>
      </c>
      <c r="E34">
        <v>40</v>
      </c>
      <c r="F34">
        <v>40</v>
      </c>
      <c r="G34">
        <v>40</v>
      </c>
    </row>
    <row r="35" spans="1:8" x14ac:dyDescent="0.3">
      <c r="A35" t="s">
        <v>27</v>
      </c>
      <c r="C35">
        <f>C37</f>
        <v>154.94</v>
      </c>
      <c r="D35">
        <f>AVERAGE(D37,C38)</f>
        <v>165.10000000000002</v>
      </c>
      <c r="E35">
        <f t="shared" ref="E35:G35" si="0">AVERAGE(E37,D38)</f>
        <v>172.72</v>
      </c>
      <c r="F35">
        <f t="shared" si="0"/>
        <v>180.34</v>
      </c>
      <c r="G35">
        <f t="shared" si="0"/>
        <v>187.96</v>
      </c>
    </row>
    <row r="36" spans="1:8" x14ac:dyDescent="0.3">
      <c r="A36" t="s">
        <v>28</v>
      </c>
      <c r="C36">
        <f>D35</f>
        <v>165.10000000000002</v>
      </c>
      <c r="D36">
        <f t="shared" ref="D36:F36" si="1">E35</f>
        <v>172.72</v>
      </c>
      <c r="E36">
        <f t="shared" si="1"/>
        <v>180.34</v>
      </c>
      <c r="F36">
        <f t="shared" si="1"/>
        <v>187.96</v>
      </c>
      <c r="G36">
        <f>G38</f>
        <v>198.12</v>
      </c>
    </row>
    <row r="37" spans="1:8" x14ac:dyDescent="0.3">
      <c r="A37" s="1" t="s">
        <v>116</v>
      </c>
      <c r="C37">
        <f>C39*2.54</f>
        <v>154.94</v>
      </c>
      <c r="D37">
        <f t="shared" ref="D37:G38" si="2">D39*2.54</f>
        <v>162.56</v>
      </c>
      <c r="E37">
        <f t="shared" si="2"/>
        <v>170.18</v>
      </c>
      <c r="F37">
        <f t="shared" si="2"/>
        <v>177.8</v>
      </c>
      <c r="G37">
        <f t="shared" si="2"/>
        <v>185.42000000000002</v>
      </c>
    </row>
    <row r="38" spans="1:8" x14ac:dyDescent="0.3">
      <c r="A38" s="1" t="s">
        <v>117</v>
      </c>
      <c r="C38">
        <f>C40*2.54</f>
        <v>167.64000000000001</v>
      </c>
      <c r="D38">
        <f t="shared" si="2"/>
        <v>175.26</v>
      </c>
      <c r="E38">
        <f t="shared" si="2"/>
        <v>182.88</v>
      </c>
      <c r="F38">
        <f t="shared" si="2"/>
        <v>190.5</v>
      </c>
      <c r="G38">
        <f t="shared" si="2"/>
        <v>198.12</v>
      </c>
    </row>
    <row r="39" spans="1:8" x14ac:dyDescent="0.3">
      <c r="C39">
        <v>61</v>
      </c>
      <c r="D39">
        <v>64</v>
      </c>
      <c r="E39">
        <v>67</v>
      </c>
      <c r="F39">
        <v>70</v>
      </c>
      <c r="G39">
        <v>73</v>
      </c>
    </row>
    <row r="40" spans="1:8" x14ac:dyDescent="0.3">
      <c r="A40" t="s">
        <v>29</v>
      </c>
      <c r="B40" t="s">
        <v>30</v>
      </c>
      <c r="C40">
        <v>66</v>
      </c>
      <c r="D40">
        <v>69</v>
      </c>
      <c r="E40">
        <v>72</v>
      </c>
      <c r="F40">
        <v>75</v>
      </c>
      <c r="G40">
        <v>78</v>
      </c>
    </row>
    <row r="41" spans="1:8" x14ac:dyDescent="0.3">
      <c r="A41" t="s">
        <v>67</v>
      </c>
      <c r="B41" t="s">
        <v>68</v>
      </c>
      <c r="C41" s="4" t="s">
        <v>83</v>
      </c>
      <c r="D41" s="4" t="s">
        <v>84</v>
      </c>
      <c r="E41" s="4" t="s">
        <v>85</v>
      </c>
      <c r="F41" s="4" t="s">
        <v>86</v>
      </c>
      <c r="G41" s="4" t="s">
        <v>87</v>
      </c>
      <c r="H41" s="4" t="s">
        <v>82</v>
      </c>
    </row>
    <row r="42" spans="1:8" x14ac:dyDescent="0.3">
      <c r="A42" t="s">
        <v>69</v>
      </c>
      <c r="B42" t="s">
        <v>70</v>
      </c>
    </row>
    <row r="43" spans="1:8" x14ac:dyDescent="0.3">
      <c r="A43" t="s">
        <v>71</v>
      </c>
      <c r="B43" t="s">
        <v>72</v>
      </c>
    </row>
    <row r="44" spans="1:8" x14ac:dyDescent="0.3">
      <c r="A44" t="s">
        <v>31</v>
      </c>
      <c r="B44" t="s">
        <v>32</v>
      </c>
    </row>
    <row r="45" spans="1:8" x14ac:dyDescent="0.3">
      <c r="A45" t="s">
        <v>33</v>
      </c>
      <c r="B45" s="1" t="s">
        <v>73</v>
      </c>
    </row>
    <row r="46" spans="1:8" x14ac:dyDescent="0.3">
      <c r="A46" t="s">
        <v>34</v>
      </c>
    </row>
    <row r="47" spans="1:8" x14ac:dyDescent="0.3">
      <c r="A47" t="s">
        <v>35</v>
      </c>
      <c r="B47">
        <v>40</v>
      </c>
    </row>
    <row r="48" spans="1:8" x14ac:dyDescent="0.3">
      <c r="A48" t="s">
        <v>36</v>
      </c>
    </row>
    <row r="49" spans="1:2" x14ac:dyDescent="0.3">
      <c r="A49" t="s">
        <v>37</v>
      </c>
    </row>
    <row r="50" spans="1:2" x14ac:dyDescent="0.3">
      <c r="A50" t="s">
        <v>38</v>
      </c>
    </row>
    <row r="51" spans="1:2" x14ac:dyDescent="0.3">
      <c r="A51" t="s">
        <v>39</v>
      </c>
    </row>
    <row r="52" spans="1:2" x14ac:dyDescent="0.3">
      <c r="A52" t="s">
        <v>40</v>
      </c>
    </row>
    <row r="53" spans="1:2" x14ac:dyDescent="0.3">
      <c r="A53" t="s">
        <v>41</v>
      </c>
      <c r="B53">
        <v>142</v>
      </c>
    </row>
    <row r="54" spans="1:2" x14ac:dyDescent="0.3">
      <c r="A54" t="s">
        <v>42</v>
      </c>
      <c r="B54">
        <v>100</v>
      </c>
    </row>
    <row r="55" spans="1:2" x14ac:dyDescent="0.3">
      <c r="A55" t="s">
        <v>43</v>
      </c>
      <c r="B55" s="1" t="s">
        <v>118</v>
      </c>
    </row>
    <row r="56" spans="1:2" x14ac:dyDescent="0.3">
      <c r="A56" t="s">
        <v>44</v>
      </c>
    </row>
    <row r="57" spans="1:2" x14ac:dyDescent="0.3">
      <c r="A57" t="s">
        <v>45</v>
      </c>
      <c r="B57">
        <v>27.2</v>
      </c>
    </row>
    <row r="58" spans="1:2" x14ac:dyDescent="0.3">
      <c r="A58" t="s">
        <v>46</v>
      </c>
      <c r="B58" s="1" t="s">
        <v>73</v>
      </c>
    </row>
    <row r="59" spans="1:2" x14ac:dyDescent="0.3">
      <c r="A59" t="s">
        <v>47</v>
      </c>
    </row>
    <row r="60" spans="1:2" x14ac:dyDescent="0.3">
      <c r="A60" t="s">
        <v>48</v>
      </c>
    </row>
    <row r="61" spans="1:2" x14ac:dyDescent="0.3">
      <c r="A61" t="s">
        <v>49</v>
      </c>
    </row>
    <row r="62" spans="1:2" x14ac:dyDescent="0.3">
      <c r="A62" t="s">
        <v>50</v>
      </c>
    </row>
    <row r="63" spans="1:2" x14ac:dyDescent="0.3">
      <c r="A63" t="s">
        <v>51</v>
      </c>
    </row>
    <row r="64" spans="1:2" x14ac:dyDescent="0.3">
      <c r="A64" t="s">
        <v>52</v>
      </c>
      <c r="B64" s="1" t="s">
        <v>119</v>
      </c>
    </row>
    <row r="65" spans="1:2" x14ac:dyDescent="0.3">
      <c r="A65" t="s">
        <v>53</v>
      </c>
    </row>
    <row r="66" spans="1:2" x14ac:dyDescent="0.3">
      <c r="A66" t="s">
        <v>54</v>
      </c>
      <c r="B66" s="1"/>
    </row>
    <row r="67" spans="1:2" x14ac:dyDescent="0.3">
      <c r="A67" t="s">
        <v>55</v>
      </c>
    </row>
    <row r="68" spans="1:2" x14ac:dyDescent="0.3">
      <c r="A68" t="s">
        <v>56</v>
      </c>
      <c r="B68">
        <v>2</v>
      </c>
    </row>
    <row r="69" spans="1:2" x14ac:dyDescent="0.3">
      <c r="A69" t="s">
        <v>57</v>
      </c>
    </row>
    <row r="70" spans="1:2" x14ac:dyDescent="0.3">
      <c r="A70" t="s">
        <v>58</v>
      </c>
    </row>
    <row r="71" spans="1:2" x14ac:dyDescent="0.3">
      <c r="A71" t="s">
        <v>59</v>
      </c>
      <c r="B71" s="1"/>
    </row>
    <row r="72" spans="1:2" x14ac:dyDescent="0.3">
      <c r="A72" t="s">
        <v>60</v>
      </c>
      <c r="B72" s="1"/>
    </row>
    <row r="73" spans="1:2" x14ac:dyDescent="0.3">
      <c r="A73" t="s">
        <v>61</v>
      </c>
    </row>
    <row r="74" spans="1:2" x14ac:dyDescent="0.3">
      <c r="A74" t="s">
        <v>62</v>
      </c>
      <c r="B74" s="1"/>
    </row>
    <row r="75" spans="1:2" x14ac:dyDescent="0.3">
      <c r="A75" t="s">
        <v>63</v>
      </c>
      <c r="B75" s="1">
        <v>6499</v>
      </c>
    </row>
    <row r="76" spans="1:2" x14ac:dyDescent="0.3">
      <c r="A76" t="s">
        <v>64</v>
      </c>
      <c r="B76">
        <v>12999</v>
      </c>
    </row>
    <row r="77" spans="1:2" x14ac:dyDescent="0.3">
      <c r="A77" t="s">
        <v>65</v>
      </c>
      <c r="B77" s="1" t="s">
        <v>73</v>
      </c>
    </row>
    <row r="78" spans="1:2" x14ac:dyDescent="0.3">
      <c r="A78" t="s">
        <v>66</v>
      </c>
      <c r="B78" s="1" t="s">
        <v>124</v>
      </c>
    </row>
    <row r="79" spans="1:2" x14ac:dyDescent="0.3">
      <c r="A79" t="s">
        <v>122</v>
      </c>
      <c r="B79" t="s">
        <v>123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2025-10-17T11:24:05Z</dcterms:modified>
</cp:coreProperties>
</file>