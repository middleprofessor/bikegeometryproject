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18C0538-0896-E243-9A21-FCAC48310D2E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C24" i="1"/>
  <c r="E33" i="1"/>
  <c r="D34" i="1" s="1"/>
  <c r="F33" i="1"/>
  <c r="E34" i="1" s="1"/>
  <c r="D33" i="1"/>
  <c r="C34" i="1" s="1"/>
  <c r="F34" i="1"/>
  <c r="C33" i="1"/>
</calcChain>
</file>

<file path=xl/sharedStrings.xml><?xml version="1.0" encoding="utf-8"?>
<sst xmlns="http://schemas.openxmlformats.org/spreadsheetml/2006/main" count="121" uniqueCount="114">
  <si>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</si>
  <si>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</si>
  <si>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</si>
  <si>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</si>
  <si>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</si>
  <si>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</si>
  <si>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</si>
  <si>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</si>
  <si>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</si>
  <si>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</si>
  <si>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</si>
  <si>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</si>
  <si>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</si>
  <si>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</si>
  <si>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</si>
  <si>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</si>
  <si>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</si>
  <si>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</si>
  <si>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</si>
  <si>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</si>
  <si>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</si>
  <si>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</si>
  <si>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</si>
  <si>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</si>
  <si>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</si>
  <si>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</si>
  <si>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</si>
  <si>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</si>
  <si>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</si>
  <si>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</si>
  <si>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</si>
  <si>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</si>
  <si>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</si>
  <si>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</si>
  <si>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</si>
  <si>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</si>
  <si>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</si>
  <si>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</si>
  <si>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</si>
  <si>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</si>
  <si>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</si>
  <si>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</si>
  <si>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</si>
  <si>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</si>
  <si>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</si>
  <si>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</si>
  <si>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</si>
  <si>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</si>
  <si>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</si>
  <si>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</si>
  <si>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</si>
  <si>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</si>
  <si>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</si>
  <si>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</si>
  <si>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</si>
  <si>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</si>
  <si>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</si>
  <si>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</si>
  <si>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</si>
  <si>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</si>
  <si>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</si>
  <si>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</si>
  <si>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</si>
  <si>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</si>
  <si>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</si>
  <si>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</si>
  <si>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</si>
  <si>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Size</t>
  </si>
  <si>
    <t>Rider Height (cm)</t>
  </si>
  <si>
    <t>157-171</t>
  </si>
  <si>
    <t>168-180</t>
  </si>
  <si>
    <t>176-186</t>
  </si>
  <si>
    <t>183-195</t>
  </si>
  <si>
    <t>Rider Height* (inches)</t>
  </si>
  <si>
    <t>5'2"-5'7"</t>
  </si>
  <si>
    <t>5'6"-5'11"</t>
  </si>
  <si>
    <t>5'9"-6'1"</t>
  </si>
  <si>
    <t>Stack</t>
  </si>
  <si>
    <t>Reach</t>
  </si>
  <si>
    <t>Headtube angle</t>
  </si>
  <si>
    <t>Fork axle-crown</t>
  </si>
  <si>
    <t>Front center</t>
  </si>
  <si>
    <t>Rear center</t>
  </si>
  <si>
    <t>BB drop</t>
  </si>
  <si>
    <t>Toptube length</t>
  </si>
  <si>
    <t>Seattube length</t>
  </si>
  <si>
    <t>Seattube angle</t>
  </si>
  <si>
    <t>3T</t>
  </si>
  <si>
    <t>front_center</t>
  </si>
  <si>
    <t>yes</t>
  </si>
  <si>
    <t>6'0" 6'5"</t>
  </si>
  <si>
    <t>Wheelbase</t>
  </si>
  <si>
    <t>Max. Seatpost insertion</t>
  </si>
  <si>
    <t>Lowest Seatpost Height with RockShox Reverb AXS XPLR (350mm)</t>
  </si>
  <si>
    <t>max_seatpost_insertion</t>
  </si>
  <si>
    <t>lowest_seatpost_height</t>
  </si>
  <si>
    <t>Extrema Italia</t>
  </si>
  <si>
    <t>frame_weight</t>
  </si>
  <si>
    <t>pressfit</t>
  </si>
  <si>
    <t>no</t>
  </si>
  <si>
    <t>https://company.3t.bike/wp-content/uploads/2023/12/Extrema-Italia-Integrale-Frame-Specification.pdf</t>
  </si>
  <si>
    <t>"61 - 73 mm" but doesn't specify for each frame</t>
  </si>
  <si>
    <t>a8:f34</t>
  </si>
  <si>
    <t>https://us.3t.bike/collections/extrema-italia</t>
  </si>
  <si>
    <t>class</t>
  </si>
  <si>
    <t>gravel</t>
  </si>
  <si>
    <t>handlebar</t>
  </si>
  <si>
    <t>drop bar</t>
  </si>
  <si>
    <t>fork</t>
  </si>
  <si>
    <t>rigid</t>
  </si>
  <si>
    <t>https://us.3t.bike/cdn/shop/files/Extrema---selva---1439-Modifica_720x.jpg?v=1759334713</t>
  </si>
  <si>
    <t>USD</t>
  </si>
  <si>
    <t>location</t>
  </si>
  <si>
    <t>Bergamo,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</si>
</sst>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38" workbookViewId="0">
      <selection activeCell="B61" sqref="B61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87</v>
      </c>
    </row>
    <row r="2" spans="1:6">
      <c r="A2" t="s">
        <v>1</v>
      </c>
      <c r="B2" s="1" t="s">
        <v>96</v>
      </c>
    </row>
    <row r="3" spans="1:6">
      <c r="A3" t="s">
        <v>2</v>
      </c>
      <c r="B3">
        <v>2025</v>
      </c>
    </row>
    <row r="4" spans="1:6">
      <c r="A4" t="s">
        <v>3</v>
      </c>
      <c r="B4" s="4">
        <v>45864</v>
      </c>
    </row>
    <row r="5" spans="1:6">
      <c r="A5" t="s">
        <v>4</v>
      </c>
      <c r="B5" t="s">
        <v>103</v>
      </c>
    </row>
    <row r="6" spans="1:6">
      <c r="B6" t="s">
        <v>110</v>
      </c>
    </row>
    <row r="7" spans="1:6">
      <c r="A7" t="s">
        <v>5</v>
      </c>
      <c r="B7" s="1" t="s">
        <v>102</v>
      </c>
    </row>
    <row r="8" spans="1:6" ht="21">
      <c r="A8" t="s">
        <v>6</v>
      </c>
      <c r="B8" s="1" t="s">
        <v>67</v>
      </c>
      <c r="C8" s="2">
        <v>51</v>
      </c>
      <c r="D8" s="2">
        <v>54</v>
      </c>
      <c r="E8" s="2">
        <v>56</v>
      </c>
      <c r="F8">
        <v>58</v>
      </c>
    </row>
    <row r="9" spans="1:6" ht="21">
      <c r="A9" t="s">
        <v>17</v>
      </c>
      <c r="B9" s="3" t="s">
        <v>77</v>
      </c>
      <c r="C9" s="3">
        <v>547</v>
      </c>
      <c r="D9" s="3">
        <v>570</v>
      </c>
      <c r="E9" s="3">
        <v>590</v>
      </c>
      <c r="F9">
        <v>610</v>
      </c>
    </row>
    <row r="10" spans="1:6" ht="21">
      <c r="A10" t="s">
        <v>18</v>
      </c>
      <c r="B10" s="3" t="s">
        <v>78</v>
      </c>
      <c r="C10" s="3">
        <v>358</v>
      </c>
      <c r="D10" s="3">
        <v>368</v>
      </c>
      <c r="E10" s="3">
        <v>376</v>
      </c>
      <c r="F10">
        <v>384</v>
      </c>
    </row>
    <row r="11" spans="1:6" ht="21">
      <c r="A11" t="s">
        <v>11</v>
      </c>
      <c r="B11" s="3" t="s">
        <v>79</v>
      </c>
      <c r="C11" s="3">
        <v>69.099999999999994</v>
      </c>
      <c r="D11" s="3">
        <v>70.5</v>
      </c>
      <c r="E11" s="3">
        <v>71.5</v>
      </c>
      <c r="F11">
        <v>72</v>
      </c>
    </row>
    <row r="12" spans="1:6" ht="21">
      <c r="A12" t="s">
        <v>24</v>
      </c>
      <c r="B12" s="3" t="s">
        <v>80</v>
      </c>
      <c r="C12" s="3">
        <v>387</v>
      </c>
      <c r="D12" s="3">
        <v>387</v>
      </c>
      <c r="E12" s="3">
        <v>387</v>
      </c>
      <c r="F12">
        <v>387</v>
      </c>
    </row>
    <row r="13" spans="1:6" ht="21">
      <c r="A13" s="1" t="s">
        <v>88</v>
      </c>
      <c r="B13" s="3" t="s">
        <v>81</v>
      </c>
      <c r="C13" s="3">
        <v>620</v>
      </c>
      <c r="D13" s="3">
        <v>612</v>
      </c>
      <c r="E13" s="3">
        <v>617</v>
      </c>
      <c r="F13">
        <v>626</v>
      </c>
    </row>
    <row r="14" spans="1:6" ht="21">
      <c r="A14" t="s">
        <v>15</v>
      </c>
      <c r="B14" s="3" t="s">
        <v>82</v>
      </c>
      <c r="C14" s="3">
        <v>437</v>
      </c>
      <c r="D14" s="3">
        <v>437</v>
      </c>
      <c r="E14" s="3">
        <v>437</v>
      </c>
      <c r="F14">
        <v>437</v>
      </c>
    </row>
    <row r="15" spans="1:6" ht="21">
      <c r="A15" t="s">
        <v>16</v>
      </c>
      <c r="B15" s="3" t="s">
        <v>83</v>
      </c>
      <c r="C15" s="3">
        <v>79</v>
      </c>
      <c r="D15" s="3">
        <v>76</v>
      </c>
      <c r="E15" s="3">
        <v>76</v>
      </c>
      <c r="F15">
        <v>74</v>
      </c>
    </row>
    <row r="16" spans="1:6" ht="21">
      <c r="A16" t="s">
        <v>14</v>
      </c>
      <c r="B16" s="3" t="s">
        <v>91</v>
      </c>
      <c r="C16" s="3">
        <v>1044</v>
      </c>
      <c r="D16" s="3">
        <v>1036</v>
      </c>
      <c r="E16" s="3">
        <v>1040</v>
      </c>
      <c r="F16">
        <v>1050</v>
      </c>
    </row>
    <row r="17" spans="1:7">
      <c r="A17" t="s">
        <v>9</v>
      </c>
      <c r="B17" t="s">
        <v>84</v>
      </c>
      <c r="C17">
        <v>529</v>
      </c>
      <c r="D17">
        <v>547</v>
      </c>
      <c r="E17">
        <v>561</v>
      </c>
      <c r="F17">
        <v>575</v>
      </c>
    </row>
    <row r="18" spans="1:7">
      <c r="A18" t="s">
        <v>7</v>
      </c>
      <c r="B18" t="s">
        <v>85</v>
      </c>
      <c r="C18">
        <v>466</v>
      </c>
      <c r="D18">
        <v>491</v>
      </c>
      <c r="E18">
        <v>521</v>
      </c>
      <c r="F18">
        <v>549</v>
      </c>
    </row>
    <row r="19" spans="1:7">
      <c r="A19" t="s">
        <v>8</v>
      </c>
      <c r="B19" t="s">
        <v>86</v>
      </c>
      <c r="C19">
        <v>73.5</v>
      </c>
      <c r="D19">
        <v>73.5</v>
      </c>
      <c r="E19">
        <v>73.5</v>
      </c>
      <c r="F19">
        <v>73.5</v>
      </c>
    </row>
    <row r="20" spans="1:7">
      <c r="A20" s="1" t="s">
        <v>94</v>
      </c>
      <c r="B20" t="s">
        <v>92</v>
      </c>
      <c r="C20">
        <v>179</v>
      </c>
      <c r="D20">
        <v>206</v>
      </c>
      <c r="E20">
        <v>236</v>
      </c>
      <c r="F20">
        <v>265</v>
      </c>
    </row>
    <row r="21" spans="1:7">
      <c r="A21" s="1" t="s">
        <v>95</v>
      </c>
      <c r="B21" t="s">
        <v>93</v>
      </c>
      <c r="C21">
        <v>637</v>
      </c>
      <c r="D21">
        <v>635</v>
      </c>
      <c r="E21">
        <v>635</v>
      </c>
      <c r="F21">
        <v>650</v>
      </c>
      <c r="G21" s="1" t="s">
        <v>100</v>
      </c>
    </row>
    <row r="22" spans="1:7">
      <c r="A22" t="s">
        <v>10</v>
      </c>
      <c r="C22">
        <v>142</v>
      </c>
      <c r="D22">
        <v>158</v>
      </c>
      <c r="E22">
        <v>175</v>
      </c>
      <c r="F22">
        <v>196</v>
      </c>
      <c r="G22" s="1" t="s">
        <v>101</v>
      </c>
    </row>
    <row r="23" spans="1:7">
      <c r="A23" t="s">
        <v>12</v>
      </c>
      <c r="C23">
        <v>73</v>
      </c>
      <c r="D23">
        <v>69</v>
      </c>
      <c r="E23">
        <v>65</v>
      </c>
      <c r="F23">
        <v>61</v>
      </c>
    </row>
    <row r="24" spans="1:7">
      <c r="A24" t="s">
        <v>13</v>
      </c>
      <c r="C24">
        <f>((622+C31*2)/2 *COS(C11*PI()/180) - C23)/SIN(C11*PI()/180)</f>
        <v>59.711143853091464</v>
      </c>
      <c r="D24">
        <f t="shared" ref="D24:F24" si="0">((622+D31*2)/2 *COS(D11*PI()/180) - D23)/SIN(D11*PI()/180)</f>
        <v>54.63824441221729</v>
      </c>
      <c r="E24">
        <f t="shared" si="0"/>
        <v>52.246910314037223</v>
      </c>
      <c r="F24">
        <f t="shared" si="0"/>
        <v>53.1568146615449</v>
      </c>
    </row>
    <row r="25" spans="1:7">
      <c r="A25" t="s">
        <v>19</v>
      </c>
    </row>
    <row r="26" spans="1:7">
      <c r="A26" s="1" t="s">
        <v>97</v>
      </c>
      <c r="D26">
        <v>1099</v>
      </c>
    </row>
    <row r="27" spans="1:7">
      <c r="A27" t="s">
        <v>20</v>
      </c>
    </row>
    <row r="28" spans="1:7">
      <c r="A28" t="s">
        <v>21</v>
      </c>
    </row>
    <row r="29" spans="1:7">
      <c r="A29" t="s">
        <v>22</v>
      </c>
    </row>
    <row r="30" spans="1:7">
      <c r="A30" t="s">
        <v>23</v>
      </c>
      <c r="C30">
        <v>700</v>
      </c>
      <c r="D30">
        <v>700</v>
      </c>
      <c r="E30">
        <v>700</v>
      </c>
      <c r="F30">
        <v>700</v>
      </c>
    </row>
    <row r="31" spans="1:7">
      <c r="A31" t="s">
        <v>25</v>
      </c>
      <c r="C31">
        <v>50</v>
      </c>
      <c r="D31">
        <v>50</v>
      </c>
      <c r="E31">
        <v>50</v>
      </c>
      <c r="F31">
        <v>50</v>
      </c>
    </row>
    <row r="32" spans="1:7">
      <c r="A32" t="s">
        <v>26</v>
      </c>
      <c r="C32">
        <v>57</v>
      </c>
      <c r="D32">
        <v>57</v>
      </c>
      <c r="E32">
        <v>57</v>
      </c>
      <c r="F32">
        <v>57</v>
      </c>
    </row>
    <row r="33" spans="1:7">
      <c r="A33" t="s">
        <v>27</v>
      </c>
      <c r="C33">
        <f>C35</f>
        <v>151</v>
      </c>
      <c r="D33">
        <f>AVERAGE(D35,C36)</f>
        <v>169.5</v>
      </c>
      <c r="E33">
        <f t="shared" ref="E33:F33" si="1">AVERAGE(E35,D36)</f>
        <v>178</v>
      </c>
      <c r="F33">
        <f t="shared" si="1"/>
        <v>184.5</v>
      </c>
    </row>
    <row r="34" spans="1:7">
      <c r="A34" t="s">
        <v>28</v>
      </c>
      <c r="C34">
        <f>D33</f>
        <v>169.5</v>
      </c>
      <c r="D34">
        <f t="shared" ref="D34:E34" si="2">E33</f>
        <v>178</v>
      </c>
      <c r="E34">
        <f t="shared" si="2"/>
        <v>184.5</v>
      </c>
      <c r="F34">
        <f t="shared" ref="F34" si="3">F36</f>
        <v>195</v>
      </c>
    </row>
    <row r="35" spans="1:7">
      <c r="C35">
        <v>151</v>
      </c>
      <c r="D35">
        <v>168</v>
      </c>
      <c r="E35">
        <v>176</v>
      </c>
      <c r="F35">
        <v>183</v>
      </c>
    </row>
    <row r="36" spans="1:7">
      <c r="A36" t="s">
        <v>29</v>
      </c>
      <c r="B36" t="s">
        <v>30</v>
      </c>
      <c r="C36">
        <v>171</v>
      </c>
      <c r="D36">
        <v>180</v>
      </c>
      <c r="E36">
        <v>186</v>
      </c>
      <c r="F36">
        <v>195</v>
      </c>
      <c r="G36" t="s">
        <v>72</v>
      </c>
    </row>
    <row r="37" spans="1:7" ht="21">
      <c r="A37" t="s">
        <v>104</v>
      </c>
      <c r="B37" t="s">
        <v>105</v>
      </c>
      <c r="C37" s="3" t="s">
        <v>68</v>
      </c>
      <c r="D37" s="3" t="s">
        <v>69</v>
      </c>
      <c r="E37" s="3" t="s">
        <v>70</v>
      </c>
      <c r="F37" s="3" t="s">
        <v>71</v>
      </c>
      <c r="G37" t="s">
        <v>90</v>
      </c>
    </row>
    <row r="38" spans="1:7" ht="21">
      <c r="A38" t="s">
        <v>106</v>
      </c>
      <c r="B38" t="s">
        <v>107</v>
      </c>
      <c r="C38" s="3" t="s">
        <v>73</v>
      </c>
      <c r="D38" s="3" t="s">
        <v>74</v>
      </c>
      <c r="E38" s="3" t="s">
        <v>75</v>
      </c>
      <c r="F38" s="3" t="s">
        <v>76</v>
      </c>
    </row>
    <row r="39" spans="1:7">
      <c r="A39" t="s">
        <v>108</v>
      </c>
      <c r="B39" t="s">
        <v>109</v>
      </c>
    </row>
    <row r="40" spans="1:7">
      <c r="A40" t="s">
        <v>31</v>
      </c>
      <c r="B40" t="s">
        <v>32</v>
      </c>
    </row>
    <row r="41" spans="1:7">
      <c r="A41" t="s">
        <v>33</v>
      </c>
      <c r="B41" s="1" t="s">
        <v>89</v>
      </c>
    </row>
    <row r="42" spans="1:7">
      <c r="A42" t="s">
        <v>34</v>
      </c>
    </row>
    <row r="43" spans="1:7">
      <c r="A43" t="s">
        <v>35</v>
      </c>
      <c r="B43">
        <v>57</v>
      </c>
    </row>
    <row r="44" spans="1:7">
      <c r="A44" t="s">
        <v>36</v>
      </c>
      <c r="B44" s="1"/>
    </row>
    <row r="45" spans="1:7">
      <c r="A45" t="s">
        <v>37</v>
      </c>
    </row>
    <row r="46" spans="1:7">
      <c r="A46" t="s">
        <v>38</v>
      </c>
    </row>
    <row r="47" spans="1:7">
      <c r="A47" t="s">
        <v>39</v>
      </c>
    </row>
    <row r="48" spans="1:7">
      <c r="A48" t="s">
        <v>40</v>
      </c>
    </row>
    <row r="49" spans="1:3">
      <c r="A49" t="s">
        <v>41</v>
      </c>
      <c r="B49">
        <v>142</v>
      </c>
    </row>
    <row r="50" spans="1:3">
      <c r="A50" t="s">
        <v>42</v>
      </c>
      <c r="B50">
        <v>100</v>
      </c>
    </row>
    <row r="51" spans="1:3">
      <c r="A51" t="s">
        <v>43</v>
      </c>
      <c r="B51" s="1" t="s">
        <v>98</v>
      </c>
    </row>
    <row r="52" spans="1:3">
      <c r="A52" t="s">
        <v>44</v>
      </c>
      <c r="C52" t="s">
        <v>100</v>
      </c>
    </row>
    <row r="53" spans="1:3">
      <c r="A53" t="s">
        <v>45</v>
      </c>
      <c r="B53">
        <v>27.2</v>
      </c>
      <c r="C53" t="s">
        <v>100</v>
      </c>
    </row>
    <row r="54" spans="1:3">
      <c r="A54" t="s">
        <v>46</v>
      </c>
      <c r="B54" s="1" t="s">
        <v>89</v>
      </c>
    </row>
    <row r="55" spans="1:3">
      <c r="A55" t="s">
        <v>47</v>
      </c>
      <c r="B55">
        <v>44</v>
      </c>
    </row>
    <row r="56" spans="1:3">
      <c r="A56" t="s">
        <v>48</v>
      </c>
      <c r="B56" s="1">
        <v>48</v>
      </c>
    </row>
    <row r="57" spans="1:3">
      <c r="A57" t="s">
        <v>49</v>
      </c>
      <c r="B57">
        <v>160</v>
      </c>
    </row>
    <row r="58" spans="1:3">
      <c r="A58" t="s">
        <v>50</v>
      </c>
      <c r="B58">
        <v>160</v>
      </c>
    </row>
    <row r="59" spans="1:3">
      <c r="A59" t="s">
        <v>51</v>
      </c>
    </row>
    <row r="60" spans="1:3">
      <c r="A60" t="s">
        <v>52</v>
      </c>
    </row>
    <row r="61" spans="1:3">
      <c r="A61" t="s">
        <v>53</v>
      </c>
      <c r="B61" s="1"/>
    </row>
    <row r="62" spans="1:3">
      <c r="A62" t="s">
        <v>54</v>
      </c>
    </row>
    <row r="63" spans="1:3">
      <c r="A63" t="s">
        <v>55</v>
      </c>
    </row>
    <row r="64" spans="1:3">
      <c r="A64" t="s">
        <v>56</v>
      </c>
      <c r="B64">
        <v>2</v>
      </c>
    </row>
    <row r="65" spans="1:2">
      <c r="A65" t="s">
        <v>57</v>
      </c>
      <c r="B65">
        <v>1</v>
      </c>
    </row>
    <row r="66" spans="1:2">
      <c r="A66" t="s">
        <v>58</v>
      </c>
      <c r="B66" s="1" t="s">
        <v>89</v>
      </c>
    </row>
    <row r="67" spans="1:2">
      <c r="A67" t="s">
        <v>59</v>
      </c>
      <c r="B67" s="1" t="s">
        <v>89</v>
      </c>
    </row>
    <row r="68" spans="1:2">
      <c r="A68" t="s">
        <v>60</v>
      </c>
      <c r="B68" s="1" t="s">
        <v>99</v>
      </c>
    </row>
    <row r="69" spans="1:2">
      <c r="A69" t="s">
        <v>61</v>
      </c>
      <c r="B69" s="1" t="s">
        <v>89</v>
      </c>
    </row>
    <row r="70" spans="1:2">
      <c r="A70" t="s">
        <v>62</v>
      </c>
      <c r="B70" s="1" t="s">
        <v>99</v>
      </c>
    </row>
    <row r="71" spans="1:2">
      <c r="A71" t="s">
        <v>63</v>
      </c>
      <c r="B71">
        <v>6399</v>
      </c>
    </row>
    <row r="72" spans="1:2">
      <c r="A72" t="s">
        <v>64</v>
      </c>
      <c r="B72">
        <v>9299</v>
      </c>
    </row>
    <row r="73" spans="1:2">
      <c r="A73" t="s">
        <v>65</v>
      </c>
    </row>
    <row r="74" spans="1:2">
      <c r="A74" t="s">
        <v>66</v>
      </c>
      <c r="B74" s="1" t="s">
        <v>111</v>
      </c>
    </row>
    <row r="75" spans="1:2">
      <c r="A75" s="1" t="s">
        <v>112</v>
      </c>
      <c r="B75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2025-11-02T11:22:04Z</dcterms:modified>
</cp:coreProperties>
</file>