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C3AB376-98C5-4441-95F4-3F5DCCD1FE34}" xr6:coauthVersionLast="47" xr6:coauthVersionMax="47" xr10:uidLastSave="{00000000-0000-0000-0000-000000000000}"/>
  <bookViews>
    <workbookView xWindow="31880" yWindow="-243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F17" i="1"/>
  <c r="G17" i="1"/>
  <c r="D18" i="1"/>
  <c r="E18" i="1"/>
  <c r="F18" i="1"/>
  <c r="G18" i="1"/>
  <c r="D19" i="1"/>
  <c r="E19" i="1"/>
  <c r="F19" i="1"/>
  <c r="G19" i="1"/>
  <c r="C19" i="1"/>
  <c r="C18" i="1"/>
  <c r="C17" i="1"/>
  <c r="D15" i="1"/>
  <c r="E15" i="1"/>
  <c r="F15" i="1"/>
  <c r="G15" i="1"/>
  <c r="C15" i="1"/>
  <c r="D11" i="1"/>
  <c r="E11" i="1"/>
  <c r="F11" i="1"/>
  <c r="G11" i="1"/>
  <c r="C11" i="1"/>
  <c r="O18" i="1" a="1"/>
  <c r="O18" i="1" s="1"/>
  <c r="C34" i="1"/>
  <c r="D34" i="1"/>
  <c r="E34" i="1"/>
  <c r="F34" i="1"/>
  <c r="G34" i="1"/>
  <c r="D33" i="1"/>
  <c r="E33" i="1"/>
  <c r="F33" i="1"/>
  <c r="G33" i="1"/>
  <c r="C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<sst xmlns="http://schemas.openxmlformats.org/spreadsheetml/2006/main" count="170" uniqueCount="145">
  <si>
    <t>brand</t>
  </si>
  <si>
    <t>Otso</t>
  </si>
  <si>
    <t>model</t>
  </si>
  <si>
    <t>model_year</t>
  </si>
  <si>
    <t>2022</t>
  </si>
  <si>
    <t>input_date</t>
  </si>
  <si>
    <t>url</t>
  </si>
  <si>
    <t>data_range</t>
  </si>
  <si>
    <t>frame_size</t>
  </si>
  <si>
    <t>XS</t>
  </si>
  <si>
    <t>S</t>
  </si>
  <si>
    <t>M</t>
  </si>
  <si>
    <t>L</t>
  </si>
  <si>
    <t>XL</t>
  </si>
  <si>
    <t>top_tube_effective_length</t>
  </si>
  <si>
    <t>head_tube_angle</t>
  </si>
  <si>
    <t>delta_head_angle</t>
  </si>
  <si>
    <t>head_tube_length</t>
  </si>
  <si>
    <t>seat_tube_angle</t>
  </si>
  <si>
    <t>seat_tube_length</t>
  </si>
  <si>
    <t>bottom_bracket_drop</t>
  </si>
  <si>
    <t>wheelbase</t>
  </si>
  <si>
    <t>trail</t>
  </si>
  <si>
    <t>fork_offset_rake</t>
  </si>
  <si>
    <t>axle_crown</t>
  </si>
  <si>
    <t>stack</t>
  </si>
  <si>
    <t>reach</t>
  </si>
  <si>
    <t>standover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</si>
  <si>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</si>
  <si>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</si>
  <si>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</si>
  <si>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</si>
  <si>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</si>
  <si>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</si>
  <si>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</si>
  <si>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</si>
  <si>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</si>
  <si>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</si>
  <si>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</si>
  <si>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</si>
  <si>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</si>
  <si>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</si>
  <si>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</si>
  <si>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</si>
  <si>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</si>
  <si>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</si>
  <si>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</si>
  <si>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</si>
  <si>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</si>
  <si>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</si>
  <si>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</si>
  <si>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</si>
  <si>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</si>
  <si>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</si>
  <si>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</si>
  <si>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</si>
  <si>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</si>
  <si>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</si>
  <si>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</si>
  <si>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</si>
  <si>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</si>
  <si>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</si>
  <si>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</si>
  <si>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</si>
  <si>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</si>
  <si>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</si>
  <si>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</si>
  <si>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</si>
  <si>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</si>
  <si>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</si>
  <si>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</si>
  <si>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</si>
  <si>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</si>
  <si>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</si>
  <si>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</si>
  <si>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no</t>
  </si>
  <si>
    <t>yes</t>
  </si>
  <si>
    <t>class</t>
  </si>
  <si>
    <t>hardtail</t>
  </si>
  <si>
    <t>handlebar</t>
  </si>
  <si>
    <t>fork</t>
  </si>
  <si>
    <t>rigid</t>
  </si>
  <si>
    <t>both</t>
  </si>
  <si>
    <t>USD</t>
  </si>
  <si>
    <t>location</t>
  </si>
  <si>
    <t>Burnsville, Minnesota, USA</t>
  </si>
  <si>
    <t>titanium</t>
  </si>
  <si>
    <t>https://otsocycles.com/cdn/shop/files/fenrir_ti_slider_3_e8f971d9-a2c8-4b44-8d99-be6f34ad3e09.jpg?v=1725544383&amp;width=1800</t>
  </si>
  <si>
    <t>https://otsocycles.com/collections/fenrir-ti</t>
  </si>
  <si>
    <t>Measurement (units)</t>
  </si>
  <si>
    <t>Recommended Rider Height</t>
  </si>
  <si>
    <t>4'10"–5'4"</t>
  </si>
  <si>
    <t>5'2"–5'7"</t>
  </si>
  <si>
    <t>5'6"–5'11"</t>
  </si>
  <si>
    <t>5'10"–6'3"</t>
  </si>
  <si>
    <t>6'2"–6'6"</t>
  </si>
  <si>
    <t>Effective Top Tube (mm)</t>
  </si>
  <si>
    <t>Head Tube Angle (deg)</t>
  </si>
  <si>
    <t>Head Tube Length (mm)</t>
  </si>
  <si>
    <t>Seat Tube Angle (deg)</t>
  </si>
  <si>
    <t>Seat Tube Length (mm)</t>
  </si>
  <si>
    <t>BB Drop (mm)</t>
  </si>
  <si>
    <t>68–72</t>
  </si>
  <si>
    <t>Chainstay Length (mm)</t>
  </si>
  <si>
    <t>430–450</t>
  </si>
  <si>
    <t>Fork Offset (mm)</t>
  </si>
  <si>
    <t>Trail (mm)</t>
  </si>
  <si>
    <t>Wheelbase (mm)</t>
  </si>
  <si>
    <t>1090–1110</t>
  </si>
  <si>
    <t>1110–1120</t>
  </si>
  <si>
    <t>1130–1150</t>
  </si>
  <si>
    <t>1150–1170</t>
  </si>
  <si>
    <t>1170–1190</t>
  </si>
  <si>
    <t>Standover Height (mm)</t>
  </si>
  <si>
    <t>Reach (mm)</t>
  </si>
  <si>
    <t>Stack (mm)</t>
  </si>
  <si>
    <t>Nominal Head Tube Angle (deg)</t>
  </si>
  <si>
    <t>Nominal Seat Tube Angle (deg)</t>
  </si>
  <si>
    <t>Tuning Chip Induced Head/Seat Tube Angle Change (±)</t>
  </si>
  <si>
    <t>±0.2°</t>
  </si>
  <si>
    <t>Fork Axle to Crown Length (mm)</t>
  </si>
  <si>
    <t>Geometry Parameter</t>
  </si>
  <si>
    <t>High Chip Setting</t>
  </si>
  <si>
    <t>Low Chip Setting</t>
  </si>
  <si>
    <t>Change</t>
  </si>
  <si>
    <t>+20 mm</t>
  </si>
  <si>
    <t>+4 mm</t>
  </si>
  <si>
    <t>–0.4 deg</t>
  </si>
  <si>
    <t>Shorter</t>
  </si>
  <si>
    <t>Longer</t>
  </si>
  <si>
    <t>≈87</t>
  </si>
  <si>
    <t>≈89</t>
  </si>
  <si>
    <t>+2 mm</t>
  </si>
  <si>
    <t>Handling</t>
  </si>
  <si>
    <t>Quicker</t>
  </si>
  <si>
    <t>More stable</t>
  </si>
  <si>
    <t>—</t>
  </si>
  <si>
    <t>nominal_head_tube_angle</t>
  </si>
  <si>
    <t>nominal_seat_tube_angle</t>
  </si>
  <si>
    <t>internal</t>
  </si>
  <si>
    <t>a8:g34</t>
  </si>
  <si>
    <t>2.6 at long</t>
  </si>
  <si>
    <t>2.8 at long</t>
  </si>
  <si>
    <t>threaded 73</t>
  </si>
  <si>
    <t>Fenrir Ti (long)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</si>
</sst>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171717"/>
      <name val="Arial"/>
      <family val="2"/>
    </font>
    <font>
      <sz val="8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tabSelected="1" topLeftCell="A22" workbookViewId="0">
      <selection activeCell="B45" sqref="B45"/>
    </sheetView>
  </sheetViews>
  <sheetFormatPr baseColWidth="10" defaultRowHeight="20" x14ac:dyDescent="0.3"/>
  <cols>
    <col min="1" max="2" width="19.6640625" customWidth="1"/>
    <col min="13" max="13" width="17.5546875" bestFit="1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144</v>
      </c>
    </row>
    <row r="3" spans="1:16" x14ac:dyDescent="0.3">
      <c r="A3" t="s">
        <v>3</v>
      </c>
      <c r="B3" t="s">
        <v>4</v>
      </c>
    </row>
    <row r="4" spans="1:16" x14ac:dyDescent="0.3">
      <c r="A4" t="s">
        <v>5</v>
      </c>
      <c r="B4" s="3">
        <v>45880</v>
      </c>
    </row>
    <row r="5" spans="1:16" x14ac:dyDescent="0.3">
      <c r="A5" t="s">
        <v>6</v>
      </c>
      <c r="B5" t="s">
        <v>88</v>
      </c>
    </row>
    <row r="6" spans="1:16" x14ac:dyDescent="0.3">
      <c r="B6" t="s">
        <v>87</v>
      </c>
    </row>
    <row r="7" spans="1:16" x14ac:dyDescent="0.3">
      <c r="A7" t="s">
        <v>7</v>
      </c>
      <c r="B7" s="1" t="s">
        <v>140</v>
      </c>
    </row>
    <row r="8" spans="1:16" x14ac:dyDescent="0.3">
      <c r="A8" t="s">
        <v>8</v>
      </c>
      <c r="B8" t="s">
        <v>89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16" x14ac:dyDescent="0.3">
      <c r="A9" t="s">
        <v>14</v>
      </c>
      <c r="B9" t="s">
        <v>96</v>
      </c>
      <c r="C9">
        <v>547</v>
      </c>
      <c r="D9">
        <v>565</v>
      </c>
      <c r="E9">
        <v>583</v>
      </c>
      <c r="F9">
        <v>600</v>
      </c>
      <c r="G9">
        <v>618</v>
      </c>
    </row>
    <row r="10" spans="1:16" x14ac:dyDescent="0.3">
      <c r="A10" s="1" t="s">
        <v>137</v>
      </c>
      <c r="B10" s="1" t="s">
        <v>116</v>
      </c>
      <c r="C10">
        <v>68</v>
      </c>
      <c r="D10">
        <v>68</v>
      </c>
      <c r="E10">
        <v>68</v>
      </c>
      <c r="F10">
        <v>68</v>
      </c>
      <c r="G10">
        <v>68</v>
      </c>
    </row>
    <row r="11" spans="1:16" x14ac:dyDescent="0.3">
      <c r="A11" s="1" t="s">
        <v>15</v>
      </c>
      <c r="B11" s="1"/>
      <c r="C11">
        <f>C10-C12</f>
        <v>67.8</v>
      </c>
      <c r="D11">
        <f t="shared" ref="D11:G11" si="0">D10-D12</f>
        <v>67.8</v>
      </c>
      <c r="E11">
        <f t="shared" si="0"/>
        <v>67.8</v>
      </c>
      <c r="F11">
        <f t="shared" si="0"/>
        <v>67.8</v>
      </c>
      <c r="G11">
        <f t="shared" si="0"/>
        <v>67.8</v>
      </c>
    </row>
    <row r="12" spans="1:16" x14ac:dyDescent="0.3">
      <c r="A12" t="s">
        <v>16</v>
      </c>
      <c r="B12" s="1" t="s">
        <v>118</v>
      </c>
      <c r="C12">
        <v>0.2</v>
      </c>
      <c r="D12">
        <v>0.2</v>
      </c>
      <c r="E12">
        <v>0.2</v>
      </c>
      <c r="F12">
        <v>0.2</v>
      </c>
      <c r="G12">
        <v>0.2</v>
      </c>
      <c r="H12" s="1" t="s">
        <v>119</v>
      </c>
      <c r="I12" s="1" t="s">
        <v>119</v>
      </c>
      <c r="J12" s="1" t="s">
        <v>119</v>
      </c>
      <c r="K12" s="1" t="s">
        <v>119</v>
      </c>
      <c r="L12" s="1" t="s">
        <v>119</v>
      </c>
      <c r="M12" t="s">
        <v>121</v>
      </c>
      <c r="N12" t="s">
        <v>122</v>
      </c>
      <c r="O12" t="s">
        <v>123</v>
      </c>
      <c r="P12" t="s">
        <v>124</v>
      </c>
    </row>
    <row r="13" spans="1:16" x14ac:dyDescent="0.3">
      <c r="A13" t="s">
        <v>17</v>
      </c>
      <c r="B13" t="s">
        <v>98</v>
      </c>
      <c r="C13">
        <v>90</v>
      </c>
      <c r="D13">
        <v>100</v>
      </c>
      <c r="E13">
        <v>120</v>
      </c>
      <c r="F13">
        <v>140</v>
      </c>
      <c r="G13">
        <v>160</v>
      </c>
      <c r="M13" t="s">
        <v>103</v>
      </c>
      <c r="N13">
        <v>430</v>
      </c>
      <c r="O13">
        <v>450</v>
      </c>
      <c r="P13" t="s">
        <v>125</v>
      </c>
    </row>
    <row r="14" spans="1:16" x14ac:dyDescent="0.3">
      <c r="A14" s="1" t="s">
        <v>138</v>
      </c>
      <c r="B14" s="1" t="s">
        <v>117</v>
      </c>
      <c r="C14">
        <v>75</v>
      </c>
      <c r="D14">
        <v>75</v>
      </c>
      <c r="E14">
        <v>75</v>
      </c>
      <c r="F14">
        <v>75</v>
      </c>
      <c r="G14">
        <v>75</v>
      </c>
      <c r="M14" t="s">
        <v>101</v>
      </c>
      <c r="N14">
        <v>68</v>
      </c>
      <c r="O14">
        <v>72</v>
      </c>
      <c r="P14" t="s">
        <v>126</v>
      </c>
    </row>
    <row r="15" spans="1:16" x14ac:dyDescent="0.3">
      <c r="A15" t="s">
        <v>18</v>
      </c>
      <c r="B15" s="1"/>
      <c r="C15">
        <f>C14-C12</f>
        <v>74.8</v>
      </c>
      <c r="D15">
        <f t="shared" ref="D15:G15" si="1">D14-D12</f>
        <v>74.8</v>
      </c>
      <c r="E15">
        <f t="shared" si="1"/>
        <v>74.8</v>
      </c>
      <c r="F15">
        <f t="shared" si="1"/>
        <v>74.8</v>
      </c>
      <c r="G15">
        <f t="shared" si="1"/>
        <v>74.8</v>
      </c>
    </row>
    <row r="16" spans="1:16" x14ac:dyDescent="0.3">
      <c r="A16" t="s">
        <v>19</v>
      </c>
      <c r="B16" t="s">
        <v>100</v>
      </c>
      <c r="C16">
        <v>360</v>
      </c>
      <c r="D16">
        <v>400</v>
      </c>
      <c r="E16">
        <v>450</v>
      </c>
      <c r="F16">
        <v>490</v>
      </c>
      <c r="G16">
        <v>530</v>
      </c>
      <c r="M16" t="s">
        <v>97</v>
      </c>
      <c r="N16">
        <v>68.2</v>
      </c>
      <c r="O16">
        <v>67.8</v>
      </c>
      <c r="P16" t="s">
        <v>127</v>
      </c>
    </row>
    <row r="17" spans="1:16" x14ac:dyDescent="0.3">
      <c r="A17" t="s">
        <v>20</v>
      </c>
      <c r="B17" t="s">
        <v>101</v>
      </c>
      <c r="C17">
        <f>VALUE(RIGHT(H17,2))</f>
        <v>72</v>
      </c>
      <c r="D17">
        <f t="shared" ref="D17:G17" si="2">VALUE(RIGHT(I17,2))</f>
        <v>72</v>
      </c>
      <c r="E17">
        <f t="shared" si="2"/>
        <v>72</v>
      </c>
      <c r="F17">
        <f t="shared" si="2"/>
        <v>72</v>
      </c>
      <c r="G17">
        <f t="shared" si="2"/>
        <v>72</v>
      </c>
      <c r="H17" t="s">
        <v>102</v>
      </c>
      <c r="I17" t="s">
        <v>102</v>
      </c>
      <c r="J17" t="s">
        <v>102</v>
      </c>
      <c r="K17" t="s">
        <v>102</v>
      </c>
      <c r="L17" t="s">
        <v>102</v>
      </c>
      <c r="M17" t="s">
        <v>99</v>
      </c>
      <c r="N17">
        <v>75.2</v>
      </c>
      <c r="O17">
        <v>74.8</v>
      </c>
      <c r="P17" t="s">
        <v>127</v>
      </c>
    </row>
    <row r="18" spans="1:16" x14ac:dyDescent="0.3">
      <c r="A18" t="s">
        <v>28</v>
      </c>
      <c r="B18" t="s">
        <v>103</v>
      </c>
      <c r="C18">
        <f>VALUE(RIGHT(H18,3))</f>
        <v>450</v>
      </c>
      <c r="D18">
        <f t="shared" ref="D18:G18" si="3">VALUE(RIGHT(I18,3))</f>
        <v>450</v>
      </c>
      <c r="E18">
        <f t="shared" si="3"/>
        <v>450</v>
      </c>
      <c r="F18">
        <f t="shared" si="3"/>
        <v>450</v>
      </c>
      <c r="G18">
        <f t="shared" si="3"/>
        <v>450</v>
      </c>
      <c r="H18" t="s">
        <v>104</v>
      </c>
      <c r="I18" t="s">
        <v>104</v>
      </c>
      <c r="J18" t="s">
        <v>104</v>
      </c>
      <c r="K18" t="s">
        <v>104</v>
      </c>
      <c r="L18" t="s">
        <v>104</v>
      </c>
      <c r="M18" t="s">
        <v>107</v>
      </c>
      <c r="N18" t="s">
        <v>128</v>
      </c>
      <c r="O18" t="e" cm="1">
        <f t="array" ref="O18">+≈20 mm</f>
        <v>#NAME?</v>
      </c>
      <c r="P18" t="s">
        <v>129</v>
      </c>
    </row>
    <row r="19" spans="1:16" x14ac:dyDescent="0.3">
      <c r="A19" t="s">
        <v>21</v>
      </c>
      <c r="B19" t="s">
        <v>107</v>
      </c>
      <c r="C19">
        <f>VALUE(RIGHT(H19,4))</f>
        <v>1110</v>
      </c>
      <c r="D19">
        <f t="shared" ref="D19:G19" si="4">VALUE(RIGHT(I19,4))</f>
        <v>1120</v>
      </c>
      <c r="E19">
        <f t="shared" si="4"/>
        <v>1150</v>
      </c>
      <c r="F19">
        <f t="shared" si="4"/>
        <v>1170</v>
      </c>
      <c r="G19">
        <f t="shared" si="4"/>
        <v>1190</v>
      </c>
      <c r="H19" t="s">
        <v>108</v>
      </c>
      <c r="I19" t="s">
        <v>109</v>
      </c>
      <c r="J19" t="s">
        <v>110</v>
      </c>
      <c r="K19" t="s">
        <v>111</v>
      </c>
      <c r="L19" t="s">
        <v>112</v>
      </c>
    </row>
    <row r="20" spans="1:16" ht="21" customHeight="1" x14ac:dyDescent="0.3">
      <c r="A20" t="s">
        <v>22</v>
      </c>
      <c r="B20" t="s">
        <v>106</v>
      </c>
      <c r="C20">
        <v>88</v>
      </c>
      <c r="D20">
        <v>88</v>
      </c>
      <c r="E20">
        <v>88</v>
      </c>
      <c r="F20">
        <v>88</v>
      </c>
      <c r="G20">
        <v>88</v>
      </c>
    </row>
    <row r="21" spans="1:16" x14ac:dyDescent="0.3">
      <c r="A21" t="s">
        <v>23</v>
      </c>
      <c r="B21" t="s">
        <v>105</v>
      </c>
      <c r="C21">
        <v>51</v>
      </c>
      <c r="D21">
        <v>51</v>
      </c>
      <c r="E21">
        <v>51</v>
      </c>
      <c r="F21">
        <v>51</v>
      </c>
      <c r="G21">
        <v>51</v>
      </c>
      <c r="M21" t="s">
        <v>133</v>
      </c>
      <c r="N21" t="s">
        <v>134</v>
      </c>
      <c r="O21" t="s">
        <v>135</v>
      </c>
      <c r="P21" t="s">
        <v>136</v>
      </c>
    </row>
    <row r="22" spans="1:16" x14ac:dyDescent="0.3">
      <c r="A22" s="1" t="s">
        <v>24</v>
      </c>
      <c r="B22" t="s">
        <v>120</v>
      </c>
      <c r="C22">
        <v>495</v>
      </c>
      <c r="D22">
        <v>495</v>
      </c>
      <c r="E22">
        <v>495</v>
      </c>
      <c r="F22">
        <v>495</v>
      </c>
      <c r="G22">
        <v>495</v>
      </c>
      <c r="M22" t="s">
        <v>106</v>
      </c>
      <c r="N22" t="s">
        <v>130</v>
      </c>
      <c r="O22" t="s">
        <v>131</v>
      </c>
      <c r="P22" t="s">
        <v>132</v>
      </c>
    </row>
    <row r="23" spans="1:16" x14ac:dyDescent="0.3">
      <c r="A23" t="s">
        <v>25</v>
      </c>
      <c r="B23" t="s">
        <v>115</v>
      </c>
      <c r="C23">
        <v>595</v>
      </c>
      <c r="D23">
        <v>605</v>
      </c>
      <c r="E23">
        <v>623</v>
      </c>
      <c r="F23">
        <v>642</v>
      </c>
      <c r="G23">
        <v>660</v>
      </c>
    </row>
    <row r="24" spans="1:16" x14ac:dyDescent="0.3">
      <c r="A24" t="s">
        <v>26</v>
      </c>
      <c r="B24" t="s">
        <v>114</v>
      </c>
      <c r="C24">
        <v>387</v>
      </c>
      <c r="D24">
        <v>403</v>
      </c>
      <c r="E24">
        <v>416</v>
      </c>
      <c r="F24">
        <v>428</v>
      </c>
      <c r="G24">
        <v>441</v>
      </c>
    </row>
    <row r="25" spans="1:16" x14ac:dyDescent="0.3">
      <c r="A25" t="s">
        <v>27</v>
      </c>
      <c r="B25" t="s">
        <v>113</v>
      </c>
      <c r="C25">
        <v>754</v>
      </c>
      <c r="D25">
        <v>777</v>
      </c>
      <c r="E25">
        <v>810</v>
      </c>
      <c r="F25">
        <v>838</v>
      </c>
      <c r="G25">
        <v>866</v>
      </c>
    </row>
    <row r="26" spans="1:16" x14ac:dyDescent="0.3">
      <c r="A26" t="s">
        <v>29</v>
      </c>
    </row>
    <row r="27" spans="1:16" x14ac:dyDescent="0.3">
      <c r="A27" t="s">
        <v>30</v>
      </c>
    </row>
    <row r="28" spans="1:16" x14ac:dyDescent="0.3">
      <c r="A28" t="s">
        <v>31</v>
      </c>
    </row>
    <row r="29" spans="1:16" x14ac:dyDescent="0.3">
      <c r="A29" t="s">
        <v>32</v>
      </c>
      <c r="F29">
        <v>1814</v>
      </c>
    </row>
    <row r="30" spans="1:16" x14ac:dyDescent="0.3">
      <c r="A30" t="s">
        <v>33</v>
      </c>
      <c r="B30" t="s">
        <v>33</v>
      </c>
      <c r="C30">
        <v>29</v>
      </c>
      <c r="D30">
        <v>29</v>
      </c>
      <c r="E30">
        <v>29</v>
      </c>
      <c r="F30">
        <v>29</v>
      </c>
      <c r="G30">
        <v>29</v>
      </c>
    </row>
    <row r="31" spans="1:16" x14ac:dyDescent="0.3">
      <c r="A31" t="s">
        <v>34</v>
      </c>
      <c r="B31" t="s">
        <v>34</v>
      </c>
      <c r="C31">
        <v>2.35</v>
      </c>
      <c r="D31">
        <v>2.35</v>
      </c>
      <c r="E31">
        <v>2.35</v>
      </c>
      <c r="F31">
        <v>2.35</v>
      </c>
      <c r="G31">
        <v>2.35</v>
      </c>
    </row>
    <row r="32" spans="1:16" x14ac:dyDescent="0.3">
      <c r="A32" t="s">
        <v>35</v>
      </c>
      <c r="B32" t="s">
        <v>35</v>
      </c>
      <c r="C32">
        <v>2.2999999999999998</v>
      </c>
      <c r="D32">
        <v>2.2999999999999998</v>
      </c>
      <c r="E32">
        <v>2.2999999999999998</v>
      </c>
      <c r="F32">
        <v>2.2999999999999998</v>
      </c>
      <c r="G32">
        <v>2.2999999999999998</v>
      </c>
    </row>
    <row r="33" spans="1:8" x14ac:dyDescent="0.3">
      <c r="A33" t="s">
        <v>36</v>
      </c>
      <c r="C33">
        <f>C35*2.54</f>
        <v>147.32</v>
      </c>
      <c r="D33">
        <f t="shared" ref="D33:G34" si="5">D35*2.54</f>
        <v>160.02000000000001</v>
      </c>
      <c r="E33">
        <f t="shared" si="5"/>
        <v>170.18</v>
      </c>
      <c r="F33">
        <f t="shared" si="5"/>
        <v>177.8</v>
      </c>
      <c r="G33">
        <f t="shared" si="5"/>
        <v>190.5</v>
      </c>
    </row>
    <row r="34" spans="1:8" x14ac:dyDescent="0.3">
      <c r="A34" t="s">
        <v>37</v>
      </c>
      <c r="C34">
        <f>C36*2.54</f>
        <v>162.56</v>
      </c>
      <c r="D34">
        <f t="shared" si="5"/>
        <v>170.18</v>
      </c>
      <c r="E34">
        <f t="shared" si="5"/>
        <v>180.34</v>
      </c>
      <c r="F34">
        <f t="shared" si="5"/>
        <v>190.5</v>
      </c>
      <c r="G34">
        <f t="shared" si="5"/>
        <v>198.12</v>
      </c>
    </row>
    <row r="35" spans="1:8" ht="22" x14ac:dyDescent="0.3">
      <c r="C35" s="2">
        <v>58</v>
      </c>
      <c r="D35" s="2">
        <v>63</v>
      </c>
      <c r="E35" s="2">
        <v>67</v>
      </c>
      <c r="F35" s="2">
        <v>70</v>
      </c>
      <c r="G35" s="2">
        <v>75</v>
      </c>
    </row>
    <row r="36" spans="1:8" x14ac:dyDescent="0.3">
      <c r="A36" t="s">
        <v>38</v>
      </c>
      <c r="B36" t="s">
        <v>39</v>
      </c>
      <c r="C36">
        <v>64</v>
      </c>
      <c r="D36">
        <v>67</v>
      </c>
      <c r="E36">
        <v>71</v>
      </c>
      <c r="F36">
        <v>75</v>
      </c>
      <c r="G36">
        <v>78</v>
      </c>
    </row>
    <row r="37" spans="1:8" x14ac:dyDescent="0.3">
      <c r="A37" t="s">
        <v>77</v>
      </c>
      <c r="B37" t="s">
        <v>78</v>
      </c>
      <c r="C37" t="s">
        <v>91</v>
      </c>
      <c r="D37" t="s">
        <v>92</v>
      </c>
      <c r="E37" t="s">
        <v>93</v>
      </c>
      <c r="F37" t="s">
        <v>94</v>
      </c>
      <c r="G37" t="s">
        <v>95</v>
      </c>
      <c r="H37" t="s">
        <v>90</v>
      </c>
    </row>
    <row r="38" spans="1:8" x14ac:dyDescent="0.3">
      <c r="A38" t="s">
        <v>79</v>
      </c>
      <c r="B38" s="1" t="s">
        <v>82</v>
      </c>
    </row>
    <row r="39" spans="1:8" x14ac:dyDescent="0.3">
      <c r="A39" t="s">
        <v>80</v>
      </c>
      <c r="B39" s="1" t="s">
        <v>81</v>
      </c>
    </row>
    <row r="40" spans="1:8" x14ac:dyDescent="0.3">
      <c r="A40" t="s">
        <v>40</v>
      </c>
      <c r="B40" s="1" t="s">
        <v>86</v>
      </c>
    </row>
    <row r="41" spans="1:8" x14ac:dyDescent="0.3">
      <c r="A41" t="s">
        <v>41</v>
      </c>
      <c r="B41" s="1" t="s">
        <v>75</v>
      </c>
    </row>
    <row r="42" spans="1:8" x14ac:dyDescent="0.3">
      <c r="A42" t="s">
        <v>42</v>
      </c>
      <c r="B42">
        <v>20</v>
      </c>
    </row>
    <row r="43" spans="1:8" x14ac:dyDescent="0.3">
      <c r="A43" t="s">
        <v>43</v>
      </c>
      <c r="B43">
        <v>2.6</v>
      </c>
      <c r="C43" s="1" t="s">
        <v>141</v>
      </c>
    </row>
    <row r="44" spans="1:8" x14ac:dyDescent="0.3">
      <c r="A44" t="s">
        <v>44</v>
      </c>
      <c r="B44">
        <v>2.8</v>
      </c>
      <c r="C44" s="1" t="s">
        <v>142</v>
      </c>
    </row>
    <row r="45" spans="1:8" x14ac:dyDescent="0.3">
      <c r="A45" t="s">
        <v>45</v>
      </c>
      <c r="B45">
        <v>120</v>
      </c>
    </row>
    <row r="46" spans="1:8" x14ac:dyDescent="0.3">
      <c r="A46" t="s">
        <v>46</v>
      </c>
      <c r="B46" s="1"/>
    </row>
    <row r="47" spans="1:8" x14ac:dyDescent="0.3">
      <c r="A47" t="s">
        <v>47</v>
      </c>
    </row>
    <row r="48" spans="1:8" x14ac:dyDescent="0.3">
      <c r="A48" t="s">
        <v>48</v>
      </c>
    </row>
    <row r="49" spans="1:2" x14ac:dyDescent="0.3">
      <c r="A49" t="s">
        <v>49</v>
      </c>
      <c r="B49">
        <v>148</v>
      </c>
    </row>
    <row r="50" spans="1:2" x14ac:dyDescent="0.3">
      <c r="A50" t="s">
        <v>50</v>
      </c>
      <c r="B50">
        <v>110</v>
      </c>
    </row>
    <row r="51" spans="1:2" x14ac:dyDescent="0.3">
      <c r="A51" t="s">
        <v>51</v>
      </c>
      <c r="B51" s="1" t="s">
        <v>143</v>
      </c>
    </row>
    <row r="52" spans="1:2" x14ac:dyDescent="0.3">
      <c r="A52" t="s">
        <v>52</v>
      </c>
    </row>
    <row r="53" spans="1:2" x14ac:dyDescent="0.3">
      <c r="A53" t="s">
        <v>53</v>
      </c>
      <c r="B53">
        <v>31.6</v>
      </c>
    </row>
    <row r="54" spans="1:2" x14ac:dyDescent="0.3">
      <c r="A54" t="s">
        <v>54</v>
      </c>
      <c r="B54" s="1" t="s">
        <v>75</v>
      </c>
    </row>
    <row r="55" spans="1:2" x14ac:dyDescent="0.3">
      <c r="A55" t="s">
        <v>55</v>
      </c>
      <c r="B55">
        <v>40</v>
      </c>
    </row>
    <row r="56" spans="1:2" x14ac:dyDescent="0.3">
      <c r="A56" t="s">
        <v>56</v>
      </c>
    </row>
    <row r="57" spans="1:2" x14ac:dyDescent="0.3">
      <c r="A57" t="s">
        <v>57</v>
      </c>
    </row>
    <row r="58" spans="1:2" x14ac:dyDescent="0.3">
      <c r="A58" t="s">
        <v>58</v>
      </c>
    </row>
    <row r="59" spans="1:2" x14ac:dyDescent="0.3">
      <c r="A59" t="s">
        <v>59</v>
      </c>
    </row>
    <row r="60" spans="1:2" x14ac:dyDescent="0.3">
      <c r="A60" t="s">
        <v>60</v>
      </c>
    </row>
    <row r="61" spans="1:2" x14ac:dyDescent="0.3">
      <c r="A61" t="s">
        <v>61</v>
      </c>
      <c r="B61" s="1" t="s">
        <v>139</v>
      </c>
    </row>
    <row r="62" spans="1:2" x14ac:dyDescent="0.3">
      <c r="A62" t="s">
        <v>62</v>
      </c>
    </row>
    <row r="63" spans="1:2" x14ac:dyDescent="0.3">
      <c r="A63" t="s">
        <v>63</v>
      </c>
    </row>
    <row r="64" spans="1:2" x14ac:dyDescent="0.3">
      <c r="A64" t="s">
        <v>64</v>
      </c>
      <c r="B64">
        <v>2</v>
      </c>
    </row>
    <row r="65" spans="1:2" x14ac:dyDescent="0.3">
      <c r="A65" t="s">
        <v>65</v>
      </c>
      <c r="B65">
        <v>1</v>
      </c>
    </row>
    <row r="66" spans="1:2" x14ac:dyDescent="0.3">
      <c r="A66" t="s">
        <v>66</v>
      </c>
      <c r="B66" s="1" t="s">
        <v>76</v>
      </c>
    </row>
    <row r="67" spans="1:2" x14ac:dyDescent="0.3">
      <c r="A67" t="s">
        <v>67</v>
      </c>
      <c r="B67" s="1" t="s">
        <v>76</v>
      </c>
    </row>
    <row r="68" spans="1:2" x14ac:dyDescent="0.3">
      <c r="A68" t="s">
        <v>68</v>
      </c>
      <c r="B68" s="1" t="s">
        <v>76</v>
      </c>
    </row>
    <row r="69" spans="1:2" x14ac:dyDescent="0.3">
      <c r="A69" t="s">
        <v>69</v>
      </c>
      <c r="B69" s="1" t="s">
        <v>76</v>
      </c>
    </row>
    <row r="70" spans="1:2" x14ac:dyDescent="0.3">
      <c r="A70" t="s">
        <v>70</v>
      </c>
      <c r="B70" s="1" t="s">
        <v>76</v>
      </c>
    </row>
    <row r="71" spans="1:2" x14ac:dyDescent="0.3">
      <c r="A71" t="s">
        <v>71</v>
      </c>
      <c r="B71">
        <v>3750</v>
      </c>
    </row>
    <row r="72" spans="1:2" x14ac:dyDescent="0.3">
      <c r="A72" t="s">
        <v>72</v>
      </c>
      <c r="B72">
        <v>5410</v>
      </c>
    </row>
    <row r="73" spans="1:2" x14ac:dyDescent="0.3">
      <c r="A73" t="s">
        <v>73</v>
      </c>
    </row>
    <row r="74" spans="1:2" x14ac:dyDescent="0.3">
      <c r="A74" t="s">
        <v>74</v>
      </c>
      <c r="B74" s="1" t="s">
        <v>83</v>
      </c>
    </row>
    <row r="75" spans="1:2" x14ac:dyDescent="0.3">
      <c r="A75" t="s">
        <v>84</v>
      </c>
      <c r="B75" t="s">
        <v>85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2025-11-04T17:16:14Z</dcterms:modified>
</cp:coreProperties>
</file>