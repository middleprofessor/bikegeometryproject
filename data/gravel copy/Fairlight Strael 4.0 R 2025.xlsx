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395E0CB-75B5-2D45-AA39-D7A134FEA919}" xr6:coauthVersionLast="47" xr6:coauthVersionMax="47" xr10:uidLastSave="{00000000-0000-0000-0000-000000000000}"/>
  <bookViews>
    <workbookView xWindow="2900" yWindow="16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C32" i="1"/>
  <c r="E31" i="1"/>
  <c r="D32" i="1" s="1"/>
  <c r="F31" i="1"/>
  <c r="E32" i="1" s="1"/>
  <c r="G31" i="1"/>
  <c r="F32" i="1" s="1"/>
  <c r="D31" i="1"/>
  <c r="C31" i="1"/>
</calcChain>
</file>

<file path=xl/sharedStrings.xml><?xml version="1.0" encoding="utf-8"?>
<sst xmlns="http://schemas.openxmlformats.org/spreadsheetml/2006/main" count="122" uniqueCount="117">
  <si>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</si>
  <si>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</si>
  <si>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</si>
  <si>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</si>
  <si>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</si>
  <si>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</si>
  <si>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</si>
  <si>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</si>
  <si>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</si>
  <si>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</si>
  <si>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</si>
  <si>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</si>
  <si>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</si>
  <si>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</si>
  <si>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</si>
  <si>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</si>
  <si>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</si>
  <si>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</si>
  <si>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</si>
  <si>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</si>
  <si>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</si>
  <si>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</si>
  <si>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</si>
  <si>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</si>
  <si>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</si>
  <si>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</si>
  <si>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</si>
  <si>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</si>
  <si>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</si>
  <si>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</si>
  <si>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</si>
  <si>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</si>
  <si>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</si>
  <si>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</si>
  <si>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</si>
  <si>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</si>
  <si>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</si>
  <si>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</si>
  <si>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</si>
  <si>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</si>
  <si>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</si>
  <si>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</si>
  <si>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</si>
  <si>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</si>
  <si>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</si>
  <si>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</si>
  <si>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</si>
  <si>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</si>
  <si>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</si>
  <si>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</si>
  <si>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</si>
  <si>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</si>
  <si>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</si>
  <si>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</si>
  <si>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</si>
  <si>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</si>
  <si>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</si>
  <si>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</si>
  <si>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</si>
  <si>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</si>
  <si>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</si>
  <si>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</si>
  <si>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</si>
  <si>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</si>
  <si>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</si>
  <si>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</si>
  <si>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</si>
  <si>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</si>
  <si>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</si>
  <si>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</si>
  <si>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</si>
  <si>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</si>
  <si>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</si>
  <si>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</si>
  <si>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</si>
  <si>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</si>
  <si>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Size</t>
  </si>
  <si>
    <t>rider_min_spec</t>
  </si>
  <si>
    <t>rider_max_spec</t>
  </si>
  <si>
    <t>51R</t>
  </si>
  <si>
    <t>54R</t>
  </si>
  <si>
    <t>56R</t>
  </si>
  <si>
    <t>58R</t>
  </si>
  <si>
    <t>61R</t>
  </si>
  <si>
    <t>51T</t>
  </si>
  <si>
    <t>54T</t>
  </si>
  <si>
    <t>56T</t>
  </si>
  <si>
    <t>58T</t>
  </si>
  <si>
    <t>61T</t>
  </si>
  <si>
    <t>Top Tube Horizontal</t>
  </si>
  <si>
    <t>Seat Tube (BB to top ST)</t>
  </si>
  <si>
    <t>Seat Tube Angle</t>
  </si>
  <si>
    <t>Head Tube Angle</t>
  </si>
  <si>
    <t>Chainstay Length</t>
  </si>
  <si>
    <t>Fork Rake</t>
  </si>
  <si>
    <t>Wheelbase</t>
  </si>
  <si>
    <t>Trail - 700 x 32 Tyres</t>
  </si>
  <si>
    <t>Bottom Bracket Drop</t>
  </si>
  <si>
    <t>Front Center Distance</t>
  </si>
  <si>
    <t>Head Tube Length</t>
  </si>
  <si>
    <t>Stack</t>
  </si>
  <si>
    <t>Reach</t>
  </si>
  <si>
    <t>Standover Height (32mm tyres) @ 65mm forward of BB</t>
  </si>
  <si>
    <t>Fork Length - Axle to Crown</t>
  </si>
  <si>
    <t>Fairlight</t>
  </si>
  <si>
    <t>https://fairlightcycles.com/strael-4-0/?v=0b3b97fa6688</t>
  </si>
  <si>
    <t>front_center</t>
  </si>
  <si>
    <t>trail</t>
  </si>
  <si>
    <t>steel</t>
  </si>
  <si>
    <t>52/36</t>
  </si>
  <si>
    <t>Strael 4.0 R</t>
  </si>
  <si>
    <t>a8:g34</t>
  </si>
  <si>
    <t>https://media.fairlightcycles.com/wp-content/uploads/2025/03/Strael-4.0-58R-Ochre-2560-x-1152-Banner.jpg</t>
  </si>
  <si>
    <t>GBP</t>
  </si>
  <si>
    <t>location</t>
  </si>
  <si>
    <t>London, United Kingdom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</si>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</sst>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sz val="14"/>
      <color theme="1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2" fillId="0" borderId="0" xfId="0" applyNumberFormat="1" applyFont="1"/>
    <xf numFmtId="0" fontId="4" fillId="0" borderId="0" xfId="0" applyFont="1"/>
    <xf numFmtId="0" fontId="5" fillId="0" borderId="0" xfId="0" applyFont="1"/>
    <xf numFmtId="1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tabSelected="1" topLeftCell="A54" workbookViewId="0">
      <selection activeCell="B61" sqref="B61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1" x14ac:dyDescent="0.3">
      <c r="A1" s="2" t="s">
        <v>0</v>
      </c>
      <c r="B1" s="2" t="s">
        <v>104</v>
      </c>
    </row>
    <row r="2" spans="1:21" x14ac:dyDescent="0.3">
      <c r="A2" s="2" t="s">
        <v>1</v>
      </c>
      <c r="B2" s="2" t="s">
        <v>110</v>
      </c>
    </row>
    <row r="3" spans="1:21" x14ac:dyDescent="0.3">
      <c r="A3" s="2" t="s">
        <v>2</v>
      </c>
      <c r="B3" s="2">
        <v>2025</v>
      </c>
    </row>
    <row r="4" spans="1:21" x14ac:dyDescent="0.3">
      <c r="A4" s="2" t="s">
        <v>3</v>
      </c>
      <c r="B4" s="4">
        <v>45886</v>
      </c>
    </row>
    <row r="5" spans="1:21" x14ac:dyDescent="0.3">
      <c r="A5" s="2" t="s">
        <v>4</v>
      </c>
      <c r="B5" s="2" t="s">
        <v>105</v>
      </c>
    </row>
    <row r="6" spans="1:21" x14ac:dyDescent="0.3">
      <c r="B6" s="2" t="s">
        <v>112</v>
      </c>
    </row>
    <row r="7" spans="1:21" x14ac:dyDescent="0.3">
      <c r="A7" s="2" t="s">
        <v>5</v>
      </c>
      <c r="B7" s="2" t="s">
        <v>111</v>
      </c>
    </row>
    <row r="8" spans="1:21" x14ac:dyDescent="0.3">
      <c r="A8" s="2" t="s">
        <v>6</v>
      </c>
      <c r="B8" s="2" t="s">
        <v>76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  <c r="H8" s="1"/>
      <c r="I8" s="1" t="s">
        <v>84</v>
      </c>
      <c r="J8" s="1" t="s">
        <v>85</v>
      </c>
      <c r="K8" s="1" t="s">
        <v>86</v>
      </c>
      <c r="L8" s="1" t="s">
        <v>87</v>
      </c>
      <c r="M8" s="1" t="s">
        <v>88</v>
      </c>
      <c r="N8" s="5"/>
      <c r="O8" s="5"/>
      <c r="P8" s="5"/>
      <c r="Q8" s="5"/>
      <c r="R8" s="5"/>
      <c r="S8" s="5"/>
      <c r="T8" s="5"/>
      <c r="U8" s="5"/>
    </row>
    <row r="9" spans="1:21" x14ac:dyDescent="0.3">
      <c r="A9" s="2" t="s">
        <v>7</v>
      </c>
      <c r="B9" s="2" t="s">
        <v>89</v>
      </c>
      <c r="C9" s="3">
        <v>533</v>
      </c>
      <c r="D9" s="3">
        <v>546</v>
      </c>
      <c r="E9" s="3">
        <v>562</v>
      </c>
      <c r="F9" s="3">
        <v>575</v>
      </c>
      <c r="G9" s="3">
        <v>588</v>
      </c>
      <c r="H9" s="3"/>
      <c r="I9" s="3">
        <v>532</v>
      </c>
      <c r="J9" s="3">
        <v>548</v>
      </c>
      <c r="K9" s="3">
        <v>564</v>
      </c>
      <c r="L9" s="3">
        <v>578</v>
      </c>
      <c r="M9" s="3">
        <v>592</v>
      </c>
      <c r="N9" s="6"/>
      <c r="O9" s="6"/>
      <c r="P9" s="6"/>
      <c r="Q9" s="6"/>
      <c r="R9" s="6"/>
      <c r="S9" s="6"/>
      <c r="T9" s="6"/>
    </row>
    <row r="10" spans="1:21" x14ac:dyDescent="0.3">
      <c r="A10" s="2" t="s">
        <v>9</v>
      </c>
      <c r="B10" s="2" t="s">
        <v>90</v>
      </c>
      <c r="C10" s="3">
        <v>510</v>
      </c>
      <c r="D10" s="3">
        <v>532</v>
      </c>
      <c r="E10" s="3">
        <v>545</v>
      </c>
      <c r="F10" s="3">
        <v>564</v>
      </c>
      <c r="G10" s="3">
        <v>583</v>
      </c>
      <c r="H10" s="3"/>
      <c r="I10" s="3">
        <v>514</v>
      </c>
      <c r="J10" s="3">
        <v>536</v>
      </c>
      <c r="K10" s="3">
        <v>557</v>
      </c>
      <c r="L10" s="3">
        <v>575</v>
      </c>
      <c r="M10" s="3">
        <v>592</v>
      </c>
      <c r="N10" s="6"/>
      <c r="O10" s="6"/>
      <c r="P10" s="6"/>
      <c r="Q10" s="6"/>
      <c r="R10" s="6"/>
      <c r="S10" s="6"/>
      <c r="T10" s="6"/>
    </row>
    <row r="11" spans="1:21" x14ac:dyDescent="0.3">
      <c r="A11" s="2" t="s">
        <v>8</v>
      </c>
      <c r="B11" s="2" t="s">
        <v>91</v>
      </c>
      <c r="C11" s="3">
        <v>74</v>
      </c>
      <c r="D11" s="3">
        <v>73.75</v>
      </c>
      <c r="E11" s="3">
        <v>73.5</v>
      </c>
      <c r="F11" s="3">
        <v>73.5</v>
      </c>
      <c r="G11" s="3">
        <v>73.5</v>
      </c>
      <c r="H11" s="3"/>
      <c r="I11" s="3">
        <v>74</v>
      </c>
      <c r="J11" s="3">
        <v>73.75</v>
      </c>
      <c r="K11" s="3">
        <v>73.5</v>
      </c>
      <c r="L11" s="3">
        <v>73.5</v>
      </c>
      <c r="M11" s="3">
        <v>73.5</v>
      </c>
      <c r="N11" s="6"/>
      <c r="O11" s="6"/>
      <c r="P11" s="6"/>
      <c r="Q11" s="6"/>
      <c r="R11" s="6"/>
      <c r="S11" s="6"/>
      <c r="T11" s="6"/>
    </row>
    <row r="12" spans="1:21" x14ac:dyDescent="0.3">
      <c r="A12" s="2" t="s">
        <v>11</v>
      </c>
      <c r="B12" s="2" t="s">
        <v>92</v>
      </c>
      <c r="C12" s="3">
        <v>71.5</v>
      </c>
      <c r="D12" s="3">
        <v>72.25</v>
      </c>
      <c r="E12" s="3">
        <v>73</v>
      </c>
      <c r="F12" s="3">
        <v>73.25</v>
      </c>
      <c r="G12" s="3">
        <v>73.25</v>
      </c>
      <c r="H12" s="3"/>
      <c r="I12" s="3">
        <v>71.5</v>
      </c>
      <c r="J12" s="3">
        <v>72.25</v>
      </c>
      <c r="K12" s="3">
        <v>73</v>
      </c>
      <c r="L12" s="3">
        <v>73.25</v>
      </c>
      <c r="M12" s="3">
        <v>73.25</v>
      </c>
      <c r="N12" s="6"/>
      <c r="O12" s="6"/>
      <c r="P12" s="6"/>
      <c r="Q12" s="6"/>
      <c r="R12" s="6"/>
      <c r="S12" s="6"/>
      <c r="T12" s="6"/>
    </row>
    <row r="13" spans="1:21" x14ac:dyDescent="0.3">
      <c r="A13" s="2" t="s">
        <v>14</v>
      </c>
      <c r="B13" s="2" t="s">
        <v>93</v>
      </c>
      <c r="C13" s="3">
        <v>419</v>
      </c>
      <c r="D13" s="3">
        <v>419</v>
      </c>
      <c r="E13" s="3">
        <v>419</v>
      </c>
      <c r="F13" s="3">
        <v>419</v>
      </c>
      <c r="G13" s="3">
        <v>419</v>
      </c>
      <c r="H13" s="3"/>
      <c r="I13" s="3">
        <v>419</v>
      </c>
      <c r="J13" s="3">
        <v>419</v>
      </c>
      <c r="K13" s="3">
        <v>419</v>
      </c>
      <c r="L13" s="3">
        <v>419</v>
      </c>
      <c r="M13" s="3">
        <v>419</v>
      </c>
      <c r="N13" s="6"/>
      <c r="O13" s="6"/>
      <c r="P13" s="6"/>
      <c r="Q13" s="6"/>
      <c r="R13" s="6"/>
      <c r="S13" s="6"/>
      <c r="T13" s="6"/>
    </row>
    <row r="14" spans="1:21" x14ac:dyDescent="0.3">
      <c r="A14" s="2" t="s">
        <v>13</v>
      </c>
      <c r="B14" s="2" t="s">
        <v>94</v>
      </c>
      <c r="C14" s="3">
        <v>45</v>
      </c>
      <c r="D14" s="3">
        <v>45</v>
      </c>
      <c r="E14" s="3">
        <v>45</v>
      </c>
      <c r="F14" s="3">
        <v>45</v>
      </c>
      <c r="G14" s="3">
        <v>45</v>
      </c>
      <c r="H14" s="3"/>
      <c r="I14" s="3">
        <v>45</v>
      </c>
      <c r="J14" s="3">
        <v>45</v>
      </c>
      <c r="K14" s="3">
        <v>45</v>
      </c>
      <c r="L14" s="3">
        <v>45</v>
      </c>
      <c r="M14" s="3">
        <v>45</v>
      </c>
      <c r="N14" s="6"/>
      <c r="O14" s="6"/>
      <c r="P14" s="6"/>
      <c r="Q14" s="6"/>
      <c r="R14" s="6"/>
      <c r="S14" s="6"/>
      <c r="T14" s="6"/>
    </row>
    <row r="15" spans="1:21" x14ac:dyDescent="0.3">
      <c r="A15" s="2" t="s">
        <v>19</v>
      </c>
      <c r="B15" s="2" t="s">
        <v>95</v>
      </c>
      <c r="C15" s="3">
        <v>992</v>
      </c>
      <c r="D15" s="3">
        <v>998</v>
      </c>
      <c r="E15" s="3">
        <v>1005</v>
      </c>
      <c r="F15" s="3">
        <v>1016</v>
      </c>
      <c r="G15" s="3">
        <v>1029</v>
      </c>
      <c r="H15" s="3"/>
      <c r="I15" s="3">
        <v>992</v>
      </c>
      <c r="J15" s="3">
        <v>1001</v>
      </c>
      <c r="K15" s="3">
        <v>1007</v>
      </c>
      <c r="L15" s="3">
        <v>1019</v>
      </c>
      <c r="M15" s="3">
        <v>1033</v>
      </c>
      <c r="N15" s="6"/>
      <c r="O15" s="6"/>
      <c r="P15" s="6"/>
      <c r="Q15" s="6"/>
      <c r="R15" s="6"/>
      <c r="S15" s="6"/>
      <c r="T15" s="6"/>
    </row>
    <row r="16" spans="1:21" x14ac:dyDescent="0.3">
      <c r="A16" s="2" t="s">
        <v>107</v>
      </c>
      <c r="B16" s="2" t="s">
        <v>96</v>
      </c>
      <c r="C16" s="3">
        <v>68</v>
      </c>
      <c r="D16" s="3">
        <v>63</v>
      </c>
      <c r="E16" s="3">
        <v>58</v>
      </c>
      <c r="F16" s="3">
        <v>57</v>
      </c>
      <c r="G16" s="3">
        <v>57</v>
      </c>
      <c r="H16" s="3"/>
      <c r="I16" s="3">
        <v>68</v>
      </c>
      <c r="J16" s="3">
        <v>63</v>
      </c>
      <c r="K16" s="3">
        <v>58</v>
      </c>
      <c r="L16" s="3">
        <v>57</v>
      </c>
      <c r="M16" s="3">
        <v>57</v>
      </c>
      <c r="N16" s="6"/>
      <c r="O16" s="6"/>
      <c r="P16" s="6"/>
      <c r="Q16" s="6"/>
      <c r="R16" s="6"/>
      <c r="S16" s="6"/>
      <c r="T16" s="6"/>
    </row>
    <row r="17" spans="1:21" x14ac:dyDescent="0.3">
      <c r="A17" s="2" t="s">
        <v>15</v>
      </c>
      <c r="B17" s="2" t="s">
        <v>97</v>
      </c>
      <c r="C17" s="3">
        <v>74</v>
      </c>
      <c r="D17" s="3">
        <v>72</v>
      </c>
      <c r="E17" s="3">
        <v>72</v>
      </c>
      <c r="F17" s="3">
        <v>72</v>
      </c>
      <c r="G17" s="3">
        <v>72</v>
      </c>
      <c r="H17" s="3"/>
      <c r="I17" s="3">
        <v>74</v>
      </c>
      <c r="J17" s="3">
        <v>72</v>
      </c>
      <c r="K17" s="3">
        <v>72</v>
      </c>
      <c r="L17" s="3">
        <v>72</v>
      </c>
      <c r="M17" s="3">
        <v>72</v>
      </c>
      <c r="N17" s="6"/>
      <c r="O17" s="6"/>
      <c r="P17" s="6"/>
      <c r="Q17" s="6"/>
      <c r="R17" s="6"/>
      <c r="S17" s="6"/>
      <c r="T17" s="6"/>
    </row>
    <row r="18" spans="1:21" x14ac:dyDescent="0.3">
      <c r="A18" s="2" t="s">
        <v>106</v>
      </c>
      <c r="B18" s="2" t="s">
        <v>98</v>
      </c>
      <c r="C18" s="3">
        <v>585</v>
      </c>
      <c r="D18" s="3">
        <v>590</v>
      </c>
      <c r="E18" s="3">
        <v>596</v>
      </c>
      <c r="F18" s="3">
        <v>607</v>
      </c>
      <c r="G18" s="3">
        <v>621</v>
      </c>
      <c r="H18" s="3"/>
      <c r="I18" s="3">
        <v>585</v>
      </c>
      <c r="J18" s="3">
        <v>592</v>
      </c>
      <c r="K18" s="3">
        <v>599</v>
      </c>
      <c r="L18" s="3">
        <v>610</v>
      </c>
      <c r="M18" s="3">
        <v>624</v>
      </c>
      <c r="N18" s="6"/>
      <c r="O18" s="6"/>
      <c r="P18" s="6"/>
      <c r="Q18" s="6"/>
      <c r="R18" s="6"/>
      <c r="S18" s="6"/>
      <c r="T18" s="6"/>
    </row>
    <row r="19" spans="1:21" x14ac:dyDescent="0.3">
      <c r="A19" s="2" t="s">
        <v>10</v>
      </c>
      <c r="B19" s="2" t="s">
        <v>99</v>
      </c>
      <c r="C19" s="3">
        <v>106</v>
      </c>
      <c r="D19" s="3">
        <v>124</v>
      </c>
      <c r="E19" s="3">
        <v>140</v>
      </c>
      <c r="F19" s="3">
        <v>158</v>
      </c>
      <c r="G19" s="3">
        <v>177</v>
      </c>
      <c r="H19" s="3"/>
      <c r="I19" s="3">
        <v>137</v>
      </c>
      <c r="J19" s="3">
        <v>157</v>
      </c>
      <c r="K19" s="3">
        <v>176</v>
      </c>
      <c r="L19" s="3">
        <v>195</v>
      </c>
      <c r="M19" s="3">
        <v>216</v>
      </c>
      <c r="N19" s="6"/>
      <c r="O19" s="6"/>
      <c r="P19" s="6"/>
      <c r="Q19" s="6"/>
      <c r="R19" s="6"/>
      <c r="S19" s="6"/>
      <c r="T19" s="6"/>
    </row>
    <row r="20" spans="1:21" x14ac:dyDescent="0.3">
      <c r="A20" s="2" t="s">
        <v>16</v>
      </c>
      <c r="B20" s="2" t="s">
        <v>100</v>
      </c>
      <c r="C20" s="3">
        <v>530</v>
      </c>
      <c r="D20" s="3">
        <v>548</v>
      </c>
      <c r="E20" s="3">
        <v>566</v>
      </c>
      <c r="F20" s="3">
        <v>584</v>
      </c>
      <c r="G20" s="3">
        <v>602</v>
      </c>
      <c r="H20" s="3"/>
      <c r="I20" s="3">
        <v>560</v>
      </c>
      <c r="J20" s="3">
        <v>580</v>
      </c>
      <c r="K20" s="3">
        <v>600</v>
      </c>
      <c r="L20" s="3">
        <v>620</v>
      </c>
      <c r="M20" s="3">
        <v>640</v>
      </c>
      <c r="N20" s="6"/>
      <c r="O20" s="6"/>
      <c r="P20" s="6"/>
      <c r="Q20" s="6"/>
      <c r="R20" s="6"/>
      <c r="S20" s="6"/>
      <c r="T20" s="6"/>
    </row>
    <row r="21" spans="1:21" x14ac:dyDescent="0.3">
      <c r="A21" s="2" t="s">
        <v>17</v>
      </c>
      <c r="B21" s="2" t="s">
        <v>101</v>
      </c>
      <c r="C21" s="3">
        <v>380</v>
      </c>
      <c r="D21" s="3">
        <v>386</v>
      </c>
      <c r="E21" s="3">
        <v>394</v>
      </c>
      <c r="F21" s="3">
        <v>402</v>
      </c>
      <c r="G21" s="3">
        <v>410</v>
      </c>
      <c r="H21" s="3"/>
      <c r="I21" s="3">
        <v>370</v>
      </c>
      <c r="J21" s="3">
        <v>378</v>
      </c>
      <c r="K21" s="3">
        <v>386</v>
      </c>
      <c r="L21" s="3">
        <v>394</v>
      </c>
      <c r="M21" s="3">
        <v>402</v>
      </c>
      <c r="N21" s="6"/>
      <c r="O21" s="6"/>
      <c r="P21" s="6"/>
      <c r="Q21" s="6"/>
      <c r="R21" s="6"/>
      <c r="S21" s="6"/>
      <c r="T21" s="6"/>
    </row>
    <row r="22" spans="1:21" x14ac:dyDescent="0.3">
      <c r="A22" s="2" t="s">
        <v>18</v>
      </c>
      <c r="B22" s="2" t="s">
        <v>102</v>
      </c>
      <c r="C22" s="3">
        <v>758</v>
      </c>
      <c r="D22" s="3">
        <v>780</v>
      </c>
      <c r="E22" s="3">
        <v>794</v>
      </c>
      <c r="F22" s="3">
        <v>812</v>
      </c>
      <c r="G22" s="3">
        <v>830</v>
      </c>
      <c r="H22" s="3"/>
      <c r="I22" s="3">
        <v>772</v>
      </c>
      <c r="J22" s="3">
        <v>795</v>
      </c>
      <c r="K22" s="3">
        <v>815</v>
      </c>
      <c r="L22" s="3">
        <v>833</v>
      </c>
      <c r="M22" s="3">
        <v>851</v>
      </c>
      <c r="N22" s="6"/>
      <c r="O22" s="6"/>
      <c r="P22" s="6"/>
      <c r="Q22" s="6"/>
      <c r="R22" s="6"/>
      <c r="S22" s="6"/>
      <c r="T22" s="6"/>
    </row>
    <row r="23" spans="1:21" x14ac:dyDescent="0.3">
      <c r="A23" s="2" t="s">
        <v>12</v>
      </c>
      <c r="B23" s="1" t="s">
        <v>103</v>
      </c>
      <c r="C23" s="3">
        <v>381</v>
      </c>
      <c r="D23" s="3">
        <v>381</v>
      </c>
      <c r="E23" s="3">
        <v>381</v>
      </c>
      <c r="F23" s="3">
        <v>381</v>
      </c>
      <c r="G23" s="3">
        <v>381</v>
      </c>
      <c r="H23" s="3"/>
      <c r="I23" s="3">
        <v>381</v>
      </c>
      <c r="J23" s="3">
        <v>381</v>
      </c>
      <c r="K23" s="3">
        <v>381</v>
      </c>
      <c r="L23" s="3">
        <v>381</v>
      </c>
      <c r="M23" s="3">
        <v>381</v>
      </c>
      <c r="N23" s="5"/>
      <c r="O23" s="6"/>
      <c r="P23" s="6"/>
      <c r="Q23" s="6"/>
      <c r="R23" s="6"/>
      <c r="S23" s="6"/>
      <c r="T23" s="6"/>
      <c r="U23" s="6"/>
    </row>
    <row r="24" spans="1:21" x14ac:dyDescent="0.3">
      <c r="A24" s="2" t="s">
        <v>20</v>
      </c>
      <c r="B24" s="1"/>
      <c r="N24" s="5"/>
      <c r="O24" s="6"/>
      <c r="P24" s="6"/>
      <c r="Q24" s="6"/>
      <c r="R24" s="6"/>
      <c r="S24" s="6"/>
      <c r="T24" s="6"/>
      <c r="U24" s="6"/>
    </row>
    <row r="25" spans="1:21" x14ac:dyDescent="0.3">
      <c r="A25" s="2" t="s">
        <v>21</v>
      </c>
      <c r="B25" s="1"/>
      <c r="N25" s="5"/>
      <c r="O25" s="6"/>
      <c r="P25" s="6"/>
      <c r="Q25" s="6"/>
      <c r="R25" s="6"/>
      <c r="S25" s="6"/>
      <c r="T25" s="6"/>
      <c r="U25" s="6"/>
    </row>
    <row r="26" spans="1:21" x14ac:dyDescent="0.3">
      <c r="A26" s="2" t="s">
        <v>22</v>
      </c>
      <c r="F26" s="7"/>
    </row>
    <row r="27" spans="1:21" x14ac:dyDescent="0.3">
      <c r="A27" s="2" t="s">
        <v>23</v>
      </c>
      <c r="D27" s="2">
        <v>1640</v>
      </c>
      <c r="F27" s="7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</row>
    <row r="29" spans="1:21" x14ac:dyDescent="0.3">
      <c r="A29" s="2" t="s">
        <v>25</v>
      </c>
      <c r="B29" s="2" t="s">
        <v>25</v>
      </c>
      <c r="C29" s="2">
        <v>35</v>
      </c>
      <c r="D29" s="2">
        <v>35</v>
      </c>
      <c r="E29" s="2">
        <v>35</v>
      </c>
      <c r="F29" s="2">
        <v>35</v>
      </c>
      <c r="G29" s="2">
        <v>35</v>
      </c>
    </row>
    <row r="30" spans="1:21" x14ac:dyDescent="0.3">
      <c r="A30" s="2" t="s">
        <v>26</v>
      </c>
      <c r="B30" s="2" t="s">
        <v>26</v>
      </c>
      <c r="C30" s="2">
        <v>39</v>
      </c>
      <c r="D30" s="2">
        <v>39</v>
      </c>
      <c r="E30" s="2">
        <v>39</v>
      </c>
      <c r="F30" s="2">
        <v>39</v>
      </c>
      <c r="G30" s="2">
        <v>39</v>
      </c>
    </row>
    <row r="31" spans="1:21" x14ac:dyDescent="0.3">
      <c r="A31" s="2" t="s">
        <v>27</v>
      </c>
      <c r="B31" s="2" t="s">
        <v>28</v>
      </c>
      <c r="C31" s="2">
        <f>C33</f>
        <v>157</v>
      </c>
      <c r="D31" s="2">
        <f>AVERAGE(D33,C34)</f>
        <v>171.5</v>
      </c>
      <c r="E31" s="2">
        <f t="shared" ref="E31:G31" si="0">AVERAGE(E33,D34)</f>
        <v>176.5</v>
      </c>
      <c r="F31" s="2">
        <f t="shared" si="0"/>
        <v>181.5</v>
      </c>
      <c r="G31" s="2">
        <f t="shared" si="0"/>
        <v>189.5</v>
      </c>
    </row>
    <row r="32" spans="1:21" x14ac:dyDescent="0.3">
      <c r="A32" s="2" t="s">
        <v>29</v>
      </c>
      <c r="B32" s="2" t="s">
        <v>30</v>
      </c>
      <c r="C32" s="2">
        <f>D31</f>
        <v>171.5</v>
      </c>
      <c r="D32" s="2">
        <f t="shared" ref="D32:F32" si="1">E31</f>
        <v>176.5</v>
      </c>
      <c r="E32" s="2">
        <f t="shared" si="1"/>
        <v>181.5</v>
      </c>
      <c r="F32" s="2">
        <f t="shared" si="1"/>
        <v>189.5</v>
      </c>
      <c r="G32" s="2">
        <f>G34</f>
        <v>198</v>
      </c>
    </row>
    <row r="33" spans="1:11" x14ac:dyDescent="0.3">
      <c r="A33" s="2" t="s">
        <v>77</v>
      </c>
      <c r="C33" s="2">
        <v>157</v>
      </c>
      <c r="D33" s="2">
        <v>173</v>
      </c>
      <c r="E33" s="2">
        <v>178</v>
      </c>
      <c r="F33" s="2">
        <v>183</v>
      </c>
      <c r="G33" s="2">
        <v>191</v>
      </c>
    </row>
    <row r="34" spans="1:11" x14ac:dyDescent="0.3">
      <c r="A34" s="2" t="s">
        <v>78</v>
      </c>
      <c r="C34" s="2">
        <v>170</v>
      </c>
      <c r="D34" s="2">
        <v>175</v>
      </c>
      <c r="E34" s="2">
        <v>180</v>
      </c>
      <c r="F34" s="2">
        <v>188</v>
      </c>
      <c r="G34" s="2">
        <v>198</v>
      </c>
    </row>
    <row r="35" spans="1:11" x14ac:dyDescent="0.3">
      <c r="K35" s="1"/>
    </row>
    <row r="36" spans="1:11" x14ac:dyDescent="0.3">
      <c r="A36" s="2" t="s">
        <v>31</v>
      </c>
      <c r="B36" s="2" t="s">
        <v>32</v>
      </c>
    </row>
    <row r="37" spans="1:11" x14ac:dyDescent="0.3">
      <c r="A37" s="2" t="s">
        <v>68</v>
      </c>
      <c r="B37" s="2" t="s">
        <v>69</v>
      </c>
    </row>
    <row r="38" spans="1:11" x14ac:dyDescent="0.3">
      <c r="A38" s="2" t="s">
        <v>70</v>
      </c>
      <c r="B38" s="2" t="s">
        <v>71</v>
      </c>
    </row>
    <row r="39" spans="1:11" x14ac:dyDescent="0.3">
      <c r="A39" s="2" t="s">
        <v>72</v>
      </c>
      <c r="B39" s="2" t="s">
        <v>73</v>
      </c>
    </row>
    <row r="40" spans="1:11" x14ac:dyDescent="0.3">
      <c r="A40" s="2" t="s">
        <v>33</v>
      </c>
      <c r="B40" s="2" t="s">
        <v>108</v>
      </c>
    </row>
    <row r="41" spans="1:11" x14ac:dyDescent="0.3">
      <c r="A41" s="2" t="s">
        <v>34</v>
      </c>
      <c r="B41" s="2" t="s">
        <v>74</v>
      </c>
    </row>
    <row r="42" spans="1:11" x14ac:dyDescent="0.3">
      <c r="A42" s="2" t="s">
        <v>35</v>
      </c>
    </row>
    <row r="43" spans="1:11" x14ac:dyDescent="0.3">
      <c r="A43" s="2" t="s">
        <v>36</v>
      </c>
      <c r="B43" s="2">
        <v>39</v>
      </c>
    </row>
    <row r="44" spans="1:11" x14ac:dyDescent="0.3">
      <c r="A44" s="2" t="s">
        <v>37</v>
      </c>
    </row>
    <row r="45" spans="1:11" x14ac:dyDescent="0.3">
      <c r="A45" s="2" t="s">
        <v>38</v>
      </c>
    </row>
    <row r="46" spans="1:11" x14ac:dyDescent="0.3">
      <c r="A46" s="2" t="s">
        <v>39</v>
      </c>
    </row>
    <row r="47" spans="1:11" x14ac:dyDescent="0.3">
      <c r="A47" s="2" t="s">
        <v>40</v>
      </c>
    </row>
    <row r="48" spans="1:11" x14ac:dyDescent="0.3">
      <c r="A48" s="2" t="s">
        <v>41</v>
      </c>
    </row>
    <row r="49" spans="1:2" x14ac:dyDescent="0.3">
      <c r="A49" s="2" t="s">
        <v>42</v>
      </c>
      <c r="B49" s="2">
        <v>142</v>
      </c>
    </row>
    <row r="50" spans="1:2" x14ac:dyDescent="0.3">
      <c r="A50" s="2" t="s">
        <v>43</v>
      </c>
      <c r="B50" s="2">
        <v>100</v>
      </c>
    </row>
    <row r="51" spans="1:2" x14ac:dyDescent="0.3">
      <c r="A51" s="2" t="s">
        <v>44</v>
      </c>
      <c r="B51" s="2" t="s">
        <v>75</v>
      </c>
    </row>
    <row r="52" spans="1:2" x14ac:dyDescent="0.3">
      <c r="A52" s="2" t="s">
        <v>45</v>
      </c>
    </row>
    <row r="53" spans="1:2" x14ac:dyDescent="0.3">
      <c r="A53" s="2" t="s">
        <v>46</v>
      </c>
      <c r="B53" s="2">
        <v>27.2</v>
      </c>
    </row>
    <row r="54" spans="1:2" x14ac:dyDescent="0.3">
      <c r="A54" s="2" t="s">
        <v>47</v>
      </c>
    </row>
    <row r="55" spans="1:2" x14ac:dyDescent="0.3">
      <c r="A55" s="2" t="s">
        <v>48</v>
      </c>
      <c r="B55" s="2">
        <v>50</v>
      </c>
    </row>
    <row r="56" spans="1:2" x14ac:dyDescent="0.3">
      <c r="A56" s="2" t="s">
        <v>49</v>
      </c>
      <c r="B56" s="2" t="s">
        <v>109</v>
      </c>
    </row>
    <row r="57" spans="1:2" x14ac:dyDescent="0.3">
      <c r="A57" s="2" t="s">
        <v>50</v>
      </c>
      <c r="B57" s="2">
        <v>160</v>
      </c>
    </row>
    <row r="58" spans="1:2" x14ac:dyDescent="0.3">
      <c r="A58" s="2" t="s">
        <v>51</v>
      </c>
      <c r="B58" s="2">
        <v>160</v>
      </c>
    </row>
    <row r="59" spans="1:2" x14ac:dyDescent="0.3">
      <c r="A59" s="2" t="s">
        <v>52</v>
      </c>
    </row>
    <row r="60" spans="1:2" x14ac:dyDescent="0.3">
      <c r="A60" s="2" t="s">
        <v>53</v>
      </c>
    </row>
    <row r="61" spans="1:2" x14ac:dyDescent="0.3">
      <c r="A61" s="2" t="s">
        <v>54</v>
      </c>
      <c r="B61" s="2" t="s">
        <v>116</v>
      </c>
    </row>
    <row r="62" spans="1:2" x14ac:dyDescent="0.3">
      <c r="A62" s="2" t="s">
        <v>55</v>
      </c>
    </row>
    <row r="63" spans="1:2" x14ac:dyDescent="0.3">
      <c r="A63" s="2" t="s">
        <v>56</v>
      </c>
    </row>
    <row r="64" spans="1:2" x14ac:dyDescent="0.3">
      <c r="A64" s="2" t="s">
        <v>57</v>
      </c>
      <c r="B64" s="2">
        <v>2</v>
      </c>
    </row>
    <row r="65" spans="1:2" x14ac:dyDescent="0.3">
      <c r="A65" s="2" t="s">
        <v>58</v>
      </c>
      <c r="B65" s="2">
        <v>1</v>
      </c>
    </row>
    <row r="66" spans="1:2" x14ac:dyDescent="0.3">
      <c r="A66" s="2" t="s">
        <v>59</v>
      </c>
    </row>
    <row r="67" spans="1:2" x14ac:dyDescent="0.3">
      <c r="A67" s="2" t="s">
        <v>60</v>
      </c>
    </row>
    <row r="68" spans="1:2" x14ac:dyDescent="0.3">
      <c r="A68" s="2" t="s">
        <v>61</v>
      </c>
      <c r="B68" s="2" t="s">
        <v>74</v>
      </c>
    </row>
    <row r="69" spans="1:2" x14ac:dyDescent="0.3">
      <c r="A69" s="2" t="s">
        <v>62</v>
      </c>
    </row>
    <row r="70" spans="1:2" x14ac:dyDescent="0.3">
      <c r="A70" s="2" t="s">
        <v>63</v>
      </c>
      <c r="B70" s="2" t="s">
        <v>74</v>
      </c>
    </row>
    <row r="71" spans="1:2" x14ac:dyDescent="0.3">
      <c r="A71" s="2" t="s">
        <v>64</v>
      </c>
      <c r="B71" s="2">
        <v>1250</v>
      </c>
    </row>
    <row r="72" spans="1:2" x14ac:dyDescent="0.3">
      <c r="A72" s="2" t="s">
        <v>65</v>
      </c>
      <c r="B72" s="2">
        <v>2225</v>
      </c>
    </row>
    <row r="73" spans="1:2" x14ac:dyDescent="0.3">
      <c r="A73" s="2" t="s">
        <v>66</v>
      </c>
    </row>
    <row r="74" spans="1:2" x14ac:dyDescent="0.3">
      <c r="A74" s="8" t="s">
        <v>67</v>
      </c>
      <c r="B74" s="8" t="s">
        <v>113</v>
      </c>
    </row>
    <row r="75" spans="1:2" x14ac:dyDescent="0.3">
      <c r="A75" s="8" t="s">
        <v>114</v>
      </c>
      <c r="B75" s="8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2025-11-02T11:49:31Z</dcterms:modified>
</cp:coreProperties>
</file>