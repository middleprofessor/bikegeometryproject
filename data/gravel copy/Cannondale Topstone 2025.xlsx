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A907FA5-D3F7-614C-ADD7-FA72FDC2B534}" xr6:coauthVersionLast="47" xr6:coauthVersionMax="47" xr10:uidLastSave="{00000000-0000-0000-0000-000000000000}"/>
  <bookViews>
    <workbookView xWindow="2160" yWindow="900" windowWidth="2664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  <c r="D10" i="1"/>
  <c r="E10" i="1"/>
  <c r="F10" i="1"/>
  <c r="G10" i="1"/>
  <c r="D11" i="1"/>
  <c r="E11" i="1"/>
  <c r="F11" i="1"/>
  <c r="G11" i="1"/>
  <c r="D13" i="1"/>
  <c r="E13" i="1"/>
  <c r="F13" i="1"/>
  <c r="G13" i="1"/>
  <c r="D14" i="1"/>
  <c r="E14" i="1"/>
  <c r="F14" i="1"/>
  <c r="G14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B9" i="1"/>
  <c r="C9" i="1"/>
  <c r="D9" i="1"/>
  <c r="E9" i="1"/>
  <c r="F9" i="1"/>
  <c r="G9" i="1"/>
  <c r="C26" i="1"/>
  <c r="C25" i="1"/>
  <c r="C24" i="1"/>
  <c r="C23" i="1"/>
  <c r="C22" i="1"/>
  <c r="C21" i="1"/>
  <c r="C20" i="1"/>
  <c r="C19" i="1"/>
  <c r="C18" i="1"/>
  <c r="C17" i="1"/>
  <c r="C16" i="1"/>
  <c r="C14" i="1"/>
  <c r="C13" i="1"/>
  <c r="C11" i="1"/>
  <c r="C10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<sst xmlns="http://schemas.openxmlformats.org/spreadsheetml/2006/main" count="121" uniqueCount="114">
  <si>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</si>
  <si>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</si>
  <si>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</si>
  <si>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</si>
  <si>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</si>
  <si>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</si>
  <si>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</si>
  <si>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</si>
  <si>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</si>
  <si>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</si>
  <si>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</si>
  <si>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</si>
  <si>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</si>
  <si>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</si>
  <si>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</si>
  <si>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</si>
  <si>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</si>
  <si>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</si>
  <si>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</si>
  <si>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</si>
  <si>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</si>
  <si>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</si>
  <si>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</si>
  <si>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</si>
  <si>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</si>
  <si>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</si>
  <si>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</si>
  <si>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</si>
  <si>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</si>
  <si>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</si>
  <si>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</si>
  <si>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</si>
  <si>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</si>
  <si>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</si>
  <si>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</si>
  <si>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</si>
  <si>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</si>
  <si>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</si>
  <si>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</si>
  <si>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</si>
  <si>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</si>
  <si>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</si>
  <si>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</si>
  <si>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</si>
  <si>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</si>
  <si>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</si>
  <si>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</si>
  <si>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</si>
  <si>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</si>
  <si>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</si>
  <si>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</si>
  <si>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</si>
  <si>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</si>
  <si>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</si>
  <si>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</si>
  <si>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</si>
  <si>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</si>
  <si>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</si>
  <si>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</si>
  <si>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</si>
  <si>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</si>
  <si>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</si>
  <si>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</si>
  <si>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</si>
  <si>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</si>
  <si>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</si>
  <si>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</si>
  <si>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</si>
  <si>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</si>
  <si>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</si>
  <si>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</si>
  <si>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</si>
  <si>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</si>
  <si>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</si>
  <si>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</si>
  <si>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 Seat Tube Length (cm)</t>
  </si>
  <si>
    <t>B Top Tube Horizontal (cm)</t>
  </si>
  <si>
    <t>C Top Tube Actual (cm)</t>
  </si>
  <si>
    <t>D Head Tube Angle</t>
  </si>
  <si>
    <t>F Standover (cm)</t>
  </si>
  <si>
    <t>G Head Tube Length (cm)</t>
  </si>
  <si>
    <t>H Wheelbase (cm)</t>
  </si>
  <si>
    <t>I Front Center (cm)</t>
  </si>
  <si>
    <t>J Chain Stay Length (cm)</t>
  </si>
  <si>
    <t>K Bottom Bracket Drop (cm)</t>
  </si>
  <si>
    <t>L Bottom Bracket Height (cm)</t>
  </si>
  <si>
    <t>M Fork Rake (cm)</t>
  </si>
  <si>
    <t>N Trail (cm)</t>
  </si>
  <si>
    <t>P Reach (cm)</t>
  </si>
  <si>
    <t>axle_crown</t>
  </si>
  <si>
    <t>yes</t>
  </si>
  <si>
    <t>internal</t>
  </si>
  <si>
    <t>rigid</t>
  </si>
  <si>
    <t>Size</t>
  </si>
  <si>
    <t>O Stack (cm)</t>
  </si>
  <si>
    <t>threaded 68</t>
  </si>
  <si>
    <t>USD</t>
  </si>
  <si>
    <t>Topstone</t>
  </si>
  <si>
    <t>https://www.cannondale.com/en-us/bikes/road/gravel/topstone-alloy</t>
  </si>
  <si>
    <t>XS</t>
  </si>
  <si>
    <t>SM</t>
  </si>
  <si>
    <t>MD</t>
  </si>
  <si>
    <t>LG</t>
  </si>
  <si>
    <t>XL</t>
  </si>
  <si>
    <t>Wheel Size</t>
  </si>
  <si>
    <t>E Seat Tube Angle Effective</t>
  </si>
  <si>
    <t>E Seat Tube Angle Actual</t>
  </si>
  <si>
    <t>aluminum</t>
  </si>
  <si>
    <t>wheel_size_chart</t>
  </si>
  <si>
    <t>seat_tube_angle_actual</t>
  </si>
  <si>
    <t>a8:g36</t>
  </si>
  <si>
    <t>https://embed.widencdn.net/img/dorelrl/pskntxaef9/1700px@1x/C25_C15235U_Topstone_2_2x_SGR_PD.webp?color=C1C2BD&amp;q=99</t>
  </si>
  <si>
    <t>location</t>
  </si>
  <si>
    <t>Wilton, Connecticut,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</si>
</sst>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topLeftCell="A71" workbookViewId="0">
      <selection activeCell="A77" sqref="A77:B7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3" t="s">
        <v>97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1">
        <v>45926</v>
      </c>
    </row>
    <row r="5" spans="1:16" x14ac:dyDescent="0.3">
      <c r="A5" t="s">
        <v>5</v>
      </c>
      <c r="B5" t="s">
        <v>98</v>
      </c>
    </row>
    <row r="6" spans="1:16" x14ac:dyDescent="0.3">
      <c r="B6" t="s">
        <v>111</v>
      </c>
    </row>
    <row r="7" spans="1:16" x14ac:dyDescent="0.3">
      <c r="A7" t="s">
        <v>6</v>
      </c>
      <c r="B7" s="3" t="s">
        <v>110</v>
      </c>
    </row>
    <row r="8" spans="1:16" x14ac:dyDescent="0.3">
      <c r="A8" t="s">
        <v>7</v>
      </c>
      <c r="B8" s="3" t="str">
        <f>J8</f>
        <v>Size</v>
      </c>
      <c r="C8" s="3" t="str">
        <f t="shared" ref="C8:G8" si="0">K8</f>
        <v>XS</v>
      </c>
      <c r="D8" s="3" t="str">
        <f t="shared" si="0"/>
        <v>SM</v>
      </c>
      <c r="E8" s="3" t="str">
        <f t="shared" si="0"/>
        <v>MD</v>
      </c>
      <c r="F8" s="3" t="str">
        <f t="shared" si="0"/>
        <v>LG</v>
      </c>
      <c r="G8" s="3" t="str">
        <f t="shared" si="0"/>
        <v>XL</v>
      </c>
      <c r="J8" s="2" t="s">
        <v>93</v>
      </c>
      <c r="K8" s="2" t="s">
        <v>99</v>
      </c>
      <c r="L8" s="2" t="s">
        <v>100</v>
      </c>
      <c r="M8" s="2" t="s">
        <v>101</v>
      </c>
      <c r="N8" s="2" t="s">
        <v>102</v>
      </c>
      <c r="O8" s="2" t="s">
        <v>103</v>
      </c>
      <c r="P8" s="2"/>
    </row>
    <row r="9" spans="1:16" x14ac:dyDescent="0.3">
      <c r="A9" s="3" t="s">
        <v>108</v>
      </c>
      <c r="B9" s="3" t="str">
        <f t="shared" ref="B9" si="1">J9</f>
        <v>Wheel Size</v>
      </c>
      <c r="C9" s="3">
        <f t="shared" ref="C9" si="2">K9</f>
        <v>700</v>
      </c>
      <c r="D9" s="3">
        <f t="shared" ref="D9" si="3">L9</f>
        <v>700</v>
      </c>
      <c r="E9" s="3">
        <f t="shared" ref="E9" si="4">M9</f>
        <v>700</v>
      </c>
      <c r="F9" s="3">
        <f t="shared" ref="F9" si="5">N9</f>
        <v>700</v>
      </c>
      <c r="G9" s="3">
        <f t="shared" ref="G9" si="6">O9</f>
        <v>700</v>
      </c>
      <c r="J9" s="2" t="s">
        <v>104</v>
      </c>
      <c r="K9" s="2">
        <v>700</v>
      </c>
      <c r="L9" s="2">
        <v>700</v>
      </c>
      <c r="M9" s="2">
        <v>700</v>
      </c>
      <c r="N9" s="2">
        <v>700</v>
      </c>
      <c r="O9" s="2">
        <v>700</v>
      </c>
      <c r="P9" s="2"/>
    </row>
    <row r="10" spans="1:16" x14ac:dyDescent="0.3">
      <c r="A10" t="s">
        <v>8</v>
      </c>
      <c r="B10" s="3" t="str">
        <f t="shared" ref="B10:B26" si="7">J10</f>
        <v>A Seat Tube Length (cm)</v>
      </c>
      <c r="C10">
        <f>K10*10</f>
        <v>410</v>
      </c>
      <c r="D10">
        <f t="shared" ref="D10:G11" si="8">L10*10</f>
        <v>458</v>
      </c>
      <c r="E10">
        <f t="shared" si="8"/>
        <v>505</v>
      </c>
      <c r="F10">
        <f t="shared" si="8"/>
        <v>553</v>
      </c>
      <c r="G10">
        <f t="shared" si="8"/>
        <v>600</v>
      </c>
      <c r="J10" s="2" t="s">
        <v>75</v>
      </c>
      <c r="K10" s="2">
        <v>41</v>
      </c>
      <c r="L10" s="2">
        <v>45.8</v>
      </c>
      <c r="M10" s="2">
        <v>50.5</v>
      </c>
      <c r="N10" s="2">
        <v>55.3</v>
      </c>
      <c r="O10" s="2">
        <v>60</v>
      </c>
      <c r="P10" s="2"/>
    </row>
    <row r="11" spans="1:16" x14ac:dyDescent="0.3">
      <c r="A11" t="s">
        <v>9</v>
      </c>
      <c r="B11" s="3" t="str">
        <f t="shared" si="7"/>
        <v>B Top Tube Horizontal (cm)</v>
      </c>
      <c r="C11">
        <f>K11*10</f>
        <v>533</v>
      </c>
      <c r="D11">
        <f t="shared" si="8"/>
        <v>544</v>
      </c>
      <c r="E11">
        <f t="shared" si="8"/>
        <v>557</v>
      </c>
      <c r="F11">
        <f t="shared" si="8"/>
        <v>572</v>
      </c>
      <c r="G11">
        <f t="shared" si="8"/>
        <v>587</v>
      </c>
      <c r="J11" s="2" t="s">
        <v>76</v>
      </c>
      <c r="K11" s="2">
        <v>53.3</v>
      </c>
      <c r="L11" s="2">
        <v>54.4</v>
      </c>
      <c r="M11" s="2">
        <v>55.7</v>
      </c>
      <c r="N11" s="2">
        <v>57.2</v>
      </c>
      <c r="O11" s="2">
        <v>58.7</v>
      </c>
      <c r="P11" s="2"/>
    </row>
    <row r="12" spans="1:16" x14ac:dyDescent="0.3">
      <c r="A12" t="s">
        <v>10</v>
      </c>
      <c r="B12" s="3" t="str">
        <f t="shared" si="7"/>
        <v>C Top Tube Actual (cm)</v>
      </c>
      <c r="J12" s="2" t="s">
        <v>77</v>
      </c>
      <c r="K12" s="2"/>
      <c r="L12" s="2"/>
      <c r="M12" s="2"/>
      <c r="N12" s="2"/>
      <c r="O12" s="2"/>
      <c r="P12" s="2"/>
    </row>
    <row r="13" spans="1:16" x14ac:dyDescent="0.3">
      <c r="A13" t="s">
        <v>11</v>
      </c>
      <c r="B13" s="3" t="str">
        <f t="shared" si="7"/>
        <v>D Head Tube Angle</v>
      </c>
      <c r="C13">
        <f t="shared" ref="C13:C15" si="9">K13</f>
        <v>70</v>
      </c>
      <c r="D13">
        <f t="shared" ref="D13:D15" si="10">L13</f>
        <v>71</v>
      </c>
      <c r="E13">
        <f t="shared" ref="E13:E15" si="11">M13</f>
        <v>71</v>
      </c>
      <c r="F13">
        <f t="shared" ref="F13:F15" si="12">N13</f>
        <v>71</v>
      </c>
      <c r="G13">
        <f t="shared" ref="G13:G15" si="13">O13</f>
        <v>71</v>
      </c>
      <c r="J13" s="2" t="s">
        <v>78</v>
      </c>
      <c r="K13" s="2">
        <v>70</v>
      </c>
      <c r="L13" s="2">
        <v>71</v>
      </c>
      <c r="M13" s="2">
        <v>71</v>
      </c>
      <c r="N13" s="2">
        <v>71</v>
      </c>
      <c r="O13" s="2">
        <v>71</v>
      </c>
      <c r="P13" s="2"/>
    </row>
    <row r="14" spans="1:16" x14ac:dyDescent="0.3">
      <c r="A14" t="s">
        <v>12</v>
      </c>
      <c r="B14" s="3" t="str">
        <f t="shared" si="7"/>
        <v>E Seat Tube Angle Effective</v>
      </c>
      <c r="C14">
        <f t="shared" si="9"/>
        <v>73.099999999999994</v>
      </c>
      <c r="D14">
        <f t="shared" si="10"/>
        <v>73.099999999999994</v>
      </c>
      <c r="E14">
        <f t="shared" si="11"/>
        <v>73.099999999999994</v>
      </c>
      <c r="F14">
        <f t="shared" si="12"/>
        <v>73.099999999999994</v>
      </c>
      <c r="G14">
        <f t="shared" si="13"/>
        <v>73.099999999999994</v>
      </c>
      <c r="J14" s="2" t="s">
        <v>105</v>
      </c>
      <c r="K14" s="2">
        <v>73.099999999999994</v>
      </c>
      <c r="L14" s="2">
        <v>73.099999999999994</v>
      </c>
      <c r="M14" s="2">
        <v>73.099999999999994</v>
      </c>
      <c r="N14" s="2">
        <v>73.099999999999994</v>
      </c>
      <c r="O14" s="2">
        <v>73.099999999999994</v>
      </c>
      <c r="P14" s="2"/>
    </row>
    <row r="15" spans="1:16" x14ac:dyDescent="0.3">
      <c r="A15" s="3" t="s">
        <v>109</v>
      </c>
      <c r="B15" s="3" t="str">
        <f t="shared" si="7"/>
        <v>E Seat Tube Angle Actual</v>
      </c>
      <c r="C15">
        <f t="shared" si="9"/>
        <v>71.8</v>
      </c>
      <c r="D15">
        <f t="shared" si="10"/>
        <v>71.8</v>
      </c>
      <c r="E15">
        <f t="shared" si="11"/>
        <v>71.8</v>
      </c>
      <c r="F15">
        <f t="shared" si="12"/>
        <v>71.8</v>
      </c>
      <c r="G15">
        <f t="shared" si="13"/>
        <v>71.8</v>
      </c>
      <c r="J15" s="2" t="s">
        <v>106</v>
      </c>
      <c r="K15" s="2">
        <v>71.8</v>
      </c>
      <c r="L15" s="2">
        <v>71.8</v>
      </c>
      <c r="M15" s="2">
        <v>71.8</v>
      </c>
      <c r="N15" s="2">
        <v>71.8</v>
      </c>
      <c r="O15" s="2">
        <v>71.8</v>
      </c>
      <c r="P15" s="2"/>
    </row>
    <row r="16" spans="1:16" x14ac:dyDescent="0.3">
      <c r="A16" t="s">
        <v>13</v>
      </c>
      <c r="B16" s="3" t="str">
        <f t="shared" si="7"/>
        <v>F Standover (cm)</v>
      </c>
      <c r="C16">
        <f t="shared" ref="C16:C26" si="14">K16*10</f>
        <v>703</v>
      </c>
      <c r="D16">
        <f t="shared" ref="D16:D26" si="15">L16*10</f>
        <v>744</v>
      </c>
      <c r="E16">
        <f t="shared" ref="E16:E26" si="16">M16*10</f>
        <v>784</v>
      </c>
      <c r="F16">
        <f t="shared" ref="F16:F26" si="17">N16*10</f>
        <v>824</v>
      </c>
      <c r="G16">
        <f t="shared" ref="G16:G26" si="18">O16*10</f>
        <v>864</v>
      </c>
      <c r="J16" s="2" t="s">
        <v>79</v>
      </c>
      <c r="K16" s="2">
        <v>70.3</v>
      </c>
      <c r="L16" s="2">
        <v>74.400000000000006</v>
      </c>
      <c r="M16" s="2">
        <v>78.400000000000006</v>
      </c>
      <c r="N16" s="2">
        <v>82.4</v>
      </c>
      <c r="O16" s="2">
        <v>86.4</v>
      </c>
      <c r="P16" s="2"/>
    </row>
    <row r="17" spans="1:16" x14ac:dyDescent="0.3">
      <c r="A17" t="s">
        <v>14</v>
      </c>
      <c r="B17" s="3" t="str">
        <f t="shared" si="7"/>
        <v>G Head Tube Length (cm)</v>
      </c>
      <c r="C17">
        <f t="shared" si="14"/>
        <v>86</v>
      </c>
      <c r="D17">
        <f t="shared" si="15"/>
        <v>115</v>
      </c>
      <c r="E17">
        <f t="shared" si="16"/>
        <v>147</v>
      </c>
      <c r="F17">
        <f t="shared" si="17"/>
        <v>180</v>
      </c>
      <c r="G17">
        <f t="shared" si="18"/>
        <v>212</v>
      </c>
      <c r="J17" s="2" t="s">
        <v>80</v>
      </c>
      <c r="K17" s="2">
        <v>8.6</v>
      </c>
      <c r="L17" s="2">
        <v>11.5</v>
      </c>
      <c r="M17" s="2">
        <v>14.7</v>
      </c>
      <c r="N17" s="2">
        <v>18</v>
      </c>
      <c r="O17" s="2">
        <v>21.2</v>
      </c>
      <c r="P17" s="2"/>
    </row>
    <row r="18" spans="1:16" x14ac:dyDescent="0.3">
      <c r="A18" t="s">
        <v>15</v>
      </c>
      <c r="B18" s="3" t="str">
        <f t="shared" si="7"/>
        <v>H Wheelbase (cm)</v>
      </c>
      <c r="C18">
        <f t="shared" si="14"/>
        <v>1016</v>
      </c>
      <c r="D18">
        <f t="shared" si="15"/>
        <v>1027</v>
      </c>
      <c r="E18">
        <f t="shared" si="16"/>
        <v>1045</v>
      </c>
      <c r="F18">
        <f t="shared" si="17"/>
        <v>1065</v>
      </c>
      <c r="G18">
        <f t="shared" si="18"/>
        <v>1083</v>
      </c>
      <c r="J18" s="2" t="s">
        <v>81</v>
      </c>
      <c r="K18" s="2">
        <v>101.6</v>
      </c>
      <c r="L18" s="2">
        <v>102.7</v>
      </c>
      <c r="M18" s="2">
        <v>104.5</v>
      </c>
      <c r="N18" s="2">
        <v>106.5</v>
      </c>
      <c r="O18" s="2">
        <v>108.3</v>
      </c>
      <c r="P18" s="2"/>
    </row>
    <row r="19" spans="1:16" x14ac:dyDescent="0.3">
      <c r="A19" t="s">
        <v>16</v>
      </c>
      <c r="B19" s="3" t="str">
        <f t="shared" si="7"/>
        <v>I Front Center (cm)</v>
      </c>
      <c r="C19">
        <f t="shared" si="14"/>
        <v>593</v>
      </c>
      <c r="D19">
        <f t="shared" si="15"/>
        <v>603</v>
      </c>
      <c r="E19">
        <f t="shared" si="16"/>
        <v>621</v>
      </c>
      <c r="F19">
        <f t="shared" si="17"/>
        <v>641</v>
      </c>
      <c r="G19">
        <f t="shared" si="18"/>
        <v>659</v>
      </c>
      <c r="J19" s="2" t="s">
        <v>82</v>
      </c>
      <c r="K19" s="2">
        <v>59.3</v>
      </c>
      <c r="L19" s="2">
        <v>60.3</v>
      </c>
      <c r="M19" s="2">
        <v>62.1</v>
      </c>
      <c r="N19" s="2">
        <v>64.099999999999994</v>
      </c>
      <c r="O19" s="2">
        <v>65.900000000000006</v>
      </c>
      <c r="P19" s="2"/>
    </row>
    <row r="20" spans="1:16" x14ac:dyDescent="0.3">
      <c r="A20" t="s">
        <v>17</v>
      </c>
      <c r="B20" s="3" t="str">
        <f t="shared" si="7"/>
        <v>J Chain Stay Length (cm)</v>
      </c>
      <c r="C20">
        <f t="shared" si="14"/>
        <v>435</v>
      </c>
      <c r="D20">
        <f t="shared" si="15"/>
        <v>435</v>
      </c>
      <c r="E20">
        <f t="shared" si="16"/>
        <v>435</v>
      </c>
      <c r="F20">
        <f t="shared" si="17"/>
        <v>435</v>
      </c>
      <c r="G20">
        <f t="shared" si="18"/>
        <v>435</v>
      </c>
      <c r="J20" s="2" t="s">
        <v>83</v>
      </c>
      <c r="K20" s="2">
        <v>43.5</v>
      </c>
      <c r="L20" s="2">
        <v>43.5</v>
      </c>
      <c r="M20" s="2">
        <v>43.5</v>
      </c>
      <c r="N20" s="2">
        <v>43.5</v>
      </c>
      <c r="O20" s="2">
        <v>43.5</v>
      </c>
      <c r="P20" s="2"/>
    </row>
    <row r="21" spans="1:16" x14ac:dyDescent="0.3">
      <c r="A21" t="s">
        <v>18</v>
      </c>
      <c r="B21" s="3" t="str">
        <f t="shared" si="7"/>
        <v>K Bottom Bracket Drop (cm)</v>
      </c>
      <c r="C21">
        <f t="shared" si="14"/>
        <v>75</v>
      </c>
      <c r="D21">
        <f t="shared" si="15"/>
        <v>75</v>
      </c>
      <c r="E21">
        <f t="shared" si="16"/>
        <v>75</v>
      </c>
      <c r="F21">
        <f t="shared" si="17"/>
        <v>75</v>
      </c>
      <c r="G21">
        <f t="shared" si="18"/>
        <v>75</v>
      </c>
      <c r="J21" s="2" t="s">
        <v>84</v>
      </c>
      <c r="K21" s="2">
        <v>7.5</v>
      </c>
      <c r="L21" s="2">
        <v>7.5</v>
      </c>
      <c r="M21" s="2">
        <v>7.5</v>
      </c>
      <c r="N21" s="2">
        <v>7.5</v>
      </c>
      <c r="O21" s="2">
        <v>7.5</v>
      </c>
      <c r="P21" s="2"/>
    </row>
    <row r="22" spans="1:16" x14ac:dyDescent="0.3">
      <c r="A22" t="s">
        <v>19</v>
      </c>
      <c r="B22" s="3" t="str">
        <f t="shared" si="7"/>
        <v>L Bottom Bracket Height (cm)</v>
      </c>
      <c r="C22">
        <f t="shared" si="14"/>
        <v>280</v>
      </c>
      <c r="D22">
        <f t="shared" si="15"/>
        <v>284</v>
      </c>
      <c r="E22">
        <f t="shared" si="16"/>
        <v>284</v>
      </c>
      <c r="F22">
        <f t="shared" si="17"/>
        <v>284</v>
      </c>
      <c r="G22">
        <f t="shared" si="18"/>
        <v>280</v>
      </c>
      <c r="J22" s="2" t="s">
        <v>85</v>
      </c>
      <c r="K22" s="2">
        <v>28</v>
      </c>
      <c r="L22" s="2">
        <v>28.4</v>
      </c>
      <c r="M22" s="2">
        <v>28.4</v>
      </c>
      <c r="N22" s="2">
        <v>28.4</v>
      </c>
      <c r="O22" s="2">
        <v>28</v>
      </c>
      <c r="P22" s="2"/>
    </row>
    <row r="23" spans="1:16" x14ac:dyDescent="0.3">
      <c r="A23" t="s">
        <v>20</v>
      </c>
      <c r="B23" s="3" t="str">
        <f t="shared" si="7"/>
        <v>M Fork Rake (cm)</v>
      </c>
      <c r="C23">
        <f t="shared" si="14"/>
        <v>55</v>
      </c>
      <c r="D23">
        <f t="shared" si="15"/>
        <v>55</v>
      </c>
      <c r="E23">
        <f t="shared" si="16"/>
        <v>55</v>
      </c>
      <c r="F23">
        <f t="shared" si="17"/>
        <v>55</v>
      </c>
      <c r="G23">
        <f t="shared" si="18"/>
        <v>55</v>
      </c>
      <c r="J23" s="2" t="s">
        <v>86</v>
      </c>
      <c r="K23" s="2">
        <v>5.5</v>
      </c>
      <c r="L23" s="2">
        <v>5.5</v>
      </c>
      <c r="M23" s="2">
        <v>5.5</v>
      </c>
      <c r="N23" s="2">
        <v>5.5</v>
      </c>
      <c r="O23" s="2">
        <v>5.5</v>
      </c>
      <c r="P23" s="2"/>
    </row>
    <row r="24" spans="1:16" x14ac:dyDescent="0.3">
      <c r="A24" t="s">
        <v>21</v>
      </c>
      <c r="B24" s="3" t="str">
        <f t="shared" si="7"/>
        <v>N Trail (cm)</v>
      </c>
      <c r="C24">
        <f t="shared" si="14"/>
        <v>72</v>
      </c>
      <c r="D24">
        <f t="shared" si="15"/>
        <v>65</v>
      </c>
      <c r="E24">
        <f t="shared" si="16"/>
        <v>65</v>
      </c>
      <c r="F24">
        <f t="shared" si="17"/>
        <v>65</v>
      </c>
      <c r="G24">
        <f t="shared" si="18"/>
        <v>65</v>
      </c>
      <c r="J24" s="2" t="s">
        <v>87</v>
      </c>
      <c r="K24" s="2">
        <v>7.2</v>
      </c>
      <c r="L24" s="2">
        <v>6.5</v>
      </c>
      <c r="M24" s="2">
        <v>6.5</v>
      </c>
      <c r="N24" s="2">
        <v>6.5</v>
      </c>
      <c r="O24" s="2">
        <v>6.5</v>
      </c>
      <c r="P24" s="2"/>
    </row>
    <row r="25" spans="1:16" x14ac:dyDescent="0.3">
      <c r="A25" t="s">
        <v>22</v>
      </c>
      <c r="B25" s="3" t="str">
        <f t="shared" si="7"/>
        <v>O Stack (cm)</v>
      </c>
      <c r="C25">
        <f t="shared" si="14"/>
        <v>518</v>
      </c>
      <c r="D25">
        <f t="shared" si="15"/>
        <v>549</v>
      </c>
      <c r="E25">
        <f t="shared" si="16"/>
        <v>579</v>
      </c>
      <c r="F25">
        <f t="shared" si="17"/>
        <v>610</v>
      </c>
      <c r="G25">
        <f t="shared" si="18"/>
        <v>640</v>
      </c>
      <c r="J25" s="2" t="s">
        <v>94</v>
      </c>
      <c r="K25" s="2">
        <v>51.8</v>
      </c>
      <c r="L25" s="2">
        <v>54.9</v>
      </c>
      <c r="M25" s="2">
        <v>57.9</v>
      </c>
      <c r="N25" s="2">
        <v>61</v>
      </c>
      <c r="O25" s="2">
        <v>64</v>
      </c>
      <c r="P25" s="2"/>
    </row>
    <row r="26" spans="1:16" x14ac:dyDescent="0.3">
      <c r="A26" t="s">
        <v>23</v>
      </c>
      <c r="B26" s="3" t="str">
        <f t="shared" si="7"/>
        <v>P Reach (cm)</v>
      </c>
      <c r="C26">
        <f t="shared" si="14"/>
        <v>368</v>
      </c>
      <c r="D26">
        <f t="shared" si="15"/>
        <v>377</v>
      </c>
      <c r="E26">
        <f t="shared" si="16"/>
        <v>385</v>
      </c>
      <c r="F26">
        <f t="shared" si="17"/>
        <v>394</v>
      </c>
      <c r="G26">
        <f t="shared" si="18"/>
        <v>402</v>
      </c>
      <c r="J26" t="s">
        <v>88</v>
      </c>
      <c r="K26">
        <v>36.799999999999997</v>
      </c>
      <c r="L26">
        <v>37.700000000000003</v>
      </c>
      <c r="M26">
        <v>38.5</v>
      </c>
      <c r="N26">
        <v>39.4</v>
      </c>
      <c r="O26">
        <v>40.200000000000003</v>
      </c>
    </row>
    <row r="27" spans="1:16" x14ac:dyDescent="0.3">
      <c r="A27" s="3" t="s">
        <v>89</v>
      </c>
    </row>
    <row r="28" spans="1:16" x14ac:dyDescent="0.3">
      <c r="A28" t="s">
        <v>24</v>
      </c>
    </row>
    <row r="29" spans="1:16" x14ac:dyDescent="0.3">
      <c r="A29" t="s">
        <v>25</v>
      </c>
    </row>
    <row r="30" spans="1:16" x14ac:dyDescent="0.3">
      <c r="A30" t="s">
        <v>26</v>
      </c>
    </row>
    <row r="31" spans="1:16" x14ac:dyDescent="0.3">
      <c r="A31" t="s">
        <v>27</v>
      </c>
    </row>
    <row r="32" spans="1:16" x14ac:dyDescent="0.3">
      <c r="A32" t="s">
        <v>28</v>
      </c>
      <c r="B32" t="s">
        <v>28</v>
      </c>
      <c r="C32">
        <v>700</v>
      </c>
      <c r="D32">
        <v>700</v>
      </c>
      <c r="E32">
        <v>700</v>
      </c>
      <c r="F32">
        <v>700</v>
      </c>
      <c r="G32">
        <v>700</v>
      </c>
    </row>
    <row r="33" spans="1:7" x14ac:dyDescent="0.3">
      <c r="A33" t="s">
        <v>29</v>
      </c>
      <c r="B33" t="s">
        <v>29</v>
      </c>
      <c r="C33">
        <v>37</v>
      </c>
      <c r="D33">
        <v>37</v>
      </c>
      <c r="E33">
        <v>37</v>
      </c>
      <c r="F33">
        <v>37</v>
      </c>
      <c r="G33">
        <v>37</v>
      </c>
    </row>
    <row r="34" spans="1:7" x14ac:dyDescent="0.3">
      <c r="A34" t="s">
        <v>30</v>
      </c>
      <c r="B34" t="s">
        <v>30</v>
      </c>
      <c r="C34">
        <v>45</v>
      </c>
      <c r="D34">
        <v>45</v>
      </c>
      <c r="E34">
        <v>45</v>
      </c>
      <c r="F34">
        <v>45</v>
      </c>
      <c r="G34">
        <v>45</v>
      </c>
    </row>
    <row r="35" spans="1:7" x14ac:dyDescent="0.3">
      <c r="A35" t="s">
        <v>31</v>
      </c>
      <c r="B35" t="s">
        <v>31</v>
      </c>
      <c r="C35">
        <v>147</v>
      </c>
      <c r="D35">
        <v>160</v>
      </c>
      <c r="E35">
        <v>170</v>
      </c>
      <c r="F35">
        <v>177</v>
      </c>
      <c r="G35">
        <v>190</v>
      </c>
    </row>
    <row r="36" spans="1:7" x14ac:dyDescent="0.3">
      <c r="A36" t="s">
        <v>32</v>
      </c>
      <c r="B36" t="s">
        <v>32</v>
      </c>
      <c r="C36">
        <v>165</v>
      </c>
      <c r="D36">
        <v>175</v>
      </c>
      <c r="E36">
        <v>185</v>
      </c>
      <c r="F36">
        <v>193</v>
      </c>
      <c r="G36">
        <v>203</v>
      </c>
    </row>
    <row r="38" spans="1:7" x14ac:dyDescent="0.3">
      <c r="A38" t="s">
        <v>33</v>
      </c>
      <c r="B38" t="s">
        <v>34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72</v>
      </c>
      <c r="B40" t="s">
        <v>73</v>
      </c>
    </row>
    <row r="41" spans="1:7" x14ac:dyDescent="0.3">
      <c r="A41" t="s">
        <v>74</v>
      </c>
      <c r="B41" s="3" t="s">
        <v>92</v>
      </c>
    </row>
    <row r="42" spans="1:7" x14ac:dyDescent="0.3">
      <c r="A42" t="s">
        <v>35</v>
      </c>
      <c r="B42" s="3" t="s">
        <v>107</v>
      </c>
    </row>
    <row r="43" spans="1:7" x14ac:dyDescent="0.3">
      <c r="A43" t="s">
        <v>36</v>
      </c>
      <c r="B43" s="3"/>
    </row>
    <row r="44" spans="1:7" x14ac:dyDescent="0.3">
      <c r="A44" t="s">
        <v>37</v>
      </c>
    </row>
    <row r="45" spans="1:7" x14ac:dyDescent="0.3">
      <c r="A45" t="s">
        <v>38</v>
      </c>
      <c r="B45">
        <v>45</v>
      </c>
      <c r="C45" s="3"/>
    </row>
    <row r="46" spans="1:7" x14ac:dyDescent="0.3">
      <c r="A46" t="s">
        <v>39</v>
      </c>
    </row>
    <row r="47" spans="1:7" x14ac:dyDescent="0.3">
      <c r="A47" t="s">
        <v>40</v>
      </c>
    </row>
    <row r="48" spans="1:7" x14ac:dyDescent="0.3">
      <c r="A48" t="s">
        <v>41</v>
      </c>
    </row>
    <row r="49" spans="1:2" x14ac:dyDescent="0.3">
      <c r="A49" t="s">
        <v>42</v>
      </c>
      <c r="B49" s="4"/>
    </row>
    <row r="50" spans="1:2" x14ac:dyDescent="0.3">
      <c r="A50" t="s">
        <v>43</v>
      </c>
    </row>
    <row r="51" spans="1:2" x14ac:dyDescent="0.3">
      <c r="A51" t="s">
        <v>44</v>
      </c>
      <c r="B51">
        <v>142</v>
      </c>
    </row>
    <row r="52" spans="1:2" x14ac:dyDescent="0.3">
      <c r="A52" t="s">
        <v>45</v>
      </c>
      <c r="B52">
        <v>100</v>
      </c>
    </row>
    <row r="53" spans="1:2" x14ac:dyDescent="0.3">
      <c r="A53" t="s">
        <v>46</v>
      </c>
      <c r="B53" s="3" t="s">
        <v>95</v>
      </c>
    </row>
    <row r="54" spans="1:2" x14ac:dyDescent="0.3">
      <c r="A54" t="s">
        <v>47</v>
      </c>
    </row>
    <row r="55" spans="1:2" x14ac:dyDescent="0.3">
      <c r="A55" t="s">
        <v>48</v>
      </c>
      <c r="B55">
        <v>27.2</v>
      </c>
    </row>
    <row r="56" spans="1:2" x14ac:dyDescent="0.3">
      <c r="A56" t="s">
        <v>49</v>
      </c>
      <c r="B56" s="3" t="s">
        <v>90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  <c r="B62" s="3" t="s">
        <v>91</v>
      </c>
    </row>
    <row r="63" spans="1:2" x14ac:dyDescent="0.3">
      <c r="A63" t="s">
        <v>56</v>
      </c>
      <c r="B63" s="3" t="s">
        <v>91</v>
      </c>
    </row>
    <row r="64" spans="1:2" x14ac:dyDescent="0.3">
      <c r="A64" t="s">
        <v>57</v>
      </c>
    </row>
    <row r="65" spans="1:2" x14ac:dyDescent="0.3">
      <c r="A65" t="s">
        <v>58</v>
      </c>
      <c r="B65" s="3"/>
    </row>
    <row r="66" spans="1:2" x14ac:dyDescent="0.3">
      <c r="A66" t="s">
        <v>59</v>
      </c>
      <c r="B66">
        <v>2</v>
      </c>
    </row>
    <row r="67" spans="1:2" x14ac:dyDescent="0.3">
      <c r="A67" t="s">
        <v>60</v>
      </c>
    </row>
    <row r="68" spans="1:2" x14ac:dyDescent="0.3">
      <c r="A68" t="s">
        <v>61</v>
      </c>
      <c r="B68">
        <v>1</v>
      </c>
    </row>
    <row r="69" spans="1:2" x14ac:dyDescent="0.3">
      <c r="A69" t="s">
        <v>62</v>
      </c>
      <c r="B69">
        <v>3</v>
      </c>
    </row>
    <row r="70" spans="1:2" x14ac:dyDescent="0.3">
      <c r="A70" t="s">
        <v>63</v>
      </c>
      <c r="B70" s="3" t="s">
        <v>90</v>
      </c>
    </row>
    <row r="71" spans="1:2" x14ac:dyDescent="0.3">
      <c r="A71" t="s">
        <v>64</v>
      </c>
    </row>
    <row r="72" spans="1:2" x14ac:dyDescent="0.3">
      <c r="A72" t="s">
        <v>65</v>
      </c>
    </row>
    <row r="73" spans="1:2" x14ac:dyDescent="0.3">
      <c r="A73" t="s">
        <v>66</v>
      </c>
    </row>
    <row r="74" spans="1:2" x14ac:dyDescent="0.3">
      <c r="A74" t="s">
        <v>67</v>
      </c>
      <c r="B74">
        <v>1599</v>
      </c>
    </row>
    <row r="75" spans="1:2" x14ac:dyDescent="0.3">
      <c r="A75" t="s">
        <v>68</v>
      </c>
    </row>
    <row r="76" spans="1:2" x14ac:dyDescent="0.3">
      <c r="A76" t="s">
        <v>69</v>
      </c>
      <c r="B76" s="3" t="s">
        <v>96</v>
      </c>
    </row>
    <row r="77" spans="1:2" x14ac:dyDescent="0.3">
      <c r="A77" t="s">
        <v>112</v>
      </c>
      <c r="B77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2025-10-17T11:52:22Z</dcterms:modified>
</cp:coreProperties>
</file>