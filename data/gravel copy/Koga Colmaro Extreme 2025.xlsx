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D19E474-13F8-E646-92AA-B8774D2B1E6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D11" i="1"/>
  <c r="E11" i="1"/>
  <c r="G11" i="1"/>
  <c r="C11" i="1"/>
</calcChain>
</file>

<file path=xl/sharedStrings.xml><?xml version="1.0" encoding="utf-8"?>
<sst xmlns="http://schemas.openxmlformats.org/spreadsheetml/2006/main" count="123" uniqueCount="117">
  <si>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</si>
  <si>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</si>
  <si>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</si>
  <si>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</si>
  <si>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</si>
  <si>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</si>
  <si>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</si>
  <si>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</si>
  <si>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</si>
  <si>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head_tube_angle</t>
  </si>
  <si>
    <t>seat_tube_angle</t>
  </si>
  <si>
    <t>bottom_bracket_drop</t>
  </si>
  <si>
    <t>wheelbase</t>
  </si>
  <si>
    <t>head_tube_length</t>
  </si>
  <si>
    <t>chainstay_length</t>
  </si>
  <si>
    <t>front_center</t>
  </si>
  <si>
    <t>standover</t>
  </si>
  <si>
    <t>stack</t>
  </si>
  <si>
    <t>reach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</si>
  <si>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</si>
  <si>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</si>
  <si>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</si>
  <si>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</si>
  <si>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</si>
  <si>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</si>
  <si>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</si>
  <si>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</si>
  <si>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</si>
  <si>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</si>
  <si>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</si>
  <si>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</si>
  <si>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</si>
  <si>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</si>
  <si>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</si>
  <si>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</si>
  <si>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</si>
  <si>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</si>
  <si>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</si>
  <si>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</si>
  <si>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</si>
  <si>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</si>
  <si>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</si>
  <si>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</si>
  <si>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</si>
  <si>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</si>
  <si>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</si>
  <si>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</si>
  <si>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</si>
  <si>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</si>
  <si>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</si>
  <si>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</si>
  <si>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</si>
  <si>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</si>
  <si>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</si>
  <si>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</si>
  <si>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</si>
  <si>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</si>
  <si>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</si>
  <si>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</si>
  <si>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</si>
  <si>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</si>
  <si>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</si>
  <si>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</si>
  <si>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</si>
  <si>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</si>
  <si>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</si>
  <si>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</si>
  <si>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</si>
  <si>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</si>
  <si>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</si>
  <si>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</si>
  <si>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</si>
  <si>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yes</t>
  </si>
  <si>
    <t>Colmaro Extreme</t>
  </si>
  <si>
    <t>S</t>
  </si>
  <si>
    <t>M</t>
  </si>
  <si>
    <t>L</t>
  </si>
  <si>
    <t>XL</t>
  </si>
  <si>
    <t>trail</t>
  </si>
  <si>
    <t>aluminum</t>
  </si>
  <si>
    <t>suspension</t>
  </si>
  <si>
    <t>https://www.koga.com/en/bikes/race-gravel-bikes/colmaro-extreme-olive-green.htm?frame=H</t>
  </si>
  <si>
    <t>DKK</t>
  </si>
  <si>
    <t>XS</t>
  </si>
  <si>
    <t>Stack (mm)</t>
  </si>
  <si>
    <t>Reach (mm)</t>
  </si>
  <si>
    <t>Stack to Reach Ratio</t>
  </si>
  <si>
    <t>1.48:1</t>
  </si>
  <si>
    <t>1.5:1</t>
  </si>
  <si>
    <t>1.52:1</t>
  </si>
  <si>
    <t>Seat Tube Length, C-T (mm)</t>
  </si>
  <si>
    <t>Top Tube Slope (deg)</t>
  </si>
  <si>
    <t>Head Tube Angle (deg)</t>
  </si>
  <si>
    <t>Seat Tube Angle (deg)</t>
  </si>
  <si>
    <t>Head Tube Length (mm)</t>
  </si>
  <si>
    <t>Bottom Bracket Drop (mm)</t>
  </si>
  <si>
    <t>Bottom Bracket Height (mm)</t>
  </si>
  <si>
    <t>Chainstay Length (mm)</t>
  </si>
  <si>
    <t>Chainstay Length Horizontal (mm)</t>
  </si>
  <si>
    <t>Front-Center (mm)</t>
  </si>
  <si>
    <t>Front-Center Horizontal (mm)</t>
  </si>
  <si>
    <t>Wheelbase (mm)</t>
  </si>
  <si>
    <t>Fork Offset/Rake (mm)</t>
  </si>
  <si>
    <t>https://bikeinsights.com/bikes/604f6e0bd0deb400177ce61f-koga-colmaro?version=2025&amp;build=extreme</t>
  </si>
  <si>
    <t>1.49:1</t>
  </si>
  <si>
    <t>1.47:1</t>
  </si>
  <si>
    <t>frame size</t>
  </si>
  <si>
    <t>stack_to_reach</t>
  </si>
  <si>
    <t>top_tube_slope_spec</t>
  </si>
  <si>
    <t>bb_height</t>
  </si>
  <si>
    <t>chainstay_horiz</t>
  </si>
  <si>
    <t>front_center_horiz</t>
  </si>
  <si>
    <t>a8:g37</t>
  </si>
  <si>
    <t>Koga</t>
  </si>
  <si>
    <t>https://www.koga.com/bike-images/KCDE2006.tif?width=1500&amp;format=jpg</t>
  </si>
  <si>
    <t>location</t>
  </si>
  <si>
    <t>Heerenveen, 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</si>
</sst>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8"/>
  <sheetViews>
    <sheetView tabSelected="1" topLeftCell="A55" workbookViewId="0">
      <selection activeCell="A78" sqref="A78:B78"/>
    </sheetView>
  </sheetViews>
  <sheetFormatPr baseColWidth="10" defaultRowHeight="20" x14ac:dyDescent="0.3"/>
  <cols>
    <col min="1" max="2" width="19.6640625" customWidth="1"/>
  </cols>
  <sheetData>
    <row r="1" spans="1:12" x14ac:dyDescent="0.3">
      <c r="A1" t="s">
        <v>0</v>
      </c>
      <c r="B1" s="2" t="s">
        <v>113</v>
      </c>
    </row>
    <row r="2" spans="1:12" x14ac:dyDescent="0.3">
      <c r="A2" t="s">
        <v>1</v>
      </c>
      <c r="B2" s="2" t="s">
        <v>73</v>
      </c>
    </row>
    <row r="3" spans="1:12" x14ac:dyDescent="0.3">
      <c r="A3" t="s">
        <v>2</v>
      </c>
      <c r="B3">
        <v>2025</v>
      </c>
    </row>
    <row r="4" spans="1:12" x14ac:dyDescent="0.3">
      <c r="A4" t="s">
        <v>3</v>
      </c>
      <c r="B4" s="1">
        <v>45931</v>
      </c>
    </row>
    <row r="5" spans="1:12" x14ac:dyDescent="0.3">
      <c r="A5" t="s">
        <v>4</v>
      </c>
      <c r="B5" t="s">
        <v>81</v>
      </c>
      <c r="H5" t="s">
        <v>103</v>
      </c>
    </row>
    <row r="6" spans="1:12" x14ac:dyDescent="0.3">
      <c r="B6" t="s">
        <v>114</v>
      </c>
    </row>
    <row r="7" spans="1:12" x14ac:dyDescent="0.3">
      <c r="A7" t="s">
        <v>5</v>
      </c>
      <c r="B7" s="2" t="s">
        <v>112</v>
      </c>
    </row>
    <row r="8" spans="1:12" x14ac:dyDescent="0.3">
      <c r="A8" t="s">
        <v>6</v>
      </c>
      <c r="B8" s="2" t="s">
        <v>106</v>
      </c>
      <c r="C8" t="s">
        <v>83</v>
      </c>
      <c r="D8" t="s">
        <v>74</v>
      </c>
      <c r="E8" t="s">
        <v>75</v>
      </c>
      <c r="F8" t="s">
        <v>76</v>
      </c>
      <c r="G8" s="2" t="s">
        <v>77</v>
      </c>
    </row>
    <row r="9" spans="1:12" x14ac:dyDescent="0.3">
      <c r="A9" t="s">
        <v>17</v>
      </c>
      <c r="B9" t="s">
        <v>84</v>
      </c>
      <c r="C9">
        <v>566</v>
      </c>
      <c r="D9">
        <v>577</v>
      </c>
      <c r="E9">
        <v>587</v>
      </c>
      <c r="F9">
        <v>610</v>
      </c>
      <c r="G9">
        <v>629</v>
      </c>
    </row>
    <row r="10" spans="1:12" x14ac:dyDescent="0.3">
      <c r="A10" t="s">
        <v>18</v>
      </c>
      <c r="B10" t="s">
        <v>85</v>
      </c>
      <c r="C10">
        <v>380</v>
      </c>
      <c r="D10">
        <v>390</v>
      </c>
      <c r="E10">
        <v>400</v>
      </c>
      <c r="F10">
        <v>405</v>
      </c>
      <c r="G10">
        <v>415</v>
      </c>
    </row>
    <row r="11" spans="1:12" x14ac:dyDescent="0.3">
      <c r="A11" s="2" t="s">
        <v>107</v>
      </c>
      <c r="B11" t="s">
        <v>86</v>
      </c>
      <c r="C11">
        <f>VALUE(LEFT(H11,4))</f>
        <v>1.49</v>
      </c>
      <c r="D11">
        <f t="shared" ref="D11:G11" si="0">VALUE(LEFT(I11,4))</f>
        <v>1.48</v>
      </c>
      <c r="E11">
        <f t="shared" si="0"/>
        <v>1.47</v>
      </c>
      <c r="F11">
        <f>VALUE(LEFT(K11,3))</f>
        <v>1.5</v>
      </c>
      <c r="G11">
        <f t="shared" si="0"/>
        <v>1.52</v>
      </c>
      <c r="H11" t="s">
        <v>104</v>
      </c>
      <c r="I11" t="s">
        <v>87</v>
      </c>
      <c r="J11" t="s">
        <v>105</v>
      </c>
      <c r="K11" t="s">
        <v>88</v>
      </c>
      <c r="L11" t="s">
        <v>89</v>
      </c>
    </row>
    <row r="12" spans="1:12" x14ac:dyDescent="0.3">
      <c r="A12" t="s">
        <v>7</v>
      </c>
      <c r="B12" t="s">
        <v>90</v>
      </c>
      <c r="C12">
        <v>470</v>
      </c>
      <c r="D12">
        <v>490</v>
      </c>
      <c r="E12">
        <v>520</v>
      </c>
      <c r="F12">
        <v>550</v>
      </c>
      <c r="G12">
        <v>580</v>
      </c>
    </row>
    <row r="13" spans="1:12" x14ac:dyDescent="0.3">
      <c r="A13" s="2" t="s">
        <v>108</v>
      </c>
      <c r="B13" t="s">
        <v>91</v>
      </c>
      <c r="C13">
        <v>12.7</v>
      </c>
      <c r="D13">
        <v>11.5</v>
      </c>
      <c r="E13">
        <v>9.1999999999999993</v>
      </c>
      <c r="F13">
        <v>8.4</v>
      </c>
      <c r="G13">
        <v>7.2</v>
      </c>
    </row>
    <row r="14" spans="1:12" x14ac:dyDescent="0.3">
      <c r="A14" t="s">
        <v>9</v>
      </c>
      <c r="B14" t="s">
        <v>92</v>
      </c>
      <c r="C14">
        <v>70</v>
      </c>
      <c r="D14">
        <v>71</v>
      </c>
      <c r="E14">
        <v>71</v>
      </c>
      <c r="F14">
        <v>72</v>
      </c>
      <c r="G14">
        <v>72</v>
      </c>
    </row>
    <row r="15" spans="1:12" x14ac:dyDescent="0.3">
      <c r="A15" t="s">
        <v>10</v>
      </c>
      <c r="B15" t="s">
        <v>93</v>
      </c>
      <c r="C15">
        <v>73.5</v>
      </c>
      <c r="D15">
        <v>73.5</v>
      </c>
      <c r="E15">
        <v>73.5</v>
      </c>
      <c r="F15">
        <v>73.5</v>
      </c>
      <c r="G15">
        <v>73.5</v>
      </c>
    </row>
    <row r="16" spans="1:12" x14ac:dyDescent="0.3">
      <c r="A16" t="s">
        <v>13</v>
      </c>
      <c r="B16" t="s">
        <v>94</v>
      </c>
      <c r="C16">
        <v>100</v>
      </c>
      <c r="D16">
        <v>110</v>
      </c>
      <c r="E16">
        <v>120</v>
      </c>
      <c r="F16">
        <v>140</v>
      </c>
      <c r="G16">
        <v>160</v>
      </c>
    </row>
    <row r="17" spans="1:7" x14ac:dyDescent="0.3">
      <c r="A17" t="s">
        <v>11</v>
      </c>
      <c r="B17" t="s">
        <v>95</v>
      </c>
      <c r="C17">
        <v>75</v>
      </c>
      <c r="D17">
        <v>75</v>
      </c>
      <c r="E17">
        <v>75</v>
      </c>
      <c r="F17">
        <v>75</v>
      </c>
      <c r="G17">
        <v>75</v>
      </c>
    </row>
    <row r="18" spans="1:7" x14ac:dyDescent="0.3">
      <c r="A18" s="2" t="s">
        <v>109</v>
      </c>
      <c r="B18" t="s">
        <v>96</v>
      </c>
      <c r="C18">
        <v>286</v>
      </c>
      <c r="D18">
        <v>286</v>
      </c>
      <c r="E18">
        <v>286</v>
      </c>
      <c r="F18">
        <v>286</v>
      </c>
      <c r="G18">
        <v>286</v>
      </c>
    </row>
    <row r="19" spans="1:7" x14ac:dyDescent="0.3">
      <c r="A19" t="s">
        <v>14</v>
      </c>
      <c r="B19" t="s">
        <v>97</v>
      </c>
      <c r="C19">
        <v>442</v>
      </c>
      <c r="D19">
        <v>442</v>
      </c>
      <c r="E19">
        <v>442</v>
      </c>
      <c r="F19">
        <v>442</v>
      </c>
      <c r="G19">
        <v>442</v>
      </c>
    </row>
    <row r="20" spans="1:7" x14ac:dyDescent="0.3">
      <c r="A20" s="2" t="s">
        <v>110</v>
      </c>
      <c r="B20" t="s">
        <v>98</v>
      </c>
      <c r="C20">
        <v>435.6</v>
      </c>
      <c r="D20">
        <v>435.6</v>
      </c>
      <c r="E20">
        <v>435.6</v>
      </c>
      <c r="F20">
        <v>435.6</v>
      </c>
      <c r="G20">
        <v>435.6</v>
      </c>
    </row>
    <row r="21" spans="1:7" x14ac:dyDescent="0.3">
      <c r="A21" t="s">
        <v>15</v>
      </c>
      <c r="B21" t="s">
        <v>99</v>
      </c>
      <c r="C21">
        <v>613</v>
      </c>
      <c r="D21">
        <v>622</v>
      </c>
      <c r="E21">
        <v>636.79999999999995</v>
      </c>
      <c r="F21">
        <v>641.79999999999995</v>
      </c>
      <c r="G21">
        <v>652.70000000000005</v>
      </c>
    </row>
    <row r="22" spans="1:7" x14ac:dyDescent="0.3">
      <c r="A22" s="2" t="s">
        <v>111</v>
      </c>
      <c r="B22" t="s">
        <v>100</v>
      </c>
      <c r="C22">
        <v>608.4</v>
      </c>
      <c r="D22">
        <v>617.4</v>
      </c>
      <c r="E22">
        <v>632.4</v>
      </c>
      <c r="F22">
        <v>637.4</v>
      </c>
      <c r="G22">
        <v>648.4</v>
      </c>
    </row>
    <row r="23" spans="1:7" x14ac:dyDescent="0.3">
      <c r="A23" t="s">
        <v>12</v>
      </c>
      <c r="B23" t="s">
        <v>101</v>
      </c>
      <c r="C23">
        <v>1044</v>
      </c>
      <c r="D23">
        <v>1053</v>
      </c>
      <c r="E23">
        <v>1068</v>
      </c>
      <c r="F23">
        <v>1073</v>
      </c>
      <c r="G23">
        <v>1084</v>
      </c>
    </row>
    <row r="24" spans="1:7" x14ac:dyDescent="0.3">
      <c r="A24" t="s">
        <v>20</v>
      </c>
      <c r="B24" t="s">
        <v>102</v>
      </c>
      <c r="C24">
        <v>51</v>
      </c>
      <c r="D24">
        <v>51</v>
      </c>
      <c r="E24">
        <v>51</v>
      </c>
      <c r="F24">
        <v>51</v>
      </c>
      <c r="G24">
        <v>51</v>
      </c>
    </row>
    <row r="25" spans="1:7" x14ac:dyDescent="0.3">
      <c r="A25" t="s">
        <v>8</v>
      </c>
    </row>
    <row r="26" spans="1:7" x14ac:dyDescent="0.3">
      <c r="A26" t="s">
        <v>16</v>
      </c>
    </row>
    <row r="27" spans="1:7" x14ac:dyDescent="0.3">
      <c r="A27" s="2" t="s">
        <v>78</v>
      </c>
    </row>
    <row r="28" spans="1:7" x14ac:dyDescent="0.3">
      <c r="A28" t="s">
        <v>19</v>
      </c>
      <c r="C28">
        <v>436</v>
      </c>
      <c r="D28">
        <v>436</v>
      </c>
      <c r="E28">
        <v>436</v>
      </c>
      <c r="F28">
        <v>436</v>
      </c>
      <c r="G28">
        <v>436</v>
      </c>
    </row>
    <row r="29" spans="1:7" x14ac:dyDescent="0.3">
      <c r="A29" t="s">
        <v>24</v>
      </c>
    </row>
    <row r="30" spans="1:7" x14ac:dyDescent="0.3">
      <c r="A30" t="s">
        <v>21</v>
      </c>
    </row>
    <row r="31" spans="1:7" x14ac:dyDescent="0.3">
      <c r="A31" t="s">
        <v>22</v>
      </c>
    </row>
    <row r="32" spans="1:7" x14ac:dyDescent="0.3">
      <c r="A32" t="s">
        <v>23</v>
      </c>
    </row>
    <row r="33" spans="1:7" x14ac:dyDescent="0.3">
      <c r="A33" t="s">
        <v>25</v>
      </c>
      <c r="B33" t="s">
        <v>25</v>
      </c>
      <c r="C33">
        <v>700</v>
      </c>
      <c r="D33">
        <v>700</v>
      </c>
      <c r="E33">
        <v>700</v>
      </c>
      <c r="F33">
        <v>700</v>
      </c>
      <c r="G33">
        <v>700</v>
      </c>
    </row>
    <row r="34" spans="1:7" x14ac:dyDescent="0.3">
      <c r="A34" t="s">
        <v>26</v>
      </c>
      <c r="B34" t="s">
        <v>26</v>
      </c>
      <c r="C34">
        <v>50</v>
      </c>
      <c r="D34">
        <v>50</v>
      </c>
      <c r="E34">
        <v>50</v>
      </c>
      <c r="F34">
        <v>50</v>
      </c>
      <c r="G34">
        <v>50</v>
      </c>
    </row>
    <row r="35" spans="1:7" x14ac:dyDescent="0.3">
      <c r="A35" t="s">
        <v>27</v>
      </c>
      <c r="B35" t="s">
        <v>27</v>
      </c>
      <c r="C35">
        <v>50</v>
      </c>
      <c r="D35">
        <v>50</v>
      </c>
      <c r="E35">
        <v>50</v>
      </c>
      <c r="F35">
        <v>50</v>
      </c>
      <c r="G35">
        <v>50</v>
      </c>
    </row>
    <row r="36" spans="1:7" x14ac:dyDescent="0.3">
      <c r="A36" t="s">
        <v>28</v>
      </c>
      <c r="B36" t="s">
        <v>28</v>
      </c>
      <c r="C36">
        <v>150</v>
      </c>
      <c r="D36">
        <v>159</v>
      </c>
      <c r="E36">
        <v>171</v>
      </c>
      <c r="F36">
        <v>180</v>
      </c>
      <c r="G36">
        <v>189</v>
      </c>
    </row>
    <row r="37" spans="1:7" x14ac:dyDescent="0.3">
      <c r="A37" t="s">
        <v>29</v>
      </c>
      <c r="B37" t="s">
        <v>29</v>
      </c>
      <c r="C37">
        <v>158</v>
      </c>
      <c r="D37">
        <v>170</v>
      </c>
      <c r="E37">
        <v>179</v>
      </c>
      <c r="F37">
        <v>188</v>
      </c>
      <c r="G37">
        <v>199</v>
      </c>
    </row>
    <row r="39" spans="1:7" x14ac:dyDescent="0.3">
      <c r="A39" t="s">
        <v>30</v>
      </c>
      <c r="B39" t="s">
        <v>31</v>
      </c>
    </row>
    <row r="40" spans="1:7" x14ac:dyDescent="0.3">
      <c r="A40" t="s">
        <v>67</v>
      </c>
      <c r="B40" t="s">
        <v>68</v>
      </c>
    </row>
    <row r="41" spans="1:7" x14ac:dyDescent="0.3">
      <c r="A41" t="s">
        <v>69</v>
      </c>
      <c r="B41" t="s">
        <v>70</v>
      </c>
    </row>
    <row r="42" spans="1:7" x14ac:dyDescent="0.3">
      <c r="A42" t="s">
        <v>71</v>
      </c>
      <c r="B42" s="2" t="s">
        <v>80</v>
      </c>
    </row>
    <row r="43" spans="1:7" x14ac:dyDescent="0.3">
      <c r="A43" t="s">
        <v>32</v>
      </c>
      <c r="B43" s="2" t="s">
        <v>79</v>
      </c>
    </row>
    <row r="44" spans="1:7" x14ac:dyDescent="0.3">
      <c r="A44" t="s">
        <v>33</v>
      </c>
      <c r="B44" s="2"/>
    </row>
    <row r="45" spans="1:7" x14ac:dyDescent="0.3">
      <c r="A45" t="s">
        <v>34</v>
      </c>
    </row>
    <row r="46" spans="1:7" x14ac:dyDescent="0.3">
      <c r="A46" t="s">
        <v>35</v>
      </c>
      <c r="B46">
        <v>50</v>
      </c>
    </row>
    <row r="47" spans="1:7" x14ac:dyDescent="0.3">
      <c r="A47" t="s">
        <v>36</v>
      </c>
    </row>
    <row r="48" spans="1:7" x14ac:dyDescent="0.3">
      <c r="A48" t="s">
        <v>37</v>
      </c>
      <c r="B48">
        <v>40</v>
      </c>
    </row>
    <row r="49" spans="1:2" x14ac:dyDescent="0.3">
      <c r="A49" t="s">
        <v>38</v>
      </c>
      <c r="B49">
        <v>40</v>
      </c>
    </row>
    <row r="50" spans="1:2" x14ac:dyDescent="0.3">
      <c r="A50" t="s">
        <v>39</v>
      </c>
    </row>
    <row r="51" spans="1:2" x14ac:dyDescent="0.3">
      <c r="A51" t="s">
        <v>40</v>
      </c>
    </row>
    <row r="52" spans="1:2" x14ac:dyDescent="0.3">
      <c r="A52" t="s">
        <v>41</v>
      </c>
      <c r="B52">
        <v>142</v>
      </c>
    </row>
    <row r="53" spans="1:2" x14ac:dyDescent="0.3">
      <c r="A53" t="s">
        <v>42</v>
      </c>
      <c r="B53">
        <v>100</v>
      </c>
    </row>
    <row r="54" spans="1:2" x14ac:dyDescent="0.3">
      <c r="A54" t="s">
        <v>43</v>
      </c>
      <c r="B54" s="2"/>
    </row>
    <row r="55" spans="1:2" x14ac:dyDescent="0.3">
      <c r="A55" t="s">
        <v>44</v>
      </c>
    </row>
    <row r="56" spans="1:2" x14ac:dyDescent="0.3">
      <c r="A56" t="s">
        <v>45</v>
      </c>
      <c r="B56">
        <v>27.2</v>
      </c>
    </row>
    <row r="57" spans="1:2" x14ac:dyDescent="0.3">
      <c r="A57" t="s">
        <v>46</v>
      </c>
      <c r="B57" s="2" t="s">
        <v>72</v>
      </c>
    </row>
    <row r="58" spans="1:2" x14ac:dyDescent="0.3">
      <c r="A58" t="s">
        <v>47</v>
      </c>
    </row>
    <row r="59" spans="1:2" x14ac:dyDescent="0.3">
      <c r="A59" t="s">
        <v>48</v>
      </c>
    </row>
    <row r="60" spans="1:2" x14ac:dyDescent="0.3">
      <c r="A60" t="s">
        <v>49</v>
      </c>
    </row>
    <row r="61" spans="1:2" x14ac:dyDescent="0.3">
      <c r="A61" t="s">
        <v>50</v>
      </c>
    </row>
    <row r="62" spans="1:2" x14ac:dyDescent="0.3">
      <c r="A62" t="s">
        <v>51</v>
      </c>
    </row>
    <row r="63" spans="1:2" x14ac:dyDescent="0.3">
      <c r="A63" t="s">
        <v>52</v>
      </c>
      <c r="B63" s="2"/>
    </row>
    <row r="64" spans="1:2" x14ac:dyDescent="0.3">
      <c r="A64" t="s">
        <v>53</v>
      </c>
    </row>
    <row r="65" spans="1:2" x14ac:dyDescent="0.3">
      <c r="A65" t="s">
        <v>54</v>
      </c>
    </row>
    <row r="66" spans="1:2" x14ac:dyDescent="0.3">
      <c r="A66" t="s">
        <v>55</v>
      </c>
    </row>
    <row r="67" spans="1:2" x14ac:dyDescent="0.3">
      <c r="A67" t="s">
        <v>56</v>
      </c>
      <c r="B67">
        <v>2</v>
      </c>
    </row>
    <row r="68" spans="1:2" x14ac:dyDescent="0.3">
      <c r="A68" t="s">
        <v>57</v>
      </c>
      <c r="B68">
        <v>1</v>
      </c>
    </row>
    <row r="69" spans="1:2" x14ac:dyDescent="0.3">
      <c r="A69" t="s">
        <v>58</v>
      </c>
      <c r="B69">
        <v>1</v>
      </c>
    </row>
    <row r="70" spans="1:2" x14ac:dyDescent="0.3">
      <c r="A70" t="s">
        <v>59</v>
      </c>
    </row>
    <row r="71" spans="1:2" x14ac:dyDescent="0.3">
      <c r="A71" t="s">
        <v>60</v>
      </c>
      <c r="B71" s="2"/>
    </row>
    <row r="72" spans="1:2" x14ac:dyDescent="0.3">
      <c r="A72" t="s">
        <v>61</v>
      </c>
      <c r="B72" s="2"/>
    </row>
    <row r="73" spans="1:2" x14ac:dyDescent="0.3">
      <c r="A73" t="s">
        <v>62</v>
      </c>
      <c r="B73" s="2" t="s">
        <v>72</v>
      </c>
    </row>
    <row r="74" spans="1:2" x14ac:dyDescent="0.3">
      <c r="A74" t="s">
        <v>63</v>
      </c>
    </row>
    <row r="75" spans="1:2" x14ac:dyDescent="0.3">
      <c r="A75" t="s">
        <v>64</v>
      </c>
      <c r="B75">
        <v>19999</v>
      </c>
    </row>
    <row r="76" spans="1:2" x14ac:dyDescent="0.3">
      <c r="A76" t="s">
        <v>65</v>
      </c>
    </row>
    <row r="77" spans="1:2" x14ac:dyDescent="0.3">
      <c r="A77" t="s">
        <v>66</v>
      </c>
      <c r="B77" s="2" t="s">
        <v>82</v>
      </c>
    </row>
    <row r="78" spans="1:2" x14ac:dyDescent="0.3">
      <c r="A78" t="s">
        <v>115</v>
      </c>
      <c r="B78" t="s">
        <v>116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2025-07-26T17:59:03Z</dcterms:created>
  <dcterms:modified xsi:type="dcterms:W3CDTF">2025-10-17T21:17:19Z</dcterms:modified>
</cp:coreProperties>
</file>