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D9F2551A-E911-CD48-8D76-0F786E5EC22C}" xr6:coauthVersionLast="47" xr6:coauthVersionMax="47" xr10:uidLastSave="{00000000-0000-0000-0000-000000000000}"/>
  <bookViews>
    <workbookView xWindow="3880" yWindow="500" windowWidth="2492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1" l="1"/>
  <c r="E11" i="1"/>
  <c r="F11" i="1"/>
  <c r="C11" i="1"/>
  <c r="D30" i="1"/>
  <c r="E30" i="1"/>
  <c r="F30" i="1"/>
  <c r="C30" i="1"/>
  <c r="F32" i="1"/>
  <c r="E31" i="1"/>
  <c r="D32" i="1" s="1"/>
  <c r="F31" i="1"/>
  <c r="E32" i="1" s="1"/>
  <c r="D31" i="1"/>
  <c r="C32" i="1" s="1"/>
  <c r="C31" i="1"/>
</calcChain>
</file>

<file path=xl/sharedStrings.xml><?xml version="1.0" encoding="utf-8"?>
<sst xmlns="http://schemas.openxmlformats.org/spreadsheetml/2006/main" count="115" uniqueCount="107">
  <si>
    <t>brand</t>
  </si>
  <si>
    <t>model</t>
  </si>
  <si>
    <t>model_year</t>
  </si>
  <si>
    <t>input_date</t>
  </si>
  <si>
    <t>url</t>
  </si>
  <si>
    <t>data_range</t>
  </si>
  <si>
    <t>frame_size</t>
  </si>
  <si>
    <t>seat_tube_length</t>
  </si>
  <si>
    <t>seat_tube_angle</t>
  </si>
  <si>
    <t>top_tube_effective_length</t>
  </si>
  <si>
    <t>head_tube_length</t>
  </si>
  <si>
    <t>head_tube_angle</t>
  </si>
  <si>
    <t>fork_offset_rake</t>
  </si>
  <si>
    <t>trail</t>
  </si>
  <si>
    <t>wheelbase</t>
  </si>
  <si>
    <t>chainstay_length</t>
  </si>
  <si>
    <t>bottom_bracket_drop</t>
  </si>
  <si>
    <t>stack</t>
  </si>
  <si>
    <t>reach</t>
  </si>
  <si>
    <t>standover</t>
  </si>
  <si>
    <t>handlebar_width</t>
  </si>
  <si>
    <t>stem_length</t>
  </si>
  <si>
    <t>crank_length</t>
  </si>
  <si>
    <t>wheel_size</t>
  </si>
  <si>
    <t>axle_crown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</si>
  <si>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</si>
  <si>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</si>
  <si>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</si>
  <si>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</si>
  <si>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</si>
  <si>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</si>
  <si>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</si>
  <si>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carbon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</si>
  <si>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</si>
  <si>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</si>
  <si>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</si>
  <si>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</si>
  <si>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</si>
  <si>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</si>
  <si>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</si>
  <si>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</si>
  <si>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</si>
  <si>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</si>
  <si>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</si>
  <si>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</si>
  <si>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</si>
  <si>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</si>
  <si>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</si>
  <si>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</si>
  <si>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</si>
  <si>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</si>
  <si>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</si>
  <si>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</si>
  <si>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</si>
  <si>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</si>
  <si>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</si>
  <si>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</si>
  <si>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</si>
  <si>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</si>
  <si>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</si>
  <si>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</si>
  <si>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</si>
  <si>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</si>
  <si>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</si>
  <si>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</si>
  <si>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</si>
  <si>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</si>
  <si>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front_center</t>
  </si>
  <si>
    <t>yes</t>
  </si>
  <si>
    <t>Wheelbase</t>
  </si>
  <si>
    <t>frame_weight</t>
  </si>
  <si>
    <t>XS</t>
  </si>
  <si>
    <t>S</t>
  </si>
  <si>
    <t>M</t>
  </si>
  <si>
    <t>L</t>
  </si>
  <si>
    <t>threaded</t>
  </si>
  <si>
    <t>rider_min_spec</t>
  </si>
  <si>
    <t>Obed</t>
  </si>
  <si>
    <t>MMR</t>
  </si>
  <si>
    <t>https://obedbikes.com/products/mmr</t>
  </si>
  <si>
    <t>Stack</t>
  </si>
  <si>
    <t>Reach</t>
  </si>
  <si>
    <t>Virtual tt length</t>
  </si>
  <si>
    <t>Head Tube Length</t>
  </si>
  <si>
    <t>Seat Tube Length</t>
  </si>
  <si>
    <t>Head Tube Angle</t>
  </si>
  <si>
    <t>Seat Tube Angle</t>
  </si>
  <si>
    <t>Chainstay Length</t>
  </si>
  <si>
    <t>BB Drop</t>
  </si>
  <si>
    <t>Front Center</t>
  </si>
  <si>
    <t>Fork offset</t>
  </si>
  <si>
    <t>Standover Height</t>
  </si>
  <si>
    <t>rider_max_spec</t>
  </si>
  <si>
    <t>internal</t>
  </si>
  <si>
    <t>frame size</t>
  </si>
  <si>
    <t>a8:f34</t>
  </si>
  <si>
    <t>estimated 422</t>
  </si>
  <si>
    <t>class</t>
  </si>
  <si>
    <t>gravel</t>
  </si>
  <si>
    <t>handlebar</t>
  </si>
  <si>
    <t>drop bar</t>
  </si>
  <si>
    <t>fork</t>
  </si>
  <si>
    <t>rigid</t>
  </si>
  <si>
    <t>USD</t>
  </si>
  <si>
    <t>https://obedbikes.com/cdn/shop/files/MMR-Transparent.png?v=1753817341&amp;width=900</t>
  </si>
  <si>
    <t>location</t>
  </si>
  <si>
    <t>Chattanooga, Tennessee, 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</si>
</sst>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4"/>
      <color rgb="FF000000"/>
      <name val="Futura"/>
    </font>
    <font>
      <sz val="14"/>
      <color rgb="FF000000"/>
      <name val="Futura"/>
      <family val="2"/>
    </font>
    <font>
      <b/>
      <sz val="15"/>
      <color rgb="FF202020"/>
      <name val="Avenir-next-pro"/>
    </font>
    <font>
      <sz val="15"/>
      <color rgb="FF202020"/>
      <name val="Avenir-next-pr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5"/>
  <sheetViews>
    <sheetView tabSelected="1" topLeftCell="A52" workbookViewId="0">
      <selection activeCell="A75" sqref="A75:B75"/>
    </sheetView>
  </sheetViews>
  <sheetFormatPr baseColWidth="10" defaultRowHeight="20"/>
  <cols>
    <col min="1" max="2" width="19.6640625" customWidth="1"/>
    <col min="3" max="7" width="12.44140625" customWidth="1"/>
  </cols>
  <sheetData>
    <row r="1" spans="1:11">
      <c r="A1" t="s">
        <v>0</v>
      </c>
      <c r="B1" s="1" t="s">
        <v>77</v>
      </c>
    </row>
    <row r="2" spans="1:11">
      <c r="A2" t="s">
        <v>1</v>
      </c>
      <c r="B2" s="1" t="s">
        <v>78</v>
      </c>
    </row>
    <row r="3" spans="1:11">
      <c r="A3" t="s">
        <v>2</v>
      </c>
      <c r="B3">
        <v>2025</v>
      </c>
    </row>
    <row r="4" spans="1:11">
      <c r="A4" t="s">
        <v>3</v>
      </c>
      <c r="B4" s="4">
        <v>45879</v>
      </c>
    </row>
    <row r="5" spans="1:11">
      <c r="A5" t="s">
        <v>4</v>
      </c>
      <c r="B5" t="s">
        <v>79</v>
      </c>
    </row>
    <row r="6" spans="1:11">
      <c r="B6" t="s">
        <v>104</v>
      </c>
    </row>
    <row r="7" spans="1:11">
      <c r="A7" t="s">
        <v>5</v>
      </c>
      <c r="B7" s="1" t="s">
        <v>95</v>
      </c>
    </row>
    <row r="8" spans="1:11" ht="21">
      <c r="A8" t="s">
        <v>6</v>
      </c>
      <c r="B8" s="1" t="s">
        <v>94</v>
      </c>
      <c r="C8" s="2" t="s">
        <v>71</v>
      </c>
      <c r="D8" s="2" t="s">
        <v>72</v>
      </c>
      <c r="E8" s="2" t="s">
        <v>73</v>
      </c>
      <c r="F8" t="s">
        <v>74</v>
      </c>
    </row>
    <row r="9" spans="1:11" ht="21">
      <c r="A9" t="s">
        <v>17</v>
      </c>
      <c r="B9" s="3" t="s">
        <v>80</v>
      </c>
      <c r="C9" s="3">
        <v>540</v>
      </c>
      <c r="D9" s="3">
        <v>560</v>
      </c>
      <c r="E9" s="3">
        <v>580</v>
      </c>
      <c r="F9">
        <v>600</v>
      </c>
    </row>
    <row r="10" spans="1:11" ht="21">
      <c r="A10" t="s">
        <v>18</v>
      </c>
      <c r="B10" s="3" t="s">
        <v>81</v>
      </c>
      <c r="C10" s="3">
        <v>370</v>
      </c>
      <c r="D10" s="3">
        <v>380</v>
      </c>
      <c r="E10" s="3">
        <v>390</v>
      </c>
      <c r="F10">
        <v>400</v>
      </c>
    </row>
    <row r="11" spans="1:11" ht="21">
      <c r="A11" t="s">
        <v>9</v>
      </c>
      <c r="B11" s="3" t="s">
        <v>82</v>
      </c>
      <c r="C11" s="3">
        <f>H11*10</f>
        <v>520</v>
      </c>
      <c r="D11" s="3">
        <f t="shared" ref="D11:F11" si="0">I11*10</f>
        <v>541</v>
      </c>
      <c r="E11" s="3">
        <f t="shared" si="0"/>
        <v>562</v>
      </c>
      <c r="F11" s="3">
        <f t="shared" si="0"/>
        <v>578</v>
      </c>
      <c r="H11" s="3">
        <v>52</v>
      </c>
      <c r="I11" s="3">
        <v>54.1</v>
      </c>
      <c r="J11" s="3">
        <v>56.2</v>
      </c>
      <c r="K11">
        <v>57.8</v>
      </c>
    </row>
    <row r="12" spans="1:11" ht="21">
      <c r="A12" t="s">
        <v>10</v>
      </c>
      <c r="B12" s="3" t="s">
        <v>83</v>
      </c>
      <c r="C12" s="3">
        <v>95</v>
      </c>
      <c r="D12" s="3">
        <v>114</v>
      </c>
      <c r="E12" s="3">
        <v>135</v>
      </c>
      <c r="F12">
        <v>157</v>
      </c>
    </row>
    <row r="13" spans="1:11" ht="21">
      <c r="A13" t="s">
        <v>7</v>
      </c>
      <c r="B13" s="3" t="s">
        <v>84</v>
      </c>
      <c r="C13" s="3">
        <v>430</v>
      </c>
      <c r="D13" s="3">
        <v>460</v>
      </c>
      <c r="E13" s="3">
        <v>490</v>
      </c>
      <c r="F13">
        <v>525</v>
      </c>
    </row>
    <row r="14" spans="1:11" ht="21">
      <c r="A14" t="s">
        <v>11</v>
      </c>
      <c r="B14" s="3" t="s">
        <v>85</v>
      </c>
      <c r="C14" s="3">
        <v>69</v>
      </c>
      <c r="D14" s="3">
        <v>69.5</v>
      </c>
      <c r="E14" s="3">
        <v>70</v>
      </c>
      <c r="F14">
        <v>70</v>
      </c>
    </row>
    <row r="15" spans="1:11" ht="21">
      <c r="A15" t="s">
        <v>8</v>
      </c>
      <c r="B15" s="3" t="s">
        <v>86</v>
      </c>
      <c r="C15" s="3">
        <v>74.5</v>
      </c>
      <c r="D15" s="3">
        <v>74</v>
      </c>
      <c r="E15" s="3">
        <v>73.5</v>
      </c>
      <c r="F15">
        <v>73.5</v>
      </c>
    </row>
    <row r="16" spans="1:11">
      <c r="A16" t="s">
        <v>15</v>
      </c>
      <c r="B16" t="s">
        <v>87</v>
      </c>
      <c r="C16">
        <v>440</v>
      </c>
      <c r="D16">
        <v>440</v>
      </c>
      <c r="E16">
        <v>440</v>
      </c>
      <c r="F16">
        <v>440</v>
      </c>
    </row>
    <row r="17" spans="1:7">
      <c r="A17" t="s">
        <v>16</v>
      </c>
      <c r="B17" t="s">
        <v>88</v>
      </c>
      <c r="C17">
        <v>76</v>
      </c>
      <c r="D17">
        <v>76</v>
      </c>
      <c r="E17">
        <v>74</v>
      </c>
      <c r="F17">
        <v>74</v>
      </c>
    </row>
    <row r="18" spans="1:7">
      <c r="A18" t="s">
        <v>14</v>
      </c>
      <c r="B18" t="s">
        <v>69</v>
      </c>
      <c r="C18">
        <v>1035</v>
      </c>
      <c r="D18">
        <v>1048</v>
      </c>
      <c r="E18">
        <v>1061</v>
      </c>
      <c r="F18">
        <v>1078</v>
      </c>
    </row>
    <row r="19" spans="1:7">
      <c r="A19" s="1" t="s">
        <v>67</v>
      </c>
      <c r="B19" t="s">
        <v>89</v>
      </c>
      <c r="C19">
        <v>606</v>
      </c>
      <c r="D19">
        <v>619</v>
      </c>
      <c r="E19">
        <v>632</v>
      </c>
      <c r="F19">
        <v>649</v>
      </c>
    </row>
    <row r="20" spans="1:7">
      <c r="A20" t="s">
        <v>12</v>
      </c>
      <c r="B20" t="s">
        <v>90</v>
      </c>
      <c r="C20">
        <v>50</v>
      </c>
      <c r="D20">
        <v>50</v>
      </c>
      <c r="E20">
        <v>50</v>
      </c>
      <c r="F20">
        <v>50</v>
      </c>
    </row>
    <row r="21" spans="1:7">
      <c r="A21" t="s">
        <v>19</v>
      </c>
      <c r="B21" t="s">
        <v>91</v>
      </c>
      <c r="C21">
        <v>715</v>
      </c>
      <c r="D21">
        <v>749</v>
      </c>
      <c r="E21">
        <v>805</v>
      </c>
      <c r="F21">
        <v>834</v>
      </c>
      <c r="G21" s="1"/>
    </row>
    <row r="22" spans="1:7">
      <c r="A22" t="s">
        <v>24</v>
      </c>
      <c r="G22" s="1" t="s">
        <v>96</v>
      </c>
    </row>
    <row r="23" spans="1:7">
      <c r="A23" t="s">
        <v>13</v>
      </c>
    </row>
    <row r="24" spans="1:7">
      <c r="A24" s="1" t="s">
        <v>70</v>
      </c>
    </row>
    <row r="25" spans="1:7">
      <c r="A25" t="s">
        <v>20</v>
      </c>
    </row>
    <row r="26" spans="1:7">
      <c r="A26" t="s">
        <v>21</v>
      </c>
    </row>
    <row r="27" spans="1:7">
      <c r="A27" t="s">
        <v>22</v>
      </c>
    </row>
    <row r="28" spans="1:7">
      <c r="A28" t="s">
        <v>23</v>
      </c>
      <c r="C28">
        <v>700</v>
      </c>
      <c r="D28">
        <v>700</v>
      </c>
      <c r="E28">
        <v>700</v>
      </c>
      <c r="F28">
        <v>700</v>
      </c>
    </row>
    <row r="29" spans="1:7">
      <c r="A29" t="s">
        <v>25</v>
      </c>
      <c r="C29">
        <v>45</v>
      </c>
      <c r="D29">
        <v>45</v>
      </c>
      <c r="E29">
        <v>45</v>
      </c>
      <c r="F29">
        <v>45</v>
      </c>
    </row>
    <row r="30" spans="1:7">
      <c r="A30" t="s">
        <v>26</v>
      </c>
      <c r="C30">
        <f>2.25*25.4</f>
        <v>57.15</v>
      </c>
      <c r="D30">
        <f t="shared" ref="D30:F30" si="1">2.25*25.4</f>
        <v>57.15</v>
      </c>
      <c r="E30">
        <f t="shared" si="1"/>
        <v>57.15</v>
      </c>
      <c r="F30">
        <f t="shared" si="1"/>
        <v>57.15</v>
      </c>
    </row>
    <row r="31" spans="1:7">
      <c r="A31" t="s">
        <v>27</v>
      </c>
      <c r="C31">
        <f>C33</f>
        <v>152</v>
      </c>
      <c r="D31">
        <f>AVERAGE(D33,C34)</f>
        <v>161.5</v>
      </c>
      <c r="E31">
        <f t="shared" ref="E31:F31" si="2">AVERAGE(E33,D34)</f>
        <v>169</v>
      </c>
      <c r="F31">
        <f t="shared" si="2"/>
        <v>180.5</v>
      </c>
    </row>
    <row r="32" spans="1:7">
      <c r="A32" t="s">
        <v>28</v>
      </c>
      <c r="C32">
        <f>D31</f>
        <v>161.5</v>
      </c>
      <c r="D32">
        <f t="shared" ref="D32:E32" si="3">E31</f>
        <v>169</v>
      </c>
      <c r="E32">
        <f t="shared" si="3"/>
        <v>180.5</v>
      </c>
      <c r="F32">
        <f>F34</f>
        <v>193</v>
      </c>
    </row>
    <row r="33" spans="1:6">
      <c r="A33" s="1" t="s">
        <v>76</v>
      </c>
      <c r="C33">
        <v>152</v>
      </c>
      <c r="D33">
        <v>160</v>
      </c>
      <c r="E33">
        <v>168</v>
      </c>
      <c r="F33">
        <v>183</v>
      </c>
    </row>
    <row r="34" spans="1:6">
      <c r="A34" s="1" t="s">
        <v>92</v>
      </c>
      <c r="C34">
        <v>163</v>
      </c>
      <c r="D34">
        <v>170</v>
      </c>
      <c r="E34">
        <v>178</v>
      </c>
      <c r="F34">
        <v>193</v>
      </c>
    </row>
    <row r="35" spans="1:6" ht="21">
      <c r="C35" s="3"/>
      <c r="D35" s="3"/>
      <c r="E35" s="3"/>
    </row>
    <row r="36" spans="1:6" ht="21">
      <c r="A36" t="s">
        <v>29</v>
      </c>
      <c r="B36" t="s">
        <v>30</v>
      </c>
      <c r="C36" s="3"/>
      <c r="D36" s="3"/>
      <c r="E36" s="3"/>
      <c r="F36" s="3"/>
    </row>
    <row r="37" spans="1:6">
      <c r="A37" t="s">
        <v>97</v>
      </c>
      <c r="B37" t="s">
        <v>98</v>
      </c>
    </row>
    <row r="38" spans="1:6">
      <c r="A38" t="s">
        <v>99</v>
      </c>
      <c r="B38" t="s">
        <v>100</v>
      </c>
    </row>
    <row r="39" spans="1:6">
      <c r="A39" t="s">
        <v>101</v>
      </c>
      <c r="B39" t="s">
        <v>102</v>
      </c>
    </row>
    <row r="40" spans="1:6">
      <c r="A40" t="s">
        <v>31</v>
      </c>
      <c r="B40" t="s">
        <v>32</v>
      </c>
    </row>
    <row r="41" spans="1:6">
      <c r="A41" t="s">
        <v>33</v>
      </c>
      <c r="B41" s="1" t="s">
        <v>68</v>
      </c>
    </row>
    <row r="42" spans="1:6">
      <c r="A42" t="s">
        <v>34</v>
      </c>
    </row>
    <row r="43" spans="1:6">
      <c r="A43" t="s">
        <v>35</v>
      </c>
      <c r="B43">
        <v>57</v>
      </c>
    </row>
    <row r="44" spans="1:6">
      <c r="A44" t="s">
        <v>36</v>
      </c>
      <c r="B44" s="1"/>
    </row>
    <row r="45" spans="1:6">
      <c r="A45" t="s">
        <v>37</v>
      </c>
      <c r="B45" s="1">
        <v>40</v>
      </c>
    </row>
    <row r="46" spans="1:6">
      <c r="A46" t="s">
        <v>38</v>
      </c>
      <c r="B46" s="1"/>
    </row>
    <row r="47" spans="1:6">
      <c r="A47" t="s">
        <v>39</v>
      </c>
    </row>
    <row r="48" spans="1:6">
      <c r="A48" t="s">
        <v>40</v>
      </c>
    </row>
    <row r="49" spans="1:2">
      <c r="A49" t="s">
        <v>41</v>
      </c>
    </row>
    <row r="50" spans="1:2">
      <c r="A50" t="s">
        <v>42</v>
      </c>
    </row>
    <row r="51" spans="1:2">
      <c r="A51" t="s">
        <v>43</v>
      </c>
      <c r="B51" s="1" t="s">
        <v>75</v>
      </c>
    </row>
    <row r="52" spans="1:2">
      <c r="A52" t="s">
        <v>44</v>
      </c>
    </row>
    <row r="53" spans="1:2">
      <c r="A53" t="s">
        <v>45</v>
      </c>
    </row>
    <row r="54" spans="1:2">
      <c r="A54" t="s">
        <v>46</v>
      </c>
      <c r="B54" s="1" t="s">
        <v>68</v>
      </c>
    </row>
    <row r="55" spans="1:2">
      <c r="A55" t="s">
        <v>47</v>
      </c>
    </row>
    <row r="56" spans="1:2">
      <c r="A56" t="s">
        <v>48</v>
      </c>
      <c r="B56" s="1"/>
    </row>
    <row r="57" spans="1:2">
      <c r="A57" t="s">
        <v>49</v>
      </c>
    </row>
    <row r="58" spans="1:2">
      <c r="A58" t="s">
        <v>50</v>
      </c>
    </row>
    <row r="59" spans="1:2">
      <c r="A59" t="s">
        <v>51</v>
      </c>
    </row>
    <row r="60" spans="1:2">
      <c r="A60" s="1" t="s">
        <v>52</v>
      </c>
      <c r="B60" s="1" t="s">
        <v>93</v>
      </c>
    </row>
    <row r="61" spans="1:2">
      <c r="A61" t="s">
        <v>53</v>
      </c>
      <c r="B61" s="1" t="s">
        <v>93</v>
      </c>
    </row>
    <row r="62" spans="1:2">
      <c r="A62" t="s">
        <v>54</v>
      </c>
    </row>
    <row r="63" spans="1:2">
      <c r="A63" t="s">
        <v>55</v>
      </c>
      <c r="B63" s="1" t="s">
        <v>68</v>
      </c>
    </row>
    <row r="64" spans="1:2">
      <c r="A64" t="s">
        <v>56</v>
      </c>
      <c r="B64" s="1">
        <v>2</v>
      </c>
    </row>
    <row r="65" spans="1:2">
      <c r="A65" t="s">
        <v>57</v>
      </c>
    </row>
    <row r="66" spans="1:2">
      <c r="A66" t="s">
        <v>58</v>
      </c>
      <c r="B66" s="1" t="s">
        <v>68</v>
      </c>
    </row>
    <row r="67" spans="1:2">
      <c r="A67" t="s">
        <v>59</v>
      </c>
      <c r="B67" s="1" t="s">
        <v>68</v>
      </c>
    </row>
    <row r="68" spans="1:2">
      <c r="A68" t="s">
        <v>60</v>
      </c>
      <c r="B68" s="1"/>
    </row>
    <row r="69" spans="1:2">
      <c r="A69" t="s">
        <v>61</v>
      </c>
      <c r="B69" s="1" t="s">
        <v>68</v>
      </c>
    </row>
    <row r="70" spans="1:2">
      <c r="A70" t="s">
        <v>62</v>
      </c>
      <c r="B70" s="1" t="s">
        <v>68</v>
      </c>
    </row>
    <row r="71" spans="1:2">
      <c r="A71" t="s">
        <v>63</v>
      </c>
    </row>
    <row r="72" spans="1:2">
      <c r="A72" t="s">
        <v>64</v>
      </c>
      <c r="B72">
        <v>3499</v>
      </c>
    </row>
    <row r="73" spans="1:2">
      <c r="A73" t="s">
        <v>65</v>
      </c>
      <c r="B73" s="1" t="s">
        <v>68</v>
      </c>
    </row>
    <row r="74" spans="1:2">
      <c r="A74" t="s">
        <v>66</v>
      </c>
      <c r="B74" s="1" t="s">
        <v>103</v>
      </c>
    </row>
    <row r="75" spans="1:2">
      <c r="A75" t="s">
        <v>105</v>
      </c>
      <c r="B75" t="s">
        <v>106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2025-07-25T19:36:19Z</dcterms:created>
  <dcterms:modified xsi:type="dcterms:W3CDTF">2025-10-17T22:05:54Z</dcterms:modified>
</cp:coreProperties>
</file>