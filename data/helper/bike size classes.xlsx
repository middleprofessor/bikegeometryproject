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Sizing/"/>
    </mc:Choice>
  </mc:AlternateContent>
  <xr:revisionPtr revIDLastSave="0" documentId="13_ncr:1_{D870418C-2913-6C46-939E-06B5BED8A052}" xr6:coauthVersionLast="47" xr6:coauthVersionMax="47" xr10:uidLastSave="{00000000-0000-0000-0000-000000000000}"/>
  <bookViews>
    <workbookView xWindow="5480" yWindow="1400" windowWidth="24860" windowHeight="15940" xr2:uid="{E4698319-B7D3-F540-BA46-3E7C40E647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20" i="1"/>
  <c r="E21" i="1"/>
  <c r="E22" i="1"/>
  <c r="E23" i="1"/>
  <c r="E24" i="1"/>
  <c r="E25" i="1"/>
  <c r="E26" i="1"/>
  <c r="E27" i="1"/>
  <c r="E18" i="1"/>
  <c r="F18" i="1"/>
  <c r="F19" i="1"/>
  <c r="F20" i="1"/>
  <c r="F21" i="1"/>
  <c r="F22" i="1"/>
  <c r="F23" i="1"/>
  <c r="F24" i="1"/>
  <c r="F25" i="1"/>
  <c r="F26" i="1"/>
  <c r="F17" i="1"/>
  <c r="D19" i="1"/>
  <c r="D22" i="1" s="1"/>
  <c r="D23" i="1" s="1"/>
  <c r="D18" i="1"/>
  <c r="E3" i="1"/>
  <c r="F3" i="1" s="1"/>
  <c r="F2" i="1"/>
  <c r="E4" i="1" l="1"/>
  <c r="E5" i="1" s="1"/>
  <c r="E6" i="1" s="1"/>
  <c r="E7" i="1" s="1"/>
  <c r="E8" i="1" s="1"/>
  <c r="E9" i="1" s="1"/>
  <c r="E10" i="1" s="1"/>
  <c r="E11" i="1" s="1"/>
  <c r="E12" i="1" s="1"/>
  <c r="F4" i="1"/>
  <c r="F5" i="1" l="1"/>
  <c r="F6" i="1" l="1"/>
  <c r="F7" i="1" l="1"/>
  <c r="F8" i="1" l="1"/>
  <c r="F9" i="1" l="1"/>
  <c r="F10" i="1" l="1"/>
  <c r="F11" i="1" l="1"/>
  <c r="F12" i="1" l="1"/>
</calcChain>
</file>

<file path=xl/sharedStrings.xml><?xml version="1.0" encoding="utf-8"?>
<sst xmlns="http://schemas.openxmlformats.org/spreadsheetml/2006/main" count="46" uniqueCount="25">
  <si>
    <t>cm</t>
  </si>
  <si>
    <t>in</t>
  </si>
  <si>
    <t>XXS</t>
  </si>
  <si>
    <t>XS</t>
  </si>
  <si>
    <t>S</t>
  </si>
  <si>
    <t>S/M</t>
  </si>
  <si>
    <t>M</t>
  </si>
  <si>
    <t>M/L</t>
  </si>
  <si>
    <t>L</t>
  </si>
  <si>
    <t>XL</t>
  </si>
  <si>
    <t>XXL</t>
  </si>
  <si>
    <t>ML</t>
  </si>
  <si>
    <t>SM</t>
  </si>
  <si>
    <t>size</t>
  </si>
  <si>
    <t>rider_min</t>
  </si>
  <si>
    <t>rider_max</t>
  </si>
  <si>
    <t>rider_size</t>
  </si>
  <si>
    <t>NA</t>
  </si>
  <si>
    <t>L/XL</t>
  </si>
  <si>
    <t>XS/S</t>
  </si>
  <si>
    <t>frame_size_char</t>
  </si>
  <si>
    <t>frame_size_num</t>
  </si>
  <si>
    <t>better frame_size_num</t>
  </si>
  <si>
    <t>frame_size_low</t>
  </si>
  <si>
    <t>frame_size_high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</si>
</sst>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theme="1"/>
      <name val="Aptos Narrow"/>
      <family val="2"/>
      <scheme val="minor"/>
    </font>
    <font>
      <b/>
      <sz val="14"/>
      <color theme="1"/>
      <name val="Lucida Grande"/>
      <family val="2"/>
    </font>
    <font>
      <sz val="14"/>
      <color theme="1"/>
      <name val="Lucida Grande"/>
      <family val="2"/>
    </font>
    <font>
      <i/>
      <sz val="14"/>
      <color rgb="FFB0B0B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10702-51B3-F042-93D7-0AA23260677B}">
  <dimension ref="A1:G27"/>
  <sheetViews>
    <sheetView tabSelected="1" topLeftCell="A5" workbookViewId="0">
      <selection activeCell="H18" sqref="H18"/>
    </sheetView>
  </sheetViews>
  <sheetFormatPr baseColWidth="10" defaultRowHeight="20" x14ac:dyDescent="0.3"/>
  <cols>
    <col min="1" max="1" width="12.5" style="1" bestFit="1" customWidth="1"/>
    <col min="2" max="2" width="16.5" style="1" bestFit="1" customWidth="1"/>
    <col min="3" max="3" width="16.6640625" style="1" bestFit="1" customWidth="1"/>
    <col min="4" max="4" width="10.33203125" style="1" bestFit="1" customWidth="1"/>
    <col min="5" max="16384" width="10.83203125" style="1"/>
  </cols>
  <sheetData>
    <row r="1" spans="1:7" x14ac:dyDescent="0.3">
      <c r="D1" s="2"/>
      <c r="E1" s="1" t="s">
        <v>0</v>
      </c>
      <c r="F1" s="1" t="s">
        <v>1</v>
      </c>
    </row>
    <row r="2" spans="1:7" x14ac:dyDescent="0.3">
      <c r="A2" s="3" t="s">
        <v>13</v>
      </c>
      <c r="B2" s="3" t="s">
        <v>14</v>
      </c>
      <c r="C2" s="3" t="s">
        <v>15</v>
      </c>
      <c r="D2" s="3" t="s">
        <v>16</v>
      </c>
      <c r="E2" s="1">
        <v>153</v>
      </c>
      <c r="F2" s="1" t="str">
        <f>_xlfn.CONCAT(FLOOR(E2/2.54/12,1),"' ", ROUND(12*(E2/2.54/12 - FLOOR(E2/2.54/12,1)),1),"""")</f>
        <v>5' 0.2"</v>
      </c>
      <c r="G2" s="1" t="s">
        <v>2</v>
      </c>
    </row>
    <row r="3" spans="1:7" x14ac:dyDescent="0.3">
      <c r="A3" s="4" t="s">
        <v>2</v>
      </c>
      <c r="B3" s="4">
        <v>156</v>
      </c>
      <c r="C3" s="4">
        <v>163</v>
      </c>
      <c r="D3" s="4">
        <v>159.5</v>
      </c>
      <c r="E3" s="1">
        <f>E2+6</f>
        <v>159</v>
      </c>
      <c r="F3" s="1" t="str">
        <f>_xlfn.CONCAT(FLOOR(E3/2.54/12,1),"' ", ROUND(12*(E3/2.54/12 - FLOOR(E3/2.54/12,1)),1),"""")</f>
        <v>5' 2.6"</v>
      </c>
      <c r="G3" s="1" t="s">
        <v>3</v>
      </c>
    </row>
    <row r="4" spans="1:7" x14ac:dyDescent="0.3">
      <c r="A4" s="4" t="s">
        <v>3</v>
      </c>
      <c r="B4" s="4">
        <v>155</v>
      </c>
      <c r="C4" s="4">
        <v>163</v>
      </c>
      <c r="D4" s="4">
        <v>159</v>
      </c>
      <c r="E4" s="1">
        <f>E3+4</f>
        <v>163</v>
      </c>
      <c r="F4" s="1" t="str">
        <f>_xlfn.CONCAT(FLOOR(E4/2.54/12,1),"' ", ROUND(12*(E4/2.54/12 - FLOOR(E4/2.54/12,1)),1),"""")</f>
        <v>5' 4.2"</v>
      </c>
      <c r="G4" s="1" t="s">
        <v>19</v>
      </c>
    </row>
    <row r="5" spans="1:7" x14ac:dyDescent="0.3">
      <c r="A5" s="4" t="s">
        <v>4</v>
      </c>
      <c r="B5" s="4">
        <v>162.56</v>
      </c>
      <c r="C5" s="4">
        <v>170.5</v>
      </c>
      <c r="D5" s="4">
        <v>166.53</v>
      </c>
      <c r="E5" s="1">
        <f>E4+4</f>
        <v>167</v>
      </c>
      <c r="F5" s="1" t="str">
        <f>_xlfn.CONCAT(FLOOR(E5/2.54/12,1),"' ", ROUND(12*(E5/2.54/12 - FLOOR(E5/2.54/12,1)),1),"""")</f>
        <v>5' 5.7"</v>
      </c>
      <c r="G5" s="1" t="s">
        <v>4</v>
      </c>
    </row>
    <row r="6" spans="1:7" x14ac:dyDescent="0.3">
      <c r="A6" s="4" t="s">
        <v>12</v>
      </c>
      <c r="B6" s="5" t="s">
        <v>17</v>
      </c>
      <c r="C6" s="5" t="s">
        <v>17</v>
      </c>
      <c r="D6" s="5" t="s">
        <v>17</v>
      </c>
      <c r="E6" s="1">
        <f>E5+4</f>
        <v>171</v>
      </c>
      <c r="F6" s="1" t="str">
        <f>_xlfn.CONCAT(FLOOR(E6/2.54/12,1),"' ", ROUND(12*(E6/2.54/12 - FLOOR(E6/2.54/12,1)),1),"""")</f>
        <v>5' 7.3"</v>
      </c>
      <c r="G6" s="1" t="s">
        <v>5</v>
      </c>
    </row>
    <row r="7" spans="1:7" x14ac:dyDescent="0.3">
      <c r="A7" s="4" t="s">
        <v>6</v>
      </c>
      <c r="B7" s="4">
        <v>170.34</v>
      </c>
      <c r="C7" s="4">
        <v>179</v>
      </c>
      <c r="D7" s="4">
        <v>174.67</v>
      </c>
      <c r="E7" s="1">
        <f t="shared" ref="E7:E11" si="0">E6+4</f>
        <v>175</v>
      </c>
      <c r="F7" s="1" t="str">
        <f>_xlfn.CONCAT(FLOOR(E7/2.54/12,1),"' ", ROUND(12*(E7/2.54/12 - FLOOR(E7/2.54/12,1)),1),"""")</f>
        <v>5' 8.9"</v>
      </c>
      <c r="G7" s="1" t="s">
        <v>6</v>
      </c>
    </row>
    <row r="8" spans="1:7" x14ac:dyDescent="0.3">
      <c r="A8" s="4" t="s">
        <v>11</v>
      </c>
      <c r="B8" s="4">
        <v>175.3</v>
      </c>
      <c r="C8" s="4">
        <v>181.5</v>
      </c>
      <c r="D8" s="4">
        <v>178.4</v>
      </c>
      <c r="E8" s="1">
        <f t="shared" si="0"/>
        <v>179</v>
      </c>
      <c r="F8" s="1" t="str">
        <f>_xlfn.CONCAT(FLOOR(E8/2.54/12,1),"' ", ROUND(12*(E8/2.54/12 - FLOOR(E8/2.54/12,1)),1),"""")</f>
        <v>5' 10.5"</v>
      </c>
      <c r="G8" s="1" t="s">
        <v>7</v>
      </c>
    </row>
    <row r="9" spans="1:7" x14ac:dyDescent="0.3">
      <c r="A9" s="4" t="s">
        <v>8</v>
      </c>
      <c r="B9" s="4">
        <v>179.3</v>
      </c>
      <c r="C9" s="4">
        <v>187</v>
      </c>
      <c r="D9" s="4">
        <v>183.15</v>
      </c>
      <c r="E9" s="1">
        <f t="shared" si="0"/>
        <v>183</v>
      </c>
      <c r="F9" s="1" t="str">
        <f>_xlfn.CONCAT(FLOOR(E9/2.54/12,1),"' ", ROUND(12*(E9/2.54/12 - FLOOR(E9/2.54/12,1)),1),"""")</f>
        <v>6' 0"</v>
      </c>
      <c r="G9" s="1" t="s">
        <v>8</v>
      </c>
    </row>
    <row r="10" spans="1:7" x14ac:dyDescent="0.3">
      <c r="A10" s="4" t="s">
        <v>9</v>
      </c>
      <c r="B10" s="4">
        <v>187</v>
      </c>
      <c r="C10" s="4">
        <v>195.58</v>
      </c>
      <c r="D10" s="4">
        <v>191.29</v>
      </c>
      <c r="E10" s="1">
        <f t="shared" si="0"/>
        <v>187</v>
      </c>
      <c r="F10" s="1" t="str">
        <f>_xlfn.CONCAT(FLOOR(E10/2.54/12,1),"' ", ROUND(12*(E10/2.54/12 - FLOOR(E10/2.54/12,1)),1),"""")</f>
        <v>6' 1.6"</v>
      </c>
      <c r="G10" s="1" t="s">
        <v>18</v>
      </c>
    </row>
    <row r="11" spans="1:7" x14ac:dyDescent="0.3">
      <c r="A11" s="4" t="s">
        <v>10</v>
      </c>
      <c r="B11" s="4">
        <v>191.5</v>
      </c>
      <c r="C11" s="4">
        <v>200</v>
      </c>
      <c r="D11" s="4">
        <v>195.75</v>
      </c>
      <c r="E11" s="1">
        <f t="shared" si="0"/>
        <v>191</v>
      </c>
      <c r="F11" s="1" t="str">
        <f>_xlfn.CONCAT(FLOOR(E11/2.54/12,1),"' ", ROUND(12*(E11/2.54/12 - FLOOR(E11/2.54/12,1)),1),"""")</f>
        <v>6' 3.2"</v>
      </c>
      <c r="G11" s="1" t="s">
        <v>9</v>
      </c>
    </row>
    <row r="12" spans="1:7" x14ac:dyDescent="0.3">
      <c r="E12" s="1">
        <f>E11+5</f>
        <v>196</v>
      </c>
      <c r="F12" s="1" t="str">
        <f>_xlfn.CONCAT(FLOOR(E12/2.54/12,1),"' ", ROUND(12*(E12/2.54/12 - FLOOR(E12/2.54/12,1)),1),"""")</f>
        <v>6' 5.2"</v>
      </c>
      <c r="G12" s="1" t="s">
        <v>10</v>
      </c>
    </row>
    <row r="14" spans="1:7" x14ac:dyDescent="0.3">
      <c r="A14" s="2"/>
      <c r="D14" s="2"/>
    </row>
    <row r="15" spans="1:7" x14ac:dyDescent="0.3">
      <c r="D15" s="2"/>
    </row>
    <row r="16" spans="1:7" x14ac:dyDescent="0.3">
      <c r="A16" s="3" t="s">
        <v>16</v>
      </c>
      <c r="B16" s="6" t="s">
        <v>20</v>
      </c>
      <c r="C16" s="6" t="s">
        <v>21</v>
      </c>
      <c r="D16" s="3" t="s">
        <v>22</v>
      </c>
      <c r="E16" s="1" t="s">
        <v>23</v>
      </c>
      <c r="F16" s="1" t="s">
        <v>24</v>
      </c>
    </row>
    <row r="17" spans="1:6" x14ac:dyDescent="0.3">
      <c r="A17" s="4">
        <v>153</v>
      </c>
      <c r="B17" s="4" t="s">
        <v>2</v>
      </c>
      <c r="C17" s="4">
        <v>48</v>
      </c>
      <c r="D17" s="1">
        <v>48</v>
      </c>
      <c r="E17" s="1">
        <v>40</v>
      </c>
      <c r="F17" s="1">
        <f>AVERAGE(D17,D18)</f>
        <v>48.5</v>
      </c>
    </row>
    <row r="18" spans="1:6" x14ac:dyDescent="0.3">
      <c r="A18" s="4">
        <v>159</v>
      </c>
      <c r="B18" s="4" t="s">
        <v>3</v>
      </c>
      <c r="C18" s="4">
        <v>49.5</v>
      </c>
      <c r="D18" s="1">
        <f>D17+1</f>
        <v>49</v>
      </c>
      <c r="E18" s="1">
        <f>F17</f>
        <v>48.5</v>
      </c>
      <c r="F18" s="1">
        <f t="shared" ref="F18:F26" si="1">AVERAGE(D18,D19)</f>
        <v>49.5</v>
      </c>
    </row>
    <row r="19" spans="1:6" x14ac:dyDescent="0.3">
      <c r="A19" s="4">
        <v>163</v>
      </c>
      <c r="B19" s="4" t="s">
        <v>19</v>
      </c>
      <c r="C19" s="4">
        <v>50</v>
      </c>
      <c r="D19" s="1">
        <f t="shared" ref="D19:D27" si="2">D18+1</f>
        <v>50</v>
      </c>
      <c r="E19" s="1">
        <f t="shared" ref="E19:E27" si="3">F18</f>
        <v>49.5</v>
      </c>
      <c r="F19" s="1">
        <f t="shared" si="1"/>
        <v>51</v>
      </c>
    </row>
    <row r="20" spans="1:6" x14ac:dyDescent="0.3">
      <c r="A20" s="4">
        <v>167</v>
      </c>
      <c r="B20" s="4" t="s">
        <v>4</v>
      </c>
      <c r="C20" s="4">
        <v>52</v>
      </c>
      <c r="D20" s="1">
        <v>52</v>
      </c>
      <c r="E20" s="1">
        <f t="shared" si="3"/>
        <v>51</v>
      </c>
      <c r="F20" s="1">
        <f t="shared" si="1"/>
        <v>52.5</v>
      </c>
    </row>
    <row r="21" spans="1:6" x14ac:dyDescent="0.3">
      <c r="A21" s="4">
        <v>171</v>
      </c>
      <c r="B21" s="4" t="s">
        <v>5</v>
      </c>
      <c r="C21" s="4">
        <v>52</v>
      </c>
      <c r="D21" s="1">
        <v>53</v>
      </c>
      <c r="E21" s="1">
        <f t="shared" si="3"/>
        <v>52.5</v>
      </c>
      <c r="F21" s="1">
        <f t="shared" si="1"/>
        <v>53.5</v>
      </c>
    </row>
    <row r="22" spans="1:6" x14ac:dyDescent="0.3">
      <c r="A22" s="4">
        <v>175</v>
      </c>
      <c r="B22" s="4" t="s">
        <v>6</v>
      </c>
      <c r="C22" s="4">
        <v>54</v>
      </c>
      <c r="D22" s="1">
        <f t="shared" si="2"/>
        <v>54</v>
      </c>
      <c r="E22" s="1">
        <f t="shared" si="3"/>
        <v>53.5</v>
      </c>
      <c r="F22" s="1">
        <f t="shared" si="1"/>
        <v>54.5</v>
      </c>
    </row>
    <row r="23" spans="1:6" x14ac:dyDescent="0.3">
      <c r="A23" s="4">
        <v>179</v>
      </c>
      <c r="B23" s="4" t="s">
        <v>7</v>
      </c>
      <c r="C23" s="4">
        <v>56</v>
      </c>
      <c r="D23" s="1">
        <f t="shared" si="2"/>
        <v>55</v>
      </c>
      <c r="E23" s="1">
        <f t="shared" si="3"/>
        <v>54.5</v>
      </c>
      <c r="F23" s="1">
        <f t="shared" si="1"/>
        <v>55.75</v>
      </c>
    </row>
    <row r="24" spans="1:6" x14ac:dyDescent="0.3">
      <c r="A24" s="4">
        <v>183</v>
      </c>
      <c r="B24" s="4" t="s">
        <v>8</v>
      </c>
      <c r="C24" s="4">
        <v>56.5</v>
      </c>
      <c r="D24" s="1">
        <v>56.5</v>
      </c>
      <c r="E24" s="1">
        <f t="shared" si="3"/>
        <v>55.75</v>
      </c>
      <c r="F24" s="1">
        <f t="shared" si="1"/>
        <v>57.25</v>
      </c>
    </row>
    <row r="25" spans="1:6" x14ac:dyDescent="0.3">
      <c r="A25" s="4">
        <v>187</v>
      </c>
      <c r="B25" s="4" t="s">
        <v>18</v>
      </c>
      <c r="C25" s="4">
        <v>58</v>
      </c>
      <c r="D25" s="1">
        <v>58</v>
      </c>
      <c r="E25" s="1">
        <f t="shared" si="3"/>
        <v>57.25</v>
      </c>
      <c r="F25" s="1">
        <f t="shared" si="1"/>
        <v>59</v>
      </c>
    </row>
    <row r="26" spans="1:6" x14ac:dyDescent="0.3">
      <c r="A26" s="4">
        <v>191</v>
      </c>
      <c r="B26" s="4" t="s">
        <v>9</v>
      </c>
      <c r="C26" s="4">
        <v>60</v>
      </c>
      <c r="D26" s="1">
        <v>60</v>
      </c>
      <c r="E26" s="1">
        <f t="shared" si="3"/>
        <v>59</v>
      </c>
      <c r="F26" s="1">
        <f t="shared" si="1"/>
        <v>60.75</v>
      </c>
    </row>
    <row r="27" spans="1:6" x14ac:dyDescent="0.3">
      <c r="A27" s="4">
        <v>196</v>
      </c>
      <c r="B27" s="4" t="s">
        <v>10</v>
      </c>
      <c r="C27" s="4">
        <v>61</v>
      </c>
      <c r="D27" s="1">
        <v>61.5</v>
      </c>
      <c r="E27" s="1">
        <f t="shared" si="3"/>
        <v>60.75</v>
      </c>
      <c r="F27" s="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2025-08-25T15:09:44Z</dcterms:created>
  <dcterms:modified xsi:type="dcterms:W3CDTF">2025-08-27T17:46:31Z</dcterms:modified>
</cp:coreProperties>
</file>