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elper/"/>
    </mc:Choice>
  </mc:AlternateContent>
  <xr:revisionPtr revIDLastSave="0" documentId="13_ncr:1_{0D4A772B-EB83-7648-BC47-ED7433DA9792}" xr6:coauthVersionLast="47" xr6:coauthVersionMax="47" xr10:uidLastSave="{00000000-0000-0000-0000-000000000000}"/>
  <bookViews>
    <workbookView xWindow="33120" yWindow="-22780" windowWidth="27640" windowHeight="16440" xr2:uid="{C2C59952-402B-6149-A87A-5787A23567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7" i="1" l="1"/>
</calcChain>
</file>

<file path=xl/sharedStrings.xml><?xml version="1.0" encoding="utf-8"?>
<sst xmlns="http://schemas.openxmlformats.org/spreadsheetml/2006/main" count="13" uniqueCount="13">
  <si>
    <r>
      <t>Here’s the transcription of </t>
    </r>
    <r>
      <rPr>
        <b/>
        <sz val="12"/>
        <color rgb="FF000000"/>
        <rFont val="Aptos Narrow"/>
        <family val="2"/>
        <scheme val="minor"/>
      </rPr>
      <t>The Lemond Sizing Chart</t>
    </r>
    <r>
      <rPr>
        <sz val="12"/>
        <color rgb="FF000000"/>
        <rFont val="Aptos Narrow"/>
        <family val="2"/>
        <scheme val="minor"/>
      </rPr>
      <t> from your image in table form:</t>
    </r>
  </si>
  <si>
    <t>Inseam (in)</t>
  </si>
  <si>
    <t>Inseam (cm)</t>
  </si>
  <si>
    <t>Frame Size (in)</t>
  </si>
  <si>
    <t>Frame Size (cm)</t>
  </si>
  <si>
    <t>Total Ht (in)</t>
  </si>
  <si>
    <t>Total Ht (cm)</t>
  </si>
  <si>
    <t>slope</t>
  </si>
  <si>
    <t>intercept</t>
  </si>
  <si>
    <t>inseam</t>
  </si>
  <si>
    <t>x</t>
  </si>
  <si>
    <t>y</t>
  </si>
  <si>
    <t>frame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</si>
</sst>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F51C-FD08-7C4F-AF2D-F316C70D6EDC}">
  <dimension ref="A1:J39"/>
  <sheetViews>
    <sheetView tabSelected="1" topLeftCell="A2" workbookViewId="0">
      <selection activeCell="D30" sqref="D30"/>
    </sheetView>
  </sheetViews>
  <sheetFormatPr baseColWidth="10" defaultRowHeight="16" x14ac:dyDescent="0.2"/>
  <cols>
    <col min="1" max="6" width="19.83203125" customWidth="1"/>
  </cols>
  <sheetData>
    <row r="1" spans="1:10" x14ac:dyDescent="0.2">
      <c r="A1" s="1" t="s">
        <v>0</v>
      </c>
    </row>
    <row r="2" spans="1:10" x14ac:dyDescent="0.2">
      <c r="A2" s="1"/>
      <c r="G2" t="s">
        <v>10</v>
      </c>
      <c r="H2" t="s">
        <v>12</v>
      </c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11</v>
      </c>
      <c r="H3" s="2" t="s">
        <v>9</v>
      </c>
      <c r="I3" s="2"/>
      <c r="J3" s="2"/>
    </row>
    <row r="4" spans="1:10" x14ac:dyDescent="0.2">
      <c r="A4">
        <v>26</v>
      </c>
      <c r="B4">
        <v>66</v>
      </c>
      <c r="C4">
        <v>16.899999999999999</v>
      </c>
      <c r="D4">
        <v>42.9</v>
      </c>
      <c r="E4">
        <v>23</v>
      </c>
      <c r="F4">
        <v>58.3</v>
      </c>
      <c r="G4" t="s">
        <v>7</v>
      </c>
      <c r="H4">
        <f>SLOPE(B4:B39,D4:D39)</f>
        <v>1.5423279404570587</v>
      </c>
    </row>
    <row r="5" spans="1:10" x14ac:dyDescent="0.2">
      <c r="A5">
        <v>26.5</v>
      </c>
      <c r="B5">
        <v>67.3</v>
      </c>
      <c r="C5">
        <v>17.2</v>
      </c>
      <c r="D5">
        <v>43.8</v>
      </c>
      <c r="E5">
        <v>23.4</v>
      </c>
      <c r="F5">
        <v>59.4</v>
      </c>
      <c r="G5" t="s">
        <v>8</v>
      </c>
      <c r="H5">
        <f>INTERCEPT(B4:B39,D4:D39)</f>
        <v>-0.24153589417326771</v>
      </c>
    </row>
    <row r="6" spans="1:10" x14ac:dyDescent="0.2">
      <c r="A6">
        <v>27</v>
      </c>
      <c r="B6">
        <v>68.599999999999994</v>
      </c>
      <c r="C6">
        <v>17.600000000000001</v>
      </c>
      <c r="D6">
        <v>44.7</v>
      </c>
      <c r="E6">
        <v>23.8</v>
      </c>
      <c r="F6">
        <v>60.6</v>
      </c>
    </row>
    <row r="7" spans="1:10" x14ac:dyDescent="0.2">
      <c r="A7">
        <v>27.5</v>
      </c>
      <c r="B7">
        <v>69.900000000000006</v>
      </c>
      <c r="C7">
        <v>17.899999999999999</v>
      </c>
      <c r="D7">
        <v>45.6</v>
      </c>
      <c r="E7">
        <v>24.3</v>
      </c>
      <c r="F7">
        <v>61.7</v>
      </c>
      <c r="G7">
        <v>68.400000000000006</v>
      </c>
      <c r="H7">
        <f>H5+H4*G7</f>
        <v>105.25369523308956</v>
      </c>
    </row>
    <row r="8" spans="1:10" x14ac:dyDescent="0.2">
      <c r="A8">
        <v>28</v>
      </c>
      <c r="B8">
        <v>71.099999999999994</v>
      </c>
      <c r="C8">
        <v>18.2</v>
      </c>
      <c r="D8">
        <v>46.4</v>
      </c>
      <c r="E8">
        <v>24.7</v>
      </c>
      <c r="F8">
        <v>62.8</v>
      </c>
    </row>
    <row r="9" spans="1:10" x14ac:dyDescent="0.2">
      <c r="A9">
        <v>28.5</v>
      </c>
      <c r="B9">
        <v>72.400000000000006</v>
      </c>
      <c r="C9">
        <v>18.5</v>
      </c>
      <c r="D9">
        <v>47.1</v>
      </c>
      <c r="E9">
        <v>25.2</v>
      </c>
      <c r="F9">
        <v>63.9</v>
      </c>
    </row>
    <row r="10" spans="1:10" x14ac:dyDescent="0.2">
      <c r="A10">
        <v>29</v>
      </c>
      <c r="B10">
        <v>73.7</v>
      </c>
      <c r="C10">
        <v>18.899999999999999</v>
      </c>
      <c r="D10">
        <v>47.9</v>
      </c>
      <c r="E10">
        <v>25.6</v>
      </c>
      <c r="F10">
        <v>65</v>
      </c>
    </row>
    <row r="11" spans="1:10" x14ac:dyDescent="0.2">
      <c r="A11">
        <v>29.5</v>
      </c>
      <c r="B11">
        <v>74.900000000000006</v>
      </c>
      <c r="C11">
        <v>19.2</v>
      </c>
      <c r="D11">
        <v>48.7</v>
      </c>
      <c r="E11">
        <v>26</v>
      </c>
      <c r="F11">
        <v>66.2</v>
      </c>
    </row>
    <row r="12" spans="1:10" x14ac:dyDescent="0.2">
      <c r="A12">
        <v>30</v>
      </c>
      <c r="B12">
        <v>76.2</v>
      </c>
      <c r="C12">
        <v>19.5</v>
      </c>
      <c r="D12">
        <v>49.5</v>
      </c>
      <c r="E12">
        <v>26.5</v>
      </c>
      <c r="F12">
        <v>67.3</v>
      </c>
    </row>
    <row r="13" spans="1:10" x14ac:dyDescent="0.2">
      <c r="A13">
        <v>30.5</v>
      </c>
      <c r="B13">
        <v>77.5</v>
      </c>
      <c r="C13">
        <v>19.8</v>
      </c>
      <c r="D13">
        <v>50.4</v>
      </c>
      <c r="E13">
        <v>26.9</v>
      </c>
      <c r="F13">
        <v>68.400000000000006</v>
      </c>
    </row>
    <row r="14" spans="1:10" x14ac:dyDescent="0.2">
      <c r="A14">
        <v>31</v>
      </c>
      <c r="B14">
        <v>78.7</v>
      </c>
      <c r="C14">
        <v>20.2</v>
      </c>
      <c r="D14">
        <v>51.2</v>
      </c>
      <c r="E14">
        <v>27.4</v>
      </c>
      <c r="F14">
        <v>69.5</v>
      </c>
    </row>
    <row r="15" spans="1:10" x14ac:dyDescent="0.2">
      <c r="A15">
        <v>31.5</v>
      </c>
      <c r="B15">
        <v>80</v>
      </c>
      <c r="C15">
        <v>20.5</v>
      </c>
      <c r="D15">
        <v>52</v>
      </c>
      <c r="E15">
        <v>27.8</v>
      </c>
      <c r="F15">
        <v>70.599999999999994</v>
      </c>
    </row>
    <row r="16" spans="1:10" x14ac:dyDescent="0.2">
      <c r="A16">
        <v>32</v>
      </c>
      <c r="B16">
        <v>81.3</v>
      </c>
      <c r="C16">
        <v>20.8</v>
      </c>
      <c r="D16">
        <v>52.8</v>
      </c>
      <c r="E16">
        <v>28.3</v>
      </c>
      <c r="F16">
        <v>71.8</v>
      </c>
    </row>
    <row r="17" spans="1:6" x14ac:dyDescent="0.2">
      <c r="A17">
        <v>32.5</v>
      </c>
      <c r="B17">
        <v>82.6</v>
      </c>
      <c r="C17">
        <v>21.1</v>
      </c>
      <c r="D17">
        <v>53.7</v>
      </c>
      <c r="E17">
        <v>28.7</v>
      </c>
      <c r="F17">
        <v>72.900000000000006</v>
      </c>
    </row>
    <row r="18" spans="1:6" x14ac:dyDescent="0.2">
      <c r="A18">
        <v>33</v>
      </c>
      <c r="B18">
        <v>83.8</v>
      </c>
      <c r="C18">
        <v>21.5</v>
      </c>
      <c r="D18">
        <v>54.5</v>
      </c>
      <c r="E18">
        <v>29.1</v>
      </c>
      <c r="F18">
        <v>74</v>
      </c>
    </row>
    <row r="19" spans="1:6" x14ac:dyDescent="0.2">
      <c r="A19">
        <v>33.5</v>
      </c>
      <c r="B19">
        <v>85.1</v>
      </c>
      <c r="C19">
        <v>21.8</v>
      </c>
      <c r="D19">
        <v>55.3</v>
      </c>
      <c r="E19">
        <v>29.6</v>
      </c>
      <c r="F19">
        <v>75.099999999999994</v>
      </c>
    </row>
    <row r="20" spans="1:6" x14ac:dyDescent="0.2">
      <c r="A20">
        <v>34</v>
      </c>
      <c r="B20">
        <v>86.4</v>
      </c>
      <c r="C20">
        <v>22.1</v>
      </c>
      <c r="D20">
        <v>56.1</v>
      </c>
      <c r="E20">
        <v>30</v>
      </c>
      <c r="F20">
        <v>76.3</v>
      </c>
    </row>
    <row r="21" spans="1:6" x14ac:dyDescent="0.2">
      <c r="A21">
        <v>34.5</v>
      </c>
      <c r="B21">
        <v>87.6</v>
      </c>
      <c r="C21">
        <v>22.4</v>
      </c>
      <c r="D21">
        <v>56.9</v>
      </c>
      <c r="E21">
        <v>30.5</v>
      </c>
      <c r="F21">
        <v>77.400000000000006</v>
      </c>
    </row>
    <row r="22" spans="1:6" x14ac:dyDescent="0.2">
      <c r="A22">
        <v>35</v>
      </c>
      <c r="B22">
        <v>88.9</v>
      </c>
      <c r="C22">
        <v>22.8</v>
      </c>
      <c r="D22">
        <v>57.8</v>
      </c>
      <c r="E22">
        <v>30.9</v>
      </c>
      <c r="F22">
        <v>78.5</v>
      </c>
    </row>
    <row r="23" spans="1:6" x14ac:dyDescent="0.2">
      <c r="A23">
        <v>35.5</v>
      </c>
      <c r="B23">
        <v>90.2</v>
      </c>
      <c r="C23">
        <v>23.1</v>
      </c>
      <c r="D23">
        <v>58.6</v>
      </c>
      <c r="E23">
        <v>31.3</v>
      </c>
      <c r="F23">
        <v>79.599999999999994</v>
      </c>
    </row>
    <row r="24" spans="1:6" x14ac:dyDescent="0.2">
      <c r="A24">
        <v>36</v>
      </c>
      <c r="B24">
        <v>91.4</v>
      </c>
      <c r="C24">
        <v>23.4</v>
      </c>
      <c r="D24">
        <v>59.4</v>
      </c>
      <c r="E24">
        <v>31.8</v>
      </c>
      <c r="F24">
        <v>80.7</v>
      </c>
    </row>
    <row r="25" spans="1:6" x14ac:dyDescent="0.2">
      <c r="A25">
        <v>36.5</v>
      </c>
      <c r="B25">
        <v>92.7</v>
      </c>
      <c r="C25">
        <v>23.7</v>
      </c>
      <c r="D25">
        <v>60.3</v>
      </c>
      <c r="E25">
        <v>32.200000000000003</v>
      </c>
      <c r="F25">
        <v>81.900000000000006</v>
      </c>
    </row>
    <row r="26" spans="1:6" x14ac:dyDescent="0.2">
      <c r="A26">
        <v>37</v>
      </c>
      <c r="B26">
        <v>94</v>
      </c>
      <c r="C26">
        <v>24.1</v>
      </c>
      <c r="D26">
        <v>61.1</v>
      </c>
      <c r="E26">
        <v>32.700000000000003</v>
      </c>
      <c r="F26">
        <v>83</v>
      </c>
    </row>
    <row r="27" spans="1:6" x14ac:dyDescent="0.2">
      <c r="A27">
        <v>37.5</v>
      </c>
      <c r="B27">
        <v>95.3</v>
      </c>
      <c r="C27">
        <v>24.4</v>
      </c>
      <c r="D27">
        <v>61.9</v>
      </c>
      <c r="E27">
        <v>33.1</v>
      </c>
      <c r="F27">
        <v>84.1</v>
      </c>
    </row>
    <row r="28" spans="1:6" x14ac:dyDescent="0.2">
      <c r="A28">
        <v>38</v>
      </c>
      <c r="B28">
        <v>96.5</v>
      </c>
      <c r="C28">
        <v>24.7</v>
      </c>
      <c r="D28">
        <v>62.7</v>
      </c>
      <c r="E28">
        <v>33.6</v>
      </c>
      <c r="F28">
        <v>85.2</v>
      </c>
    </row>
    <row r="29" spans="1:6" x14ac:dyDescent="0.2">
      <c r="A29">
        <v>38.5</v>
      </c>
      <c r="B29">
        <v>97.8</v>
      </c>
      <c r="C29">
        <v>25</v>
      </c>
      <c r="D29">
        <v>63.6</v>
      </c>
      <c r="E29">
        <v>34</v>
      </c>
      <c r="F29">
        <v>86.3</v>
      </c>
    </row>
    <row r="30" spans="1:6" x14ac:dyDescent="0.2">
      <c r="A30">
        <v>39</v>
      </c>
      <c r="B30">
        <v>99.1</v>
      </c>
      <c r="C30">
        <v>25.4</v>
      </c>
      <c r="D30">
        <v>64.400000000000006</v>
      </c>
      <c r="E30">
        <v>34.5</v>
      </c>
      <c r="F30">
        <v>87.4</v>
      </c>
    </row>
    <row r="31" spans="1:6" x14ac:dyDescent="0.2">
      <c r="A31">
        <v>39.5</v>
      </c>
      <c r="B31">
        <v>100.3</v>
      </c>
      <c r="C31">
        <v>25.7</v>
      </c>
      <c r="D31">
        <v>65.2</v>
      </c>
      <c r="E31">
        <v>34.9</v>
      </c>
      <c r="F31">
        <v>88.6</v>
      </c>
    </row>
    <row r="32" spans="1:6" x14ac:dyDescent="0.2">
      <c r="A32">
        <v>40</v>
      </c>
      <c r="B32">
        <v>101.6</v>
      </c>
      <c r="C32">
        <v>26</v>
      </c>
      <c r="D32">
        <v>66</v>
      </c>
      <c r="E32">
        <v>35.299999999999997</v>
      </c>
      <c r="F32">
        <v>89.7</v>
      </c>
    </row>
    <row r="33" spans="1:6" x14ac:dyDescent="0.2">
      <c r="A33">
        <v>40.5</v>
      </c>
      <c r="B33">
        <v>102.9</v>
      </c>
      <c r="C33">
        <v>26.3</v>
      </c>
      <c r="D33">
        <v>66.900000000000006</v>
      </c>
      <c r="E33">
        <v>35.799999999999997</v>
      </c>
      <c r="F33">
        <v>90.8</v>
      </c>
    </row>
    <row r="34" spans="1:6" x14ac:dyDescent="0.2">
      <c r="A34">
        <v>41</v>
      </c>
      <c r="B34">
        <v>104.1</v>
      </c>
      <c r="C34">
        <v>26.7</v>
      </c>
      <c r="D34">
        <v>67.7</v>
      </c>
      <c r="E34">
        <v>36.200000000000003</v>
      </c>
      <c r="F34">
        <v>92</v>
      </c>
    </row>
    <row r="35" spans="1:6" x14ac:dyDescent="0.2">
      <c r="A35">
        <v>41.5</v>
      </c>
      <c r="B35">
        <v>105.4</v>
      </c>
      <c r="C35">
        <v>27</v>
      </c>
      <c r="D35">
        <v>68.5</v>
      </c>
      <c r="E35">
        <v>36.6</v>
      </c>
      <c r="F35">
        <v>93.1</v>
      </c>
    </row>
    <row r="36" spans="1:6" x14ac:dyDescent="0.2">
      <c r="A36">
        <v>42</v>
      </c>
      <c r="B36">
        <v>106.7</v>
      </c>
      <c r="C36">
        <v>27.3</v>
      </c>
      <c r="D36">
        <v>69.3</v>
      </c>
      <c r="E36">
        <v>37.1</v>
      </c>
      <c r="F36">
        <v>94.2</v>
      </c>
    </row>
    <row r="37" spans="1:6" x14ac:dyDescent="0.2">
      <c r="A37">
        <v>42.5</v>
      </c>
      <c r="B37">
        <v>107.9</v>
      </c>
      <c r="C37">
        <v>27.7</v>
      </c>
      <c r="D37">
        <v>70.2</v>
      </c>
      <c r="E37">
        <v>37.5</v>
      </c>
      <c r="F37">
        <v>95.3</v>
      </c>
    </row>
    <row r="38" spans="1:6" x14ac:dyDescent="0.2">
      <c r="A38">
        <v>43</v>
      </c>
      <c r="B38">
        <v>109.2</v>
      </c>
      <c r="C38">
        <v>28</v>
      </c>
      <c r="D38">
        <v>71</v>
      </c>
      <c r="E38">
        <v>38</v>
      </c>
      <c r="F38">
        <v>96.4</v>
      </c>
    </row>
    <row r="39" spans="1:6" x14ac:dyDescent="0.2">
      <c r="A39">
        <v>43.5</v>
      </c>
      <c r="B39">
        <v>110.5</v>
      </c>
      <c r="C39">
        <v>28.3</v>
      </c>
      <c r="D39">
        <v>71.8</v>
      </c>
      <c r="E39">
        <v>38.4</v>
      </c>
      <c r="F39">
        <v>97.6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2025-09-04T10:40:38Z</dcterms:created>
  <dcterms:modified xsi:type="dcterms:W3CDTF">2025-10-22T17:17:15Z</dcterms:modified>
</cp:coreProperties>
</file>