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elper/"/>
    </mc:Choice>
  </mc:AlternateContent>
  <xr:revisionPtr revIDLastSave="0" documentId="13_ncr:1_{4AB85B90-D2F5-0C4E-A5EA-F9FA213ADB8F}" xr6:coauthVersionLast="47" xr6:coauthVersionMax="47" xr10:uidLastSave="{00000000-0000-0000-0000-000000000000}"/>
  <bookViews>
    <workbookView xWindow="17420" yWindow="-20260" windowWidth="28800" windowHeight="17500" xr2:uid="{C41E7A4B-F67D-0E4F-9337-85E40D556F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F31" i="1"/>
  <c r="F19" i="1"/>
  <c r="C25" i="1"/>
  <c r="F23" i="1"/>
  <c r="F24" i="1" s="1"/>
  <c r="F22" i="1"/>
  <c r="F14" i="1"/>
  <c r="F8" i="1"/>
  <c r="C15" i="1"/>
  <c r="C14" i="1"/>
  <c r="I11" i="1"/>
  <c r="J11" i="1"/>
  <c r="K11" i="1"/>
  <c r="H11" i="1"/>
  <c r="H19" i="1"/>
  <c r="I19" i="1"/>
  <c r="J19" i="1"/>
  <c r="K19" i="1"/>
  <c r="H14" i="1"/>
  <c r="H16" i="1" s="1"/>
  <c r="I14" i="1"/>
  <c r="J14" i="1"/>
  <c r="K14" i="1"/>
  <c r="H8" i="1"/>
  <c r="H15" i="1" s="1"/>
  <c r="I8" i="1"/>
  <c r="J8" i="1"/>
  <c r="K8" i="1"/>
  <c r="C8" i="1"/>
  <c r="C10" i="1" s="1"/>
  <c r="F26" i="1" l="1"/>
  <c r="F25" i="1"/>
  <c r="F17" i="1"/>
  <c r="F16" i="1"/>
  <c r="F10" i="1"/>
  <c r="F12" i="1" s="1"/>
  <c r="F9" i="1"/>
  <c r="I15" i="1"/>
  <c r="I16" i="1"/>
  <c r="J15" i="1"/>
  <c r="J16" i="1"/>
  <c r="K15" i="1"/>
  <c r="K16" i="1"/>
  <c r="H10" i="1"/>
  <c r="H12" i="1" s="1"/>
  <c r="H20" i="1" s="1"/>
  <c r="H21" i="1" s="1"/>
  <c r="H9" i="1"/>
  <c r="H17" i="1" s="1"/>
  <c r="I9" i="1"/>
  <c r="I17" i="1" s="1"/>
  <c r="I10" i="1"/>
  <c r="I12" i="1" s="1"/>
  <c r="I20" i="1" s="1"/>
  <c r="I21" i="1" s="1"/>
  <c r="J9" i="1"/>
  <c r="J17" i="1" s="1"/>
  <c r="J10" i="1"/>
  <c r="J12" i="1" s="1"/>
  <c r="J20" i="1" s="1"/>
  <c r="J21" i="1" s="1"/>
  <c r="K9" i="1"/>
  <c r="K17" i="1" s="1"/>
  <c r="K10" i="1"/>
  <c r="K12" i="1" s="1"/>
  <c r="K20" i="1" s="1"/>
  <c r="K21" i="1" s="1"/>
  <c r="C12" i="1"/>
  <c r="C21" i="1" s="1"/>
  <c r="C22" i="1" s="1"/>
  <c r="C17" i="1"/>
  <c r="C16" i="1"/>
  <c r="C9" i="1"/>
  <c r="C18" i="1" s="1"/>
  <c r="F29" i="1" l="1"/>
  <c r="F27" i="1"/>
  <c r="F28" i="1" s="1"/>
  <c r="F15" i="1"/>
  <c r="F18" i="1"/>
  <c r="H22" i="1"/>
  <c r="H31" i="1"/>
  <c r="H32" i="1" s="1"/>
  <c r="I22" i="1"/>
  <c r="I31" i="1"/>
  <c r="I32" i="1" s="1"/>
  <c r="I33" i="1" s="1"/>
  <c r="J22" i="1"/>
  <c r="J31" i="1"/>
  <c r="J32" i="1" s="1"/>
  <c r="J33" i="1" s="1"/>
  <c r="K22" i="1"/>
  <c r="K31" i="1"/>
  <c r="K32" i="1" s="1"/>
  <c r="K33" i="1" s="1"/>
  <c r="C32" i="1"/>
  <c r="C33" i="1" s="1"/>
  <c r="C23" i="1"/>
  <c r="F30" i="1" l="1"/>
  <c r="J34" i="1"/>
  <c r="J35" i="1"/>
  <c r="I34" i="1"/>
  <c r="I35" i="1"/>
  <c r="H24" i="1"/>
  <c r="H23" i="1"/>
  <c r="H33" i="1"/>
  <c r="I24" i="1"/>
  <c r="I23" i="1"/>
  <c r="J24" i="1"/>
  <c r="J23" i="1"/>
  <c r="K23" i="1"/>
  <c r="K24" i="1"/>
  <c r="K35" i="1"/>
  <c r="K34" i="1"/>
  <c r="C24" i="1"/>
  <c r="C34" i="1"/>
  <c r="J37" i="1" l="1"/>
  <c r="J38" i="1" s="1"/>
  <c r="J36" i="1"/>
  <c r="J39" i="1" s="1"/>
  <c r="I26" i="1"/>
  <c r="I27" i="1" s="1"/>
  <c r="I25" i="1"/>
  <c r="I28" i="1" s="1"/>
  <c r="K37" i="1"/>
  <c r="K38" i="1" s="1"/>
  <c r="K36" i="1"/>
  <c r="K39" i="1" s="1"/>
  <c r="I37" i="1"/>
  <c r="I38" i="1" s="1"/>
  <c r="I36" i="1"/>
  <c r="I39" i="1" s="1"/>
  <c r="H35" i="1"/>
  <c r="H34" i="1"/>
  <c r="H26" i="1"/>
  <c r="H27" i="1" s="1"/>
  <c r="H25" i="1"/>
  <c r="H28" i="1" s="1"/>
  <c r="J25" i="1"/>
  <c r="J28" i="1" s="1"/>
  <c r="J26" i="1"/>
  <c r="J27" i="1" s="1"/>
  <c r="K25" i="1"/>
  <c r="K28" i="1" s="1"/>
  <c r="K26" i="1"/>
  <c r="K27" i="1" s="1"/>
  <c r="C26" i="1"/>
  <c r="C29" i="1" s="1"/>
  <c r="C27" i="1"/>
  <c r="C28" i="1" s="1"/>
  <c r="C35" i="1"/>
  <c r="C36" i="1"/>
  <c r="H37" i="1" l="1"/>
  <c r="H38" i="1" s="1"/>
  <c r="H36" i="1"/>
  <c r="H39" i="1" s="1"/>
  <c r="C38" i="1"/>
  <c r="C39" i="1" s="1"/>
  <c r="C37" i="1"/>
  <c r="C40" i="1" s="1"/>
</calcChain>
</file>

<file path=xl/sharedStrings.xml><?xml version="1.0" encoding="utf-8"?>
<sst xmlns="http://schemas.openxmlformats.org/spreadsheetml/2006/main" count="70" uniqueCount="43">
  <si>
    <t>ESTA at stack</t>
  </si>
  <si>
    <t>Stack</t>
  </si>
  <si>
    <t>Reach</t>
  </si>
  <si>
    <t>layback at stack</t>
  </si>
  <si>
    <t>ETT at stack</t>
  </si>
  <si>
    <t>STA</t>
  </si>
  <si>
    <t>ESPL at stack</t>
  </si>
  <si>
    <t>Added .v to saddle height</t>
  </si>
  <si>
    <t>layback using STA</t>
  </si>
  <si>
    <t>calc layback - actual layback at stack</t>
  </si>
  <si>
    <t>actual layback at saddle height</t>
  </si>
  <si>
    <t>ESTA at saddle height</t>
  </si>
  <si>
    <t>seat.v at saddle height</t>
  </si>
  <si>
    <t>saddle height</t>
  </si>
  <si>
    <t>saddle thickness</t>
  </si>
  <si>
    <t>ESPL at saddle height</t>
  </si>
  <si>
    <t>expected saddle height</t>
  </si>
  <si>
    <t>calc ETT at saddle height</t>
  </si>
  <si>
    <t>https://fairlightcycles.com/wp-content/uploads/2025/08/Holt-2.0-Geometry.pdf?v=0b3b97fa6688</t>
  </si>
  <si>
    <t>Analysis assuming ETT is at stack</t>
  </si>
  <si>
    <t>ETT using STA and stack</t>
  </si>
  <si>
    <t>ETT using ESTA and stack</t>
  </si>
  <si>
    <t>ETT using ESTA at stack and stack</t>
  </si>
  <si>
    <t>S</t>
  </si>
  <si>
    <t>M</t>
  </si>
  <si>
    <t>L</t>
  </si>
  <si>
    <t>XL</t>
  </si>
  <si>
    <t>Travel</t>
  </si>
  <si>
    <t>Fairlight Holt</t>
  </si>
  <si>
    <t>seat.v</t>
  </si>
  <si>
    <t>calc layback at stack using STA</t>
  </si>
  <si>
    <t>calc layback at stack using ESTA</t>
  </si>
  <si>
    <t>seat.h</t>
  </si>
  <si>
    <t>seat.h + xtra layback</t>
  </si>
  <si>
    <t>New Actual SPL</t>
  </si>
  <si>
    <t>Effective SPL at saddle height</t>
  </si>
  <si>
    <t>ESTA at saddle height (spec)</t>
  </si>
  <si>
    <t>computed layback using seat v</t>
  </si>
  <si>
    <t>spec ETT (using seat.v)</t>
  </si>
  <si>
    <t>diff</t>
  </si>
  <si>
    <t>ETT using stack and spec ESTA</t>
  </si>
  <si>
    <t xml:space="preserve">ETT using stack and actual ESTA at stack </t>
  </si>
  <si>
    <t>diff ETT spec - actual 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</si>
</sst>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theme="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277358</xdr:colOff>
      <xdr:row>1</xdr:row>
      <xdr:rowOff>189770</xdr:rowOff>
    </xdr:from>
    <xdr:to>
      <xdr:col>31</xdr:col>
      <xdr:colOff>516088</xdr:colOff>
      <xdr:row>25</xdr:row>
      <xdr:rowOff>248161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762F2C-BE44-44D8-24AE-C47A0BC07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2530" y="467126"/>
          <a:ext cx="16880110" cy="6714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EC6C5-C4EC-4741-A01F-046C26CC2419}">
  <dimension ref="B1:K40"/>
  <sheetViews>
    <sheetView tabSelected="1" zoomScale="84" workbookViewId="0">
      <selection activeCell="E33" sqref="E33"/>
    </sheetView>
  </sheetViews>
  <sheetFormatPr baseColWidth="10" defaultRowHeight="22" x14ac:dyDescent="0.3"/>
  <cols>
    <col min="1" max="1" width="10.83203125" style="1"/>
    <col min="2" max="2" width="53.5" style="1" customWidth="1"/>
    <col min="3" max="4" width="10.83203125" style="1"/>
    <col min="5" max="5" width="48.6640625" style="1" bestFit="1" customWidth="1"/>
    <col min="6" max="16384" width="10.83203125" style="1"/>
  </cols>
  <sheetData>
    <row r="1" spans="2:11" x14ac:dyDescent="0.3">
      <c r="B1" s="1" t="s">
        <v>28</v>
      </c>
      <c r="C1" s="1" t="s">
        <v>18</v>
      </c>
    </row>
    <row r="2" spans="2:11" x14ac:dyDescent="0.3">
      <c r="B2" s="2" t="s">
        <v>27</v>
      </c>
      <c r="C2" s="1">
        <v>100</v>
      </c>
      <c r="H2" s="1">
        <v>120</v>
      </c>
      <c r="I2" s="1">
        <v>120</v>
      </c>
      <c r="J2" s="1">
        <v>120</v>
      </c>
      <c r="K2" s="1">
        <v>120</v>
      </c>
    </row>
    <row r="3" spans="2:11" x14ac:dyDescent="0.3">
      <c r="B3" s="1" t="s">
        <v>19</v>
      </c>
      <c r="C3" s="1" t="s">
        <v>23</v>
      </c>
      <c r="H3" s="1" t="s">
        <v>23</v>
      </c>
      <c r="I3" s="1" t="s">
        <v>24</v>
      </c>
      <c r="J3" s="1" t="s">
        <v>25</v>
      </c>
      <c r="K3" s="1" t="s">
        <v>26</v>
      </c>
    </row>
    <row r="4" spans="2:11" x14ac:dyDescent="0.3">
      <c r="B4" s="1" t="s">
        <v>2</v>
      </c>
      <c r="C4" s="1">
        <v>436</v>
      </c>
      <c r="E4" s="1" t="s">
        <v>2</v>
      </c>
      <c r="F4" s="1">
        <v>436</v>
      </c>
      <c r="H4" s="1">
        <v>425</v>
      </c>
      <c r="I4" s="1">
        <v>450</v>
      </c>
      <c r="J4" s="1">
        <v>470</v>
      </c>
      <c r="K4" s="1">
        <v>495</v>
      </c>
    </row>
    <row r="5" spans="2:11" x14ac:dyDescent="0.3">
      <c r="B5" s="1" t="s">
        <v>1</v>
      </c>
      <c r="C5" s="1">
        <v>608</v>
      </c>
      <c r="E5" s="1" t="s">
        <v>1</v>
      </c>
      <c r="F5" s="1">
        <v>608</v>
      </c>
      <c r="H5" s="1">
        <v>616</v>
      </c>
      <c r="I5" s="1">
        <v>616</v>
      </c>
      <c r="J5" s="1">
        <v>625</v>
      </c>
      <c r="K5" s="1">
        <v>643</v>
      </c>
    </row>
    <row r="6" spans="2:11" x14ac:dyDescent="0.3">
      <c r="B6" s="1" t="s">
        <v>4</v>
      </c>
      <c r="C6" s="1">
        <v>588.1</v>
      </c>
      <c r="E6" s="1" t="s">
        <v>4</v>
      </c>
      <c r="F6" s="1">
        <v>588.1</v>
      </c>
      <c r="H6" s="1">
        <v>590.9</v>
      </c>
      <c r="I6" s="1">
        <v>615.79999999999995</v>
      </c>
      <c r="J6" s="1">
        <v>638.4</v>
      </c>
      <c r="K6" s="1">
        <v>668.6</v>
      </c>
    </row>
    <row r="7" spans="2:11" x14ac:dyDescent="0.3">
      <c r="B7" s="1" t="s">
        <v>5</v>
      </c>
      <c r="C7" s="1">
        <v>75.3</v>
      </c>
      <c r="E7" s="1" t="s">
        <v>5</v>
      </c>
      <c r="F7" s="1">
        <v>75.3</v>
      </c>
      <c r="H7" s="1">
        <v>74.3</v>
      </c>
      <c r="I7" s="1">
        <v>74.3</v>
      </c>
      <c r="J7" s="1">
        <v>74.3</v>
      </c>
      <c r="K7" s="1">
        <v>74.3</v>
      </c>
    </row>
    <row r="8" spans="2:11" x14ac:dyDescent="0.3">
      <c r="B8" s="1" t="s">
        <v>3</v>
      </c>
      <c r="C8" s="1">
        <f>C6-C4</f>
        <v>152.10000000000002</v>
      </c>
      <c r="E8" s="1" t="s">
        <v>3</v>
      </c>
      <c r="F8" s="1">
        <f>F6-F4</f>
        <v>152.10000000000002</v>
      </c>
      <c r="H8" s="1">
        <f t="shared" ref="H8:K8" si="0">H6-H4</f>
        <v>165.89999999999998</v>
      </c>
      <c r="I8" s="1">
        <f t="shared" si="0"/>
        <v>165.79999999999995</v>
      </c>
      <c r="J8" s="1">
        <f t="shared" si="0"/>
        <v>168.39999999999998</v>
      </c>
      <c r="K8" s="1">
        <f t="shared" si="0"/>
        <v>173.60000000000002</v>
      </c>
    </row>
    <row r="9" spans="2:11" x14ac:dyDescent="0.3">
      <c r="B9" s="1" t="s">
        <v>0</v>
      </c>
      <c r="C9" s="1">
        <f>ATAN(C5/C8)*180/PI()</f>
        <v>75.95488755965674</v>
      </c>
      <c r="E9" s="1" t="s">
        <v>0</v>
      </c>
      <c r="F9" s="1">
        <f>ATAN(F5/F8)*180/PI()</f>
        <v>75.95488755965674</v>
      </c>
      <c r="H9" s="1">
        <f t="shared" ref="H9:K9" si="1">ATAN(H5/H8)*180/PI()</f>
        <v>74.926842067543433</v>
      </c>
      <c r="I9" s="1">
        <f t="shared" si="1"/>
        <v>74.935514666171997</v>
      </c>
      <c r="J9" s="1">
        <f t="shared" si="1"/>
        <v>74.920334613855758</v>
      </c>
      <c r="K9" s="1">
        <f t="shared" si="1"/>
        <v>74.891255405344523</v>
      </c>
    </row>
    <row r="10" spans="2:11" x14ac:dyDescent="0.3">
      <c r="B10" s="1" t="s">
        <v>6</v>
      </c>
      <c r="C10" s="1">
        <f>SQRT(C8^2 + C5^2)</f>
        <v>626.73631616494038</v>
      </c>
      <c r="E10" s="1" t="s">
        <v>6</v>
      </c>
      <c r="F10" s="1">
        <f>SQRT(F8^2 + F5^2)</f>
        <v>626.73631616494038</v>
      </c>
      <c r="H10" s="1">
        <f t="shared" ref="H10:K10" si="2">SQRT(H8^2 + H5^2)</f>
        <v>637.9489086125941</v>
      </c>
      <c r="I10" s="1">
        <f t="shared" si="2"/>
        <v>637.92291070316639</v>
      </c>
      <c r="J10" s="1">
        <f t="shared" si="2"/>
        <v>647.28939432065465</v>
      </c>
      <c r="K10" s="1">
        <f t="shared" si="2"/>
        <v>666.02249211269134</v>
      </c>
    </row>
    <row r="11" spans="2:11" x14ac:dyDescent="0.3">
      <c r="B11" s="1" t="s">
        <v>14</v>
      </c>
      <c r="C11" s="1">
        <v>0</v>
      </c>
      <c r="E11" s="1" t="s">
        <v>14</v>
      </c>
      <c r="F11" s="1">
        <v>0</v>
      </c>
      <c r="H11" s="1">
        <f>$C11</f>
        <v>0</v>
      </c>
      <c r="I11" s="1">
        <f t="shared" ref="I11:K11" si="3">$C11</f>
        <v>0</v>
      </c>
      <c r="J11" s="1">
        <f t="shared" si="3"/>
        <v>0</v>
      </c>
      <c r="K11" s="1">
        <f t="shared" si="3"/>
        <v>0</v>
      </c>
    </row>
    <row r="12" spans="2:11" x14ac:dyDescent="0.3">
      <c r="B12" s="1" t="s">
        <v>13</v>
      </c>
      <c r="C12" s="1">
        <f>C10+C11</f>
        <v>626.73631616494038</v>
      </c>
      <c r="E12" s="1" t="s">
        <v>13</v>
      </c>
      <c r="F12" s="1">
        <f>F10+F11</f>
        <v>626.73631616494038</v>
      </c>
      <c r="H12" s="1">
        <f t="shared" ref="H12:K12" si="4">H10+H11</f>
        <v>637.9489086125941</v>
      </c>
      <c r="I12" s="1">
        <f t="shared" si="4"/>
        <v>637.92291070316639</v>
      </c>
      <c r="J12" s="1">
        <f t="shared" si="4"/>
        <v>647.28939432065465</v>
      </c>
      <c r="K12" s="1">
        <f t="shared" si="4"/>
        <v>666.02249211269134</v>
      </c>
    </row>
    <row r="14" spans="2:11" x14ac:dyDescent="0.3">
      <c r="B14" s="1" t="s">
        <v>30</v>
      </c>
      <c r="C14" s="1">
        <f>C$5/TAN(C7*PI()/180)</f>
        <v>159.50581404662091</v>
      </c>
      <c r="E14" s="1" t="s">
        <v>30</v>
      </c>
      <c r="F14" s="1">
        <f>F$5/TAN(F7*PI()/180)</f>
        <v>159.50581404662091</v>
      </c>
      <c r="H14" s="1">
        <f t="shared" ref="H14:K14" si="5">H$5/TAN(H7*PI()/180)</f>
        <v>173.14979103112344</v>
      </c>
      <c r="I14" s="1">
        <f t="shared" si="5"/>
        <v>173.14979103112344</v>
      </c>
      <c r="J14" s="1">
        <f t="shared" si="5"/>
        <v>175.67957693904572</v>
      </c>
      <c r="K14" s="1">
        <f t="shared" si="5"/>
        <v>180.73914875489024</v>
      </c>
    </row>
    <row r="15" spans="2:11" x14ac:dyDescent="0.3">
      <c r="B15" s="1" t="s">
        <v>31</v>
      </c>
      <c r="C15" s="1">
        <f>C$5/TAN(C9*PI()/180)</f>
        <v>152.10000000000005</v>
      </c>
      <c r="E15" s="1" t="s">
        <v>31</v>
      </c>
      <c r="F15" s="1">
        <f>F$5/TAN(F9*PI()/180)</f>
        <v>152.10000000000005</v>
      </c>
      <c r="H15" s="1">
        <f t="shared" ref="H15:K15" si="6">H14-H8</f>
        <v>7.2497910311234648</v>
      </c>
      <c r="I15" s="1">
        <f t="shared" si="6"/>
        <v>7.3497910311234875</v>
      </c>
      <c r="J15" s="1">
        <f t="shared" si="6"/>
        <v>7.2795769390457394</v>
      </c>
      <c r="K15" s="1">
        <f t="shared" si="6"/>
        <v>7.1391487548902148</v>
      </c>
    </row>
    <row r="16" spans="2:11" x14ac:dyDescent="0.3">
      <c r="B16" s="1" t="s">
        <v>9</v>
      </c>
      <c r="C16" s="1">
        <f>C14-C8</f>
        <v>7.4058140466208897</v>
      </c>
      <c r="E16" s="1" t="s">
        <v>9</v>
      </c>
      <c r="F16" s="1">
        <f>F14-F8</f>
        <v>7.4058140466208897</v>
      </c>
      <c r="H16" s="1">
        <f t="shared" ref="H16:K16" si="7">H14+H$4</f>
        <v>598.14979103112341</v>
      </c>
      <c r="I16" s="1">
        <f t="shared" si="7"/>
        <v>623.14979103112341</v>
      </c>
      <c r="J16" s="1">
        <f t="shared" si="7"/>
        <v>645.67957693904577</v>
      </c>
      <c r="K16" s="1">
        <f t="shared" si="7"/>
        <v>675.73914875489027</v>
      </c>
    </row>
    <row r="17" spans="2:11" x14ac:dyDescent="0.3">
      <c r="B17" s="1" t="s">
        <v>20</v>
      </c>
      <c r="C17" s="1">
        <f>C14+C$4</f>
        <v>595.50581404662091</v>
      </c>
      <c r="E17" s="1" t="s">
        <v>20</v>
      </c>
      <c r="F17" s="1">
        <f>F14+F$4</f>
        <v>595.50581404662091</v>
      </c>
      <c r="H17" s="1">
        <f t="shared" ref="H17:K17" si="8">H$5/TAN(H9*PI()/180) + H$4</f>
        <v>590.90000000000009</v>
      </c>
      <c r="I17" s="1">
        <f t="shared" si="8"/>
        <v>615.79999999999995</v>
      </c>
      <c r="J17" s="1">
        <f t="shared" si="8"/>
        <v>638.39999999999975</v>
      </c>
      <c r="K17" s="1">
        <f t="shared" si="8"/>
        <v>668.5999999999998</v>
      </c>
    </row>
    <row r="18" spans="2:11" x14ac:dyDescent="0.3">
      <c r="B18" s="1" t="s">
        <v>22</v>
      </c>
      <c r="C18" s="1">
        <f>C$5/TAN(C9*PI()/180) + C$4</f>
        <v>588.1</v>
      </c>
      <c r="E18" s="1" t="s">
        <v>22</v>
      </c>
      <c r="F18" s="1">
        <f>F$5/TAN(F9*PI()/180) + F$4</f>
        <v>588.1</v>
      </c>
    </row>
    <row r="19" spans="2:11" x14ac:dyDescent="0.3">
      <c r="E19" s="1" t="s">
        <v>39</v>
      </c>
      <c r="F19" s="1">
        <f>F17-F18</f>
        <v>7.4058140466208897</v>
      </c>
      <c r="H19" s="1">
        <f>700</f>
        <v>700</v>
      </c>
      <c r="I19" s="1">
        <f>700</f>
        <v>700</v>
      </c>
      <c r="J19" s="1">
        <f>700</f>
        <v>700</v>
      </c>
      <c r="K19" s="1">
        <f>700</f>
        <v>700</v>
      </c>
    </row>
    <row r="20" spans="2:11" x14ac:dyDescent="0.3">
      <c r="B20" s="1" t="s">
        <v>16</v>
      </c>
      <c r="C20" s="1">
        <v>697.61</v>
      </c>
      <c r="H20" s="1">
        <f t="shared" ref="H20:K20" si="9">H19-H12</f>
        <v>62.051091387405904</v>
      </c>
      <c r="I20" s="1">
        <f t="shared" si="9"/>
        <v>62.077089296833606</v>
      </c>
      <c r="J20" s="1">
        <f t="shared" si="9"/>
        <v>52.710605679345349</v>
      </c>
      <c r="K20" s="1">
        <f t="shared" si="9"/>
        <v>33.977507887308661</v>
      </c>
    </row>
    <row r="21" spans="2:11" x14ac:dyDescent="0.3">
      <c r="B21" s="1" t="s">
        <v>7</v>
      </c>
      <c r="C21" s="1">
        <f>C20-C12</f>
        <v>70.873683835059637</v>
      </c>
      <c r="E21" s="1" t="s">
        <v>34</v>
      </c>
      <c r="F21" s="1">
        <v>701.84</v>
      </c>
      <c r="H21" s="1">
        <f t="shared" ref="H21:K21" si="10">H$5+H20</f>
        <v>678.0510913874059</v>
      </c>
      <c r="I21" s="1">
        <f t="shared" si="10"/>
        <v>678.07708929683361</v>
      </c>
      <c r="J21" s="1">
        <f t="shared" si="10"/>
        <v>677.71060567934535</v>
      </c>
      <c r="K21" s="1">
        <f t="shared" si="10"/>
        <v>676.97750788730866</v>
      </c>
    </row>
    <row r="22" spans="2:11" x14ac:dyDescent="0.3">
      <c r="B22" s="1" t="s">
        <v>12</v>
      </c>
      <c r="C22" s="1">
        <f>C$5+C21</f>
        <v>678.87368383505964</v>
      </c>
      <c r="E22" s="1" t="s">
        <v>29</v>
      </c>
      <c r="F22" s="1">
        <f>SIN(F7*PI()/180)*F21</f>
        <v>678.86719960822131</v>
      </c>
      <c r="H22" s="1">
        <f t="shared" ref="H22:K22" si="11">H21/TAN(H$7*PI()/180)</f>
        <v>190.59156620479629</v>
      </c>
      <c r="I22" s="1">
        <f t="shared" si="11"/>
        <v>190.5988738875636</v>
      </c>
      <c r="J22" s="1">
        <f t="shared" si="11"/>
        <v>190.49585998856293</v>
      </c>
      <c r="K22" s="1">
        <f t="shared" si="11"/>
        <v>190.28979549262698</v>
      </c>
    </row>
    <row r="23" spans="2:11" x14ac:dyDescent="0.3">
      <c r="B23" s="1" t="s">
        <v>8</v>
      </c>
      <c r="C23" s="1">
        <f>C22/TAN(C$7*PI()/180)</f>
        <v>178.09917693246635</v>
      </c>
      <c r="E23" s="1" t="s">
        <v>33</v>
      </c>
      <c r="F23" s="1">
        <f>COS(F7*PI()/180)*F21</f>
        <v>178.09747582740005</v>
      </c>
      <c r="H23" s="1">
        <f t="shared" ref="H23:K23" si="12">H22-H$15</f>
        <v>183.34177517367283</v>
      </c>
      <c r="I23" s="1">
        <f t="shared" si="12"/>
        <v>183.24908285644011</v>
      </c>
      <c r="J23" s="1">
        <f t="shared" si="12"/>
        <v>183.21628304951719</v>
      </c>
      <c r="K23" s="1">
        <f t="shared" si="12"/>
        <v>183.15064673773676</v>
      </c>
    </row>
    <row r="24" spans="2:11" x14ac:dyDescent="0.3">
      <c r="B24" s="1" t="s">
        <v>10</v>
      </c>
      <c r="C24" s="1">
        <f>C23-C$16</f>
        <v>170.69336288584546</v>
      </c>
      <c r="E24" s="1" t="s">
        <v>32</v>
      </c>
      <c r="F24" s="1">
        <f>F23-F16</f>
        <v>170.69166178077916</v>
      </c>
      <c r="H24" s="1">
        <f t="shared" ref="H24:K24" si="13">H22+H$4</f>
        <v>615.59156620479632</v>
      </c>
      <c r="I24" s="1">
        <f t="shared" si="13"/>
        <v>640.59887388756363</v>
      </c>
      <c r="J24" s="1">
        <f t="shared" si="13"/>
        <v>660.49585998856287</v>
      </c>
      <c r="K24" s="1">
        <f t="shared" si="13"/>
        <v>685.28979549262704</v>
      </c>
    </row>
    <row r="25" spans="2:11" x14ac:dyDescent="0.3">
      <c r="B25" s="1" t="s">
        <v>17</v>
      </c>
      <c r="C25" s="1">
        <f>C24+C$4</f>
        <v>606.69336288584543</v>
      </c>
      <c r="E25" s="1" t="s">
        <v>35</v>
      </c>
      <c r="F25" s="1">
        <f>SQRT(F22^2 +F24^2)</f>
        <v>699.99737007034003</v>
      </c>
      <c r="H25" s="1">
        <f t="shared" ref="H25:K25" si="14">ATAN(H21/H23)*180/PI()</f>
        <v>74.869321063818489</v>
      </c>
      <c r="I25" s="1">
        <f t="shared" si="14"/>
        <v>74.877173511730433</v>
      </c>
      <c r="J25" s="1">
        <f t="shared" si="14"/>
        <v>74.871954530738662</v>
      </c>
      <c r="K25" s="1">
        <f t="shared" si="14"/>
        <v>74.861500498714008</v>
      </c>
    </row>
    <row r="26" spans="2:11" x14ac:dyDescent="0.3">
      <c r="B26" s="1" t="s">
        <v>11</v>
      </c>
      <c r="C26" s="1">
        <f>ATAN(C22/C24)*180/PI()</f>
        <v>75.886339507546325</v>
      </c>
      <c r="E26" s="1" t="s">
        <v>36</v>
      </c>
      <c r="F26" s="1">
        <f>ATAN(F22/F24)*180/PI()</f>
        <v>75.886345122635518</v>
      </c>
      <c r="H26" s="1">
        <f t="shared" ref="H26:K26" si="15">SQRT(H21^2 +H23^2)</f>
        <v>702.40123081860111</v>
      </c>
      <c r="I26" s="1">
        <f t="shared" si="15"/>
        <v>702.40213937387216</v>
      </c>
      <c r="J26" s="1">
        <f t="shared" si="15"/>
        <v>702.03979333421398</v>
      </c>
      <c r="K26" s="1">
        <f t="shared" si="15"/>
        <v>701.31498314649048</v>
      </c>
    </row>
    <row r="27" spans="2:11" x14ac:dyDescent="0.3">
      <c r="B27" s="1" t="s">
        <v>15</v>
      </c>
      <c r="C27" s="1">
        <f>SQRT(C22^2 +C24^2)</f>
        <v>700.00407337176512</v>
      </c>
      <c r="E27" s="1" t="s">
        <v>37</v>
      </c>
      <c r="F27" s="1">
        <f>F22/TAN(F$26*PI()/180)</f>
        <v>170.69166178077896</v>
      </c>
      <c r="H27" s="1">
        <f t="shared" ref="H27:K27" si="16">H26+H$11</f>
        <v>702.40123081860111</v>
      </c>
      <c r="I27" s="1">
        <f t="shared" si="16"/>
        <v>702.40213937387216</v>
      </c>
      <c r="J27" s="1">
        <f t="shared" si="16"/>
        <v>702.03979333421398</v>
      </c>
      <c r="K27" s="1">
        <f t="shared" si="16"/>
        <v>701.31498314649048</v>
      </c>
    </row>
    <row r="28" spans="2:11" x14ac:dyDescent="0.3">
      <c r="B28" s="1" t="s">
        <v>13</v>
      </c>
      <c r="C28" s="1">
        <f>C27+C$11</f>
        <v>700.00407337176512</v>
      </c>
      <c r="E28" s="1" t="s">
        <v>38</v>
      </c>
      <c r="F28" s="1">
        <f>F27+F4</f>
        <v>606.69166178077899</v>
      </c>
      <c r="H28" s="1">
        <f t="shared" ref="H28:K28" si="17">H$5/TAN(H25*PI()/180) + H$4</f>
        <v>591.56345656179292</v>
      </c>
      <c r="I28" s="1">
        <f t="shared" si="17"/>
        <v>616.47286395802757</v>
      </c>
      <c r="J28" s="1">
        <f t="shared" si="17"/>
        <v>638.96618696288795</v>
      </c>
      <c r="K28" s="1">
        <f t="shared" si="17"/>
        <v>668.95831394736422</v>
      </c>
    </row>
    <row r="29" spans="2:11" x14ac:dyDescent="0.3">
      <c r="B29" s="1" t="s">
        <v>21</v>
      </c>
      <c r="C29" s="1">
        <f>C$5/TAN(C26*PI()/180) + C$4</f>
        <v>588.87315903647379</v>
      </c>
      <c r="E29" s="1" t="s">
        <v>40</v>
      </c>
      <c r="F29" s="1">
        <f>F5/TAN(F26*PI()/180) + F4</f>
        <v>588.87309568440787</v>
      </c>
    </row>
    <row r="30" spans="2:11" x14ac:dyDescent="0.3">
      <c r="E30" s="1" t="s">
        <v>39</v>
      </c>
      <c r="F30" s="1">
        <f>F29-F28</f>
        <v>-17.818566096371114</v>
      </c>
      <c r="H30" s="1">
        <v>800</v>
      </c>
      <c r="I30" s="1">
        <v>800</v>
      </c>
      <c r="J30" s="1">
        <v>800</v>
      </c>
      <c r="K30" s="1">
        <v>800</v>
      </c>
    </row>
    <row r="31" spans="2:11" x14ac:dyDescent="0.3">
      <c r="B31" s="1" t="s">
        <v>16</v>
      </c>
      <c r="C31" s="1">
        <v>800</v>
      </c>
      <c r="E31" s="1" t="s">
        <v>41</v>
      </c>
      <c r="F31" s="1">
        <f>F18</f>
        <v>588.1</v>
      </c>
      <c r="H31" s="1">
        <f t="shared" ref="H31:K31" si="18">H30-H21</f>
        <v>121.9489086125941</v>
      </c>
      <c r="I31" s="1">
        <f t="shared" si="18"/>
        <v>121.92291070316639</v>
      </c>
      <c r="J31" s="1">
        <f t="shared" si="18"/>
        <v>122.28939432065465</v>
      </c>
      <c r="K31" s="1">
        <f t="shared" si="18"/>
        <v>123.02249211269134</v>
      </c>
    </row>
    <row r="32" spans="2:11" x14ac:dyDescent="0.3">
      <c r="B32" s="1" t="s">
        <v>7</v>
      </c>
      <c r="C32" s="1">
        <f>C31-C22</f>
        <v>121.12631616494036</v>
      </c>
      <c r="E32" s="1" t="s">
        <v>42</v>
      </c>
      <c r="F32" s="1">
        <f>F29-F31</f>
        <v>0.77309568440784915</v>
      </c>
      <c r="H32" s="1">
        <f t="shared" ref="H32:K32" si="19">H$5+H31</f>
        <v>737.9489086125941</v>
      </c>
      <c r="I32" s="1">
        <f t="shared" si="19"/>
        <v>737.92291070316639</v>
      </c>
      <c r="J32" s="1">
        <f t="shared" si="19"/>
        <v>747.28939432065465</v>
      </c>
      <c r="K32" s="1">
        <f t="shared" si="19"/>
        <v>766.02249211269134</v>
      </c>
    </row>
    <row r="33" spans="2:11" x14ac:dyDescent="0.3">
      <c r="B33" s="1" t="s">
        <v>12</v>
      </c>
      <c r="C33" s="1">
        <f>C$5+C32</f>
        <v>729.12631616494036</v>
      </c>
      <c r="H33" s="1">
        <f t="shared" ref="H33:K33" si="20">H32/TAN(H$7*PI()/180)</f>
        <v>207.42808330830567</v>
      </c>
      <c r="I33" s="1">
        <f t="shared" si="20"/>
        <v>207.42077562553837</v>
      </c>
      <c r="J33" s="1">
        <f t="shared" si="20"/>
        <v>210.05357543246132</v>
      </c>
      <c r="K33" s="1">
        <f t="shared" si="20"/>
        <v>215.31921174424176</v>
      </c>
    </row>
    <row r="34" spans="2:11" x14ac:dyDescent="0.3">
      <c r="B34" s="1" t="s">
        <v>8</v>
      </c>
      <c r="C34" s="1">
        <f>C33/TAN(C$7*PI()/180)</f>
        <v>191.28270822812945</v>
      </c>
      <c r="H34" s="1">
        <f t="shared" ref="H34:K34" si="21">H33-H$15</f>
        <v>200.17829227718221</v>
      </c>
      <c r="I34" s="1">
        <f t="shared" si="21"/>
        <v>200.07098459441488</v>
      </c>
      <c r="J34" s="1">
        <f t="shared" si="21"/>
        <v>202.77399849341558</v>
      </c>
      <c r="K34" s="1">
        <f t="shared" si="21"/>
        <v>208.18006298935154</v>
      </c>
    </row>
    <row r="35" spans="2:11" x14ac:dyDescent="0.3">
      <c r="B35" s="1" t="s">
        <v>10</v>
      </c>
      <c r="C35" s="1">
        <f>C34-C$16</f>
        <v>183.87689418150856</v>
      </c>
      <c r="H35" s="1">
        <f t="shared" ref="H35:K35" si="22">H33+H$4</f>
        <v>632.42808330830565</v>
      </c>
      <c r="I35" s="1">
        <f t="shared" si="22"/>
        <v>657.42077562553834</v>
      </c>
      <c r="J35" s="1">
        <f t="shared" si="22"/>
        <v>680.05357543246134</v>
      </c>
      <c r="K35" s="1">
        <f t="shared" si="22"/>
        <v>710.31921174424178</v>
      </c>
    </row>
    <row r="36" spans="2:11" x14ac:dyDescent="0.3">
      <c r="B36" s="1" t="s">
        <v>17</v>
      </c>
      <c r="C36" s="1">
        <f>C34+C$4</f>
        <v>627.28270822812942</v>
      </c>
      <c r="H36" s="1">
        <f t="shared" ref="H36:K36" si="23">ATAN(H32/H34)*180/PI()</f>
        <v>74.822994545706905</v>
      </c>
      <c r="I36" s="1">
        <f t="shared" si="23"/>
        <v>74.8302455551284</v>
      </c>
      <c r="J36" s="1">
        <f t="shared" si="23"/>
        <v>74.818568442145278</v>
      </c>
      <c r="K36" s="1">
        <f t="shared" si="23"/>
        <v>74.796074459226645</v>
      </c>
    </row>
    <row r="37" spans="2:11" x14ac:dyDescent="0.3">
      <c r="B37" s="1" t="s">
        <v>11</v>
      </c>
      <c r="C37" s="1">
        <f>ATAN(C33/C35)*180/PI()</f>
        <v>75.845829527237484</v>
      </c>
      <c r="H37" s="1">
        <f t="shared" ref="H37:K37" si="24">SQRT(H32^2 +H34^2)</f>
        <v>764.61751249989538</v>
      </c>
      <c r="I37" s="1">
        <f t="shared" si="24"/>
        <v>764.5643341257894</v>
      </c>
      <c r="J37" s="1">
        <f t="shared" si="24"/>
        <v>774.31178044063017</v>
      </c>
      <c r="K37" s="1">
        <f t="shared" si="24"/>
        <v>793.80690161322525</v>
      </c>
    </row>
    <row r="38" spans="2:11" x14ac:dyDescent="0.3">
      <c r="B38" s="1" t="s">
        <v>15</v>
      </c>
      <c r="C38" s="1">
        <f>SQRT(C33^2 +C35^2)</f>
        <v>751.95471747844908</v>
      </c>
      <c r="H38" s="1">
        <f t="shared" ref="H38:K38" si="25">H37+H$11</f>
        <v>764.61751249989538</v>
      </c>
      <c r="I38" s="1">
        <f t="shared" si="25"/>
        <v>764.5643341257894</v>
      </c>
      <c r="J38" s="1">
        <f t="shared" si="25"/>
        <v>774.31178044063017</v>
      </c>
      <c r="K38" s="1">
        <f t="shared" si="25"/>
        <v>793.80690161322525</v>
      </c>
    </row>
    <row r="39" spans="2:11" x14ac:dyDescent="0.3">
      <c r="B39" s="1" t="s">
        <v>13</v>
      </c>
      <c r="C39" s="1">
        <f>C38+C$11</f>
        <v>751.95471747844908</v>
      </c>
      <c r="H39" s="1">
        <f t="shared" ref="H39:K39" si="26">H$5/TAN(H36*PI()/180) + H$4</f>
        <v>592.09805598137825</v>
      </c>
      <c r="I39" s="1">
        <f t="shared" si="26"/>
        <v>617.01436521698565</v>
      </c>
      <c r="J39" s="1">
        <f t="shared" si="26"/>
        <v>639.59125878348061</v>
      </c>
      <c r="K39" s="1">
        <f t="shared" si="26"/>
        <v>669.74654057868145</v>
      </c>
    </row>
    <row r="40" spans="2:11" x14ac:dyDescent="0.3">
      <c r="B40" s="1" t="s">
        <v>21</v>
      </c>
      <c r="C40" s="1">
        <f>C$5/TAN(C37*PI()/180) + C$4</f>
        <v>589.33029295991946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2025-11-19T12:43:36Z</dcterms:created>
  <dcterms:modified xsi:type="dcterms:W3CDTF">2025-11-21T13:26:31Z</dcterms:modified>
</cp:coreProperties>
</file>